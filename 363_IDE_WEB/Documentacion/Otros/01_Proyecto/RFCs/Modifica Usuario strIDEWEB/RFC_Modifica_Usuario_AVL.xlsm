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YK\DyP\INI_832_EST_728_Dsw\RFC Usuario IDEWEB\Aplicativo\"/>
    </mc:Choice>
  </mc:AlternateContent>
  <workbookProtection workbookAlgorithmName="SHA-512" workbookHashValue="yOfQhwU8XKvjcQ/7wZ7+vH+xRER0cpsot1kXDh9Dw5MqRJet0Lkk4QuZMtMu0YP4+r51L+bM88Zo4SIspKDLQQ==" workbookSaltValue="ljSfs+uecH6HKv+2F21pkw==" workbookSpinCount="100000" lockStructure="1"/>
  <bookViews>
    <workbookView xWindow="-120" yWindow="-120" windowWidth="20730" windowHeight="11310" activeTab="2"/>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_xlnm.Print_Titles" localSheetId="6">'Guia de llenado'!#REF!</definedName>
    <definedName name="_xlnm.Print_Titles" localSheetId="0">IGC!$2:$4</definedName>
    <definedName name="_xlnm.Print_Titles" localSheetId="2">Plan!$2:$3</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7" i="1" l="1"/>
  <c r="R5" i="3" l="1"/>
  <c r="S5" i="3" s="1"/>
  <c r="R6" i="3"/>
  <c r="R7" i="3"/>
  <c r="S7" i="3" s="1"/>
  <c r="R8" i="3"/>
  <c r="S8" i="3" s="1"/>
  <c r="R9" i="3"/>
  <c r="S9" i="3" s="1"/>
  <c r="R10" i="3"/>
  <c r="S10" i="3" s="1"/>
  <c r="R11" i="3"/>
  <c r="S11" i="3" s="1"/>
  <c r="R12" i="3"/>
  <c r="S12" i="3" s="1"/>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T6" i="3" l="1"/>
  <c r="T33" i="3"/>
  <c r="T25" i="3"/>
  <c r="T21" i="3"/>
  <c r="T17" i="3"/>
  <c r="T13" i="3"/>
  <c r="T9" i="3"/>
  <c r="T5" i="3"/>
  <c r="S6" i="3"/>
  <c r="T29" i="3" s="1"/>
  <c r="T52" i="3"/>
  <c r="T40" i="3"/>
  <c r="T32" i="3"/>
  <c r="T28" i="3"/>
  <c r="T24" i="3"/>
  <c r="T20" i="3"/>
  <c r="T16" i="3"/>
  <c r="T12" i="3"/>
  <c r="T8" i="3"/>
  <c r="T51" i="3"/>
  <c r="T47" i="3"/>
  <c r="T43" i="3"/>
  <c r="T35" i="3"/>
  <c r="T31" i="3"/>
  <c r="T27" i="3"/>
  <c r="T23" i="3"/>
  <c r="T19" i="3"/>
  <c r="T15" i="3"/>
  <c r="T11" i="3"/>
  <c r="T7" i="3"/>
  <c r="T4" i="3"/>
  <c r="T50" i="3"/>
  <c r="T46" i="3"/>
  <c r="T38" i="3"/>
  <c r="T34" i="3"/>
  <c r="T30" i="3"/>
  <c r="T26" i="3"/>
  <c r="T22" i="3"/>
  <c r="T18" i="3"/>
  <c r="T14" i="3"/>
  <c r="T10" i="3"/>
  <c r="T53" i="3" l="1"/>
  <c r="T42" i="3"/>
  <c r="T39" i="3"/>
  <c r="T49" i="3"/>
  <c r="T36" i="3"/>
  <c r="T44" i="3"/>
  <c r="T41" i="3"/>
  <c r="T48" i="3"/>
  <c r="T45" i="3"/>
  <c r="T37" i="3"/>
  <c r="U4" i="3" l="1"/>
  <c r="D11" i="1"/>
  <c r="D18" i="1"/>
  <c r="AD2" i="7" l="1"/>
  <c r="AC2" i="7"/>
  <c r="G10" i="3"/>
  <c r="A2" i="7" l="1"/>
  <c r="AV2" i="7"/>
  <c r="AP2" i="7"/>
  <c r="AI2" i="7"/>
  <c r="V2" i="7"/>
  <c r="T2" i="7"/>
  <c r="R2" i="7"/>
  <c r="Q2" i="7"/>
  <c r="P2" i="7"/>
  <c r="N2" i="7"/>
  <c r="K2" i="7"/>
  <c r="E2" i="7"/>
  <c r="G127" i="3" l="1"/>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6" i="3"/>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 r="G7" i="3" l="1"/>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<sst xmlns="http://schemas.openxmlformats.org/spreadsheetml/2006/main" count="578" uniqueCount="395">
  <si>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</si>
  <si>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</si>
  <si>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</si>
  <si>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</si>
  <si>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</si>
  <si>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</si>
  <si>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</si>
  <si>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</si>
  <si>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</si>
  <si>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</si>
  <si>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</si>
  <si>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</si>
  <si>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</si>
  <si>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</si>
  <si>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</si>
  <si>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</si>
  <si>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</si>
  <si>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</si>
  <si>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</si>
  <si>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</si>
  <si>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</si>
  <si>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</si>
  <si>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</si>
  <si>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</si>
  <si>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</si>
  <si>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</si>
  <si>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</si>
  <si>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</si>
  <si>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</si>
  <si>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</si>
  <si>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</si>
  <si>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</si>
  <si>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</si>
  <si>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</si>
  <si>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</si>
  <si>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</si>
  <si>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</si>
  <si>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</si>
  <si>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</si>
  <si>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</si>
  <si>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</si>
  <si>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</si>
  <si>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</si>
  <si>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</si>
  <si>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</si>
  <si>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</si>
  <si>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</si>
  <si>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</si>
  <si>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</si>
  <si>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</si>
  <si>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</si>
  <si>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</si>
  <si>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</si>
  <si>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</si>
  <si>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</si>
  <si>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</si>
  <si>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</si>
  <si>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</si>
  <si>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</si>
  <si>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</si>
  <si>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</si>
  <si>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</si>
  <si>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</si>
  <si>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</si>
  <si>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</si>
  <si>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</si>
  <si>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</si>
  <si>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</si>
  <si>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</si>
  <si>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</si>
  <si>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</si>
  <si>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</si>
  <si>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</si>
  <si>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</si>
  <si>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</si>
  <si>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</si>
  <si>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</si>
  <si>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</si>
  <si>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</si>
  <si>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</si>
  <si>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</si>
  <si>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</si>
  <si>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</si>
  <si>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</si>
  <si>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</si>
  <si>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</si>
  <si>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</si>
  <si>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</si>
  <si>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</si>
  <si>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</si>
  <si>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</si>
  <si>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</si>
  <si>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</si>
  <si>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</si>
  <si>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</si>
  <si>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</si>
  <si>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</si>
  <si>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</si>
  <si>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</si>
  <si>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</si>
  <si>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</si>
  <si>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</si>
  <si>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</si>
  <si>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</si>
  <si>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</si>
  <si>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</si>
  <si>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</si>
  <si>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</si>
  <si>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</si>
  <si>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</si>
  <si>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</si>
  <si>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</si>
  <si>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</si>
  <si>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</si>
  <si>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</si>
  <si>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</si>
  <si>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</si>
  <si>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</si>
  <si>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</si>
  <si>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</si>
  <si>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</si>
  <si>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</si>
  <si>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</si>
  <si>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</si>
  <si>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</si>
  <si>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</si>
  <si>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</si>
  <si>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</si>
  <si>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</si>
  <si>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</si>
  <si>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</si>
  <si>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</si>
  <si>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</si>
  <si>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</si>
  <si>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</si>
  <si>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</si>
  <si>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</si>
  <si>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</si>
  <si>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</si>
  <si>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</si>
  <si>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</si>
  <si>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</si>
  <si>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</si>
  <si>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</si>
  <si>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</si>
  <si>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</si>
  <si>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</si>
  <si>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</si>
  <si>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</si>
  <si>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</si>
  <si>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</si>
  <si>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</si>
  <si>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</si>
  <si>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</si>
  <si>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</si>
  <si>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</si>
  <si>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</si>
  <si>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</si>
  <si>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</si>
  <si>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</si>
  <si>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</si>
  <si>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</si>
  <si>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</si>
  <si>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</si>
  <si>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</si>
  <si>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</si>
  <si>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</si>
  <si>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</si>
  <si>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</si>
  <si>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</si>
  <si>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</si>
  <si>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</si>
  <si>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</si>
  <si>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</si>
  <si>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</si>
  <si>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</si>
  <si>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</si>
  <si>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</si>
  <si>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</si>
  <si>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</si>
  <si>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</si>
  <si>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</si>
  <si>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</si>
  <si>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</si>
  <si>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</si>
  <si>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</si>
  <si>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</si>
  <si>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</si>
  <si>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</si>
  <si>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</si>
  <si>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</si>
  <si>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</si>
  <si>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</si>
  <si>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</si>
  <si>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</si>
  <si>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</si>
  <si>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</si>
  <si>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</si>
  <si>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</si>
  <si>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</si>
  <si>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</si>
  <si>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</si>
  <si>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</si>
  <si>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</si>
  <si>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</si>
  <si>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</si>
  <si>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</si>
  <si>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</si>
  <si>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</si>
  <si>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</si>
  <si>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</si>
  <si>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</si>
  <si>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</si>
  <si>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</si>
  <si>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</si>
  <si>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</si>
  <si>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</si>
  <si>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</si>
  <si>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</si>
  <si>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</si>
  <si>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</si>
  <si>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</si>
  <si>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</si>
  <si>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</si>
  <si>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</si>
  <si>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</si>
  <si>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</si>
  <si>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</si>
  <si>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</si>
  <si>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</si>
  <si>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</si>
  <si>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</si>
  <si>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</si>
  <si>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</si>
  <si>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</si>
  <si>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</si>
  <si>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</si>
  <si>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</si>
  <si>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</si>
  <si>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</si>
  <si>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</si>
  <si>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</si>
  <si>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</si>
  <si>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</si>
  <si>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</si>
  <si>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</si>
  <si>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</si>
  <si>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</si>
  <si>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</si>
  <si>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</si>
  <si>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</si>
  <si>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</si>
  <si>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</si>
  <si>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</si>
  <si>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</si>
  <si>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</si>
  <si>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</si>
  <si>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</si>
  <si>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</si>
  <si>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</si>
  <si>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</si>
  <si>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</si>
  <si>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</si>
  <si>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</si>
  <si>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</si>
  <si>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</si>
  <si>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</si>
  <si>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</si>
  <si>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</si>
  <si>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</si>
  <si>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</si>
  <si>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</si>
  <si>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</si>
  <si>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</si>
  <si>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</si>
  <si>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</si>
  <si>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</si>
  <si>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</si>
  <si>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</si>
  <si>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</si>
  <si>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</si>
  <si>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</si>
  <si>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</si>
  <si>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</si>
  <si>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</si>
  <si>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</si>
  <si>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</si>
  <si>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</si>
  <si>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</si>
  <si>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</si>
  <si>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</si>
  <si>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</si>
  <si>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</si>
  <si>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</si>
  <si>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</si>
  <si>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</si>
  <si>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</si>
  <si>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</si>
  <si>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</si>
  <si>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</si>
  <si>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</si>
  <si>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</si>
  <si>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</si>
  <si>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</si>
  <si>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</si>
  <si>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</si>
  <si>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</si>
  <si>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</si>
  <si>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</si>
  <si>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</si>
  <si>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</si>
  <si>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</si>
  <si>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</si>
  <si>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</si>
  <si>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</si>
  <si>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</si>
  <si>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</si>
  <si>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</si>
  <si>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</si>
  <si>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</si>
  <si>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</si>
  <si>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</si>
  <si>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</si>
  <si>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</si>
  <si>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</si>
  <si>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</si>
  <si>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</si>
  <si>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</si>
  <si>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</si>
  <si>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</si>
  <si>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</si>
  <si>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</si>
  <si>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</si>
  <si>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</si>
  <si>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</si>
  <si>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</si>
  <si>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</si>
  <si>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</si>
  <si>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</si>
  <si>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</si>
  <si>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</si>
  <si>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</si>
  <si>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</si>
  <si>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</si>
  <si>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</si>
  <si>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</si>
  <si>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</si>
  <si>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</si>
  <si>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</si>
  <si>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</si>
  <si>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</si>
  <si>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</si>
  <si>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</si>
  <si>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</si>
  <si>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</si>
  <si>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</si>
  <si>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</si>
  <si>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</si>
  <si>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</si>
  <si>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</si>
  <si>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</si>
  <si>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</si>
  <si>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</si>
  <si>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</si>
  <si>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</si>
  <si>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</si>
  <si>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</si>
  <si>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</si>
  <si>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</si>
  <si>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</si>
  <si>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</si>
  <si>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</si>
  <si>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Documentar y cierre</t>
  </si>
  <si>
    <t>IMP</t>
  </si>
  <si>
    <t>BCK</t>
  </si>
  <si>
    <t>ACOST</t>
  </si>
  <si>
    <t>Jose Alejandro Martinez Arredondo / jose.arredondo@sat.gob.mx</t>
  </si>
  <si>
    <t>Adriana Miranda Figueroa  / adriana.miranda@sat.gob.mx</t>
  </si>
  <si>
    <t>El aplicativo de IDE-WEB utiliza seguridad integrada.</t>
  </si>
  <si>
    <t>Estándar</t>
  </si>
  <si>
    <t>No se prodrá utilizar el aplicativo de IDE-WEB</t>
  </si>
  <si>
    <t>Eliminar cuenta UsrIDEWEB</t>
  </si>
  <si>
    <t>Directorio Activo</t>
  </si>
  <si>
    <t>Se solicita que el área de seguridad de T-System genere el usuario de dominio para el aplicativo de IDE-WEB.</t>
  </si>
  <si>
    <t>raul.nieto@sat.gob.mx</t>
  </si>
  <si>
    <t>Raul Nieto Lopez</t>
  </si>
  <si>
    <t>POL 832</t>
  </si>
  <si>
    <t>cpidwuatnete01</t>
  </si>
  <si>
    <t>cpidwuatnete02</t>
  </si>
  <si>
    <t>10.237.10.70</t>
  </si>
  <si>
    <t>10.237.10.71</t>
  </si>
  <si>
    <t xml:space="preserve">DYPP_IPP_Cuenta Única Web. – Actualizar funcionalidades para la Certificación de Declaraciones y Pagos. </t>
  </si>
  <si>
    <t>Modificar un usuario de dominio para IDE-WEB</t>
  </si>
  <si>
    <t xml:space="preserve">Modificar el grupo al que pertenece la cuenta de dominio del siguiente usuario: 
nombre: usrIDEWEB
Contraseña: Resguardada por Fernando Soriano
miembro: Domains User
</t>
  </si>
  <si>
    <t xml:space="preserve">Validar que exista en el event log la carpeta con nombre wcfPDF en caso de que no exista ejecutar el siguiente script desde la ventana de cmd con permisos de administrador
reg add \\.\HKLM\SYSTEM\CurrentControlSet\Application\Eventlog\wcfPDF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</si>
</sst>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3">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43" fillId="0" borderId="13" xfId="25" applyFont="1" applyFill="1" applyBorder="1" applyAlignment="1" applyProtection="1">
      <alignment wrapText="1"/>
      <protection locked="0"/>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2" fillId="13" borderId="0" xfId="2" applyFont="1" applyFill="1" applyBorder="1" applyAlignment="1">
      <alignment horizontal="left" vertical="top" wrapText="1"/>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6" fillId="13" borderId="13" xfId="0" applyFont="1" applyFill="1" applyBorder="1" applyAlignment="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Comma 2" xfId="36"/>
    <cellStyle name="Estilo 1" xfId="3"/>
    <cellStyle name="Excel Built-in Normal" xfId="4"/>
    <cellStyle name="Excel Built-in Normal 1" xfId="27"/>
    <cellStyle name="Excel Built-in Normal 2" xfId="32"/>
    <cellStyle name="Excel Built-in Normal 3" xfId="361"/>
    <cellStyle name="Good" xfId="1" builtinId="26"/>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270">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xdr:colOff>
      <xdr:row>1</xdr:row>
      <xdr:rowOff>0</xdr:rowOff>
    </xdr:from>
    <xdr:to>
      <xdr:col>5</xdr:col>
      <xdr:colOff>3487</xdr:colOff>
      <xdr:row>21</xdr:row>
      <xdr:rowOff>85725</xdr:rowOff>
    </xdr:to>
    <xdr:pic>
      <xdr:nvPicPr>
        <xdr:cNvPr id="2" name="Imagen 3" descr="image00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 y="190500"/>
          <a:ext cx="3022912" cy="389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LibretaFolios\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5"/>
  <sheetViews>
    <sheetView topLeftCell="A13" zoomScale="80" zoomScaleNormal="80" zoomScaleSheetLayoutView="100" workbookViewId="0">
      <selection activeCell="C6" sqref="C6"/>
    </sheetView>
  </sheetViews>
  <sheetFormatPr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186" t="s">
        <v>278</v>
      </c>
      <c r="C2" s="186"/>
      <c r="D2" s="186"/>
      <c r="E2" s="129"/>
      <c r="F2" s="119"/>
      <c r="G2" s="119"/>
      <c r="H2" s="119"/>
      <c r="I2" s="130"/>
    </row>
    <row r="3" spans="1:9" ht="3" customHeight="1">
      <c r="A3" s="119"/>
      <c r="B3" s="131"/>
      <c r="C3" s="132"/>
      <c r="D3" s="133"/>
      <c r="E3" s="133"/>
      <c r="F3" s="119"/>
      <c r="G3" s="119"/>
      <c r="H3" s="119"/>
      <c r="I3" s="130"/>
    </row>
    <row r="4" spans="1:9">
      <c r="A4" s="119"/>
      <c r="B4" s="192" t="s">
        <v>356</v>
      </c>
      <c r="C4" s="193"/>
      <c r="D4" s="193"/>
      <c r="E4" s="193"/>
      <c r="F4" s="119"/>
      <c r="G4" s="119"/>
      <c r="H4" s="119"/>
      <c r="I4" s="130"/>
    </row>
    <row r="5" spans="1:9" ht="32.25" customHeight="1">
      <c r="A5" s="134"/>
      <c r="B5" s="127" t="s">
        <v>243</v>
      </c>
      <c r="C5" s="135"/>
      <c r="D5" s="127" t="s">
        <v>250</v>
      </c>
      <c r="E5" s="136">
        <v>44023.833333333336</v>
      </c>
      <c r="F5" s="114"/>
      <c r="G5" s="114"/>
      <c r="H5" s="114"/>
      <c r="I5" s="137"/>
    </row>
    <row r="6" spans="1:9" ht="42" customHeight="1">
      <c r="A6" s="134"/>
      <c r="B6" s="138" t="s">
        <v>263</v>
      </c>
      <c r="C6" s="139" t="s">
        <v>386</v>
      </c>
      <c r="D6" s="138" t="s">
        <v>279</v>
      </c>
      <c r="E6" s="139"/>
      <c r="F6" s="114"/>
      <c r="G6" s="140"/>
      <c r="H6" s="114"/>
    </row>
    <row r="7" spans="1:9" ht="53.25" customHeight="1">
      <c r="A7" s="134"/>
      <c r="B7" s="127" t="s">
        <v>251</v>
      </c>
      <c r="C7" s="135" t="s">
        <v>369</v>
      </c>
      <c r="D7" s="127" t="s">
        <v>239</v>
      </c>
      <c r="E7" s="135" t="s">
        <v>391</v>
      </c>
      <c r="F7" s="114"/>
      <c r="G7" s="139"/>
      <c r="H7" s="141" t="s">
        <v>125</v>
      </c>
    </row>
    <row r="8" spans="1:9" ht="60.75" customHeight="1">
      <c r="A8" s="134"/>
      <c r="B8" s="142" t="s">
        <v>237</v>
      </c>
      <c r="C8" s="139" t="s">
        <v>392</v>
      </c>
      <c r="D8" s="142" t="s">
        <v>240</v>
      </c>
      <c r="E8" s="135" t="s">
        <v>127</v>
      </c>
      <c r="F8" s="114"/>
      <c r="G8" s="143" t="s">
        <v>127</v>
      </c>
      <c r="H8" s="114"/>
      <c r="I8" s="137"/>
    </row>
    <row r="9" spans="1:9" ht="50.25" customHeight="1">
      <c r="A9" s="134"/>
      <c r="B9" s="127" t="s">
        <v>235</v>
      </c>
      <c r="C9" s="187" t="s">
        <v>383</v>
      </c>
      <c r="D9" s="188"/>
      <c r="E9" s="189"/>
      <c r="F9" s="114"/>
      <c r="G9" s="143"/>
      <c r="H9" s="114"/>
      <c r="I9" s="137"/>
    </row>
    <row r="10" spans="1:9" ht="63.75" customHeight="1">
      <c r="A10" s="134"/>
      <c r="B10" s="142" t="s">
        <v>236</v>
      </c>
      <c r="C10" s="187" t="s">
        <v>378</v>
      </c>
      <c r="D10" s="188"/>
      <c r="E10" s="189"/>
      <c r="F10" s="114"/>
      <c r="G10" s="143" t="s">
        <v>120</v>
      </c>
      <c r="H10" s="114"/>
      <c r="I10" s="144"/>
    </row>
    <row r="11" spans="1:9" ht="61.5" customHeight="1">
      <c r="A11" s="134"/>
      <c r="B11" s="142" t="s">
        <v>238</v>
      </c>
      <c r="C11" s="135" t="s">
        <v>379</v>
      </c>
      <c r="D11" s="190"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xml:space="preserve">Deberás adjuntar el documento acuerdo y criterios para aceptación de cambio Estándar refiriendolo en el campo Documentos Adjuntos celda C14 </v>
      </c>
      <c r="E11" s="191"/>
      <c r="F11" s="114"/>
      <c r="G11" s="143"/>
      <c r="H11" s="114"/>
      <c r="I11" s="144"/>
    </row>
    <row r="12" spans="1:9" ht="69.75" customHeight="1">
      <c r="A12" s="134"/>
      <c r="B12" s="127" t="s">
        <v>341</v>
      </c>
      <c r="C12" s="139" t="s">
        <v>380</v>
      </c>
      <c r="D12" s="127" t="s">
        <v>252</v>
      </c>
      <c r="E12" s="136">
        <v>43777.666666666664</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187" t="s">
        <v>368</v>
      </c>
      <c r="D14" s="188"/>
      <c r="E14" s="189"/>
      <c r="F14" s="114"/>
      <c r="G14" s="114"/>
      <c r="H14" s="114"/>
    </row>
    <row r="15" spans="1:9" ht="47.25" customHeight="1">
      <c r="A15" s="134"/>
      <c r="B15" s="127" t="s">
        <v>254</v>
      </c>
      <c r="C15" s="187" t="s">
        <v>368</v>
      </c>
      <c r="D15" s="188"/>
      <c r="E15" s="189"/>
      <c r="F15" s="114"/>
      <c r="G15" s="114"/>
      <c r="H15" s="114"/>
    </row>
    <row r="16" spans="1:9" ht="21" customHeight="1">
      <c r="A16" s="134"/>
      <c r="B16" s="183" t="s">
        <v>204</v>
      </c>
      <c r="C16" s="184"/>
      <c r="D16" s="184"/>
      <c r="E16" s="185"/>
      <c r="F16" s="114"/>
      <c r="G16" s="114"/>
      <c r="H16" s="114"/>
    </row>
    <row r="17" spans="1:8" ht="57" customHeight="1">
      <c r="A17" s="134"/>
      <c r="B17" s="146" t="s">
        <v>256</v>
      </c>
      <c r="C17" s="199"/>
      <c r="D17" s="200"/>
      <c r="E17" s="201"/>
      <c r="F17" s="114"/>
      <c r="G17" s="147"/>
      <c r="H17" s="148"/>
    </row>
    <row r="18" spans="1:8" ht="58.5" customHeight="1">
      <c r="A18" s="134"/>
      <c r="B18" s="149" t="s">
        <v>283</v>
      </c>
      <c r="C18" s="135"/>
      <c r="D18" s="205" t="str">
        <f>IF(C18="Nulo","No se tendrá Afectación al Servicio o Componentes",IF(C18="Parcial","Se presentará Intermitencia o Degradación en el Servicio",IF(C18="Total","Se presentará Afectación del Servicio o Componentes durante la Ventana de Tiempo","")))</f>
        <v/>
      </c>
      <c r="E18" s="206"/>
      <c r="F18" s="114"/>
      <c r="G18" s="150"/>
      <c r="H18" s="141" t="s">
        <v>124</v>
      </c>
    </row>
    <row r="19" spans="1:8" ht="51" customHeight="1">
      <c r="A19" s="134"/>
      <c r="B19" s="149" t="s">
        <v>284</v>
      </c>
      <c r="C19" s="202"/>
      <c r="D19" s="203"/>
      <c r="E19" s="204"/>
      <c r="F19" s="114"/>
      <c r="G19" s="114"/>
      <c r="H19" s="114"/>
    </row>
    <row r="20" spans="1:8" ht="51" customHeight="1">
      <c r="A20" s="134"/>
      <c r="B20" s="149" t="s">
        <v>257</v>
      </c>
      <c r="C20" s="151"/>
      <c r="D20" s="207"/>
      <c r="E20" s="208"/>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t="str">
        <f>Plan!E5</f>
        <v>Captura F/H Primer Actividad pestaña Plan</v>
      </c>
      <c r="D23" s="146" t="s">
        <v>286</v>
      </c>
      <c r="E23" s="153">
        <f>Plan!F5</f>
        <v>43777.673611111109</v>
      </c>
      <c r="F23" s="114"/>
      <c r="G23" s="114"/>
      <c r="H23" s="114"/>
    </row>
    <row r="24" spans="1:8" ht="36" customHeight="1">
      <c r="A24" s="134"/>
      <c r="B24" s="149" t="s">
        <v>288</v>
      </c>
      <c r="C24" s="153" t="str">
        <f>IF(Plan!D4=0,"Selecciona VT Actividad en Pestaña Plan celda D4",Plan!D4)</f>
        <v>Selecciona VT Actividad en Pestaña Plan celda D4</v>
      </c>
      <c r="D24" s="197"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98"/>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202"/>
      <c r="D26" s="203"/>
      <c r="E26" s="204"/>
      <c r="F26" s="114"/>
      <c r="G26" s="114"/>
      <c r="H26" s="114"/>
    </row>
    <row r="27" spans="1:8" ht="39" customHeight="1">
      <c r="A27" s="134"/>
      <c r="B27" s="146" t="s">
        <v>260</v>
      </c>
      <c r="C27" s="194"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95"/>
      <c r="E27" s="196"/>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 ref="B4:E4"/>
  </mergeCells>
  <conditionalFormatting sqref="C27:E27">
    <cfRule type="containsText" dxfId="1269" priority="127" operator="containsText" text="Captura los Aprobadores en la Pestaña Matriz de Comunicación">
      <formula>NOT(ISERROR(SEARCH("Captura los Aprobadores en la Pestaña Matriz de Comunicación",C27)))</formula>
    </cfRule>
    <cfRule type="containsText" dxfId="1268"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267" priority="61">
      <formula>LEN(TRIM(C23))=0</formula>
    </cfRule>
    <cfRule type="containsText" dxfId="1266" priority="173" operator="containsText" text="Captura F/H Primer Actividad pestaña Plan">
      <formula>NOT(ISERROR(SEARCH("Captura F/H Primer Actividad pestaña Plan",C23)))</formula>
    </cfRule>
  </conditionalFormatting>
  <conditionalFormatting sqref="E23">
    <cfRule type="containsText" dxfId="1265" priority="172" operator="containsText" text="Captura Actividad Macro FIN en Pestaña Plan">
      <formula>NOT(ISERROR(SEARCH("Captura Actividad Macro FIN en Pestaña Plan",E23)))</formula>
    </cfRule>
  </conditionalFormatting>
  <conditionalFormatting sqref="D24:E24">
    <cfRule type="containsText" dxfId="1264" priority="170" operator="containsText" text="Selecciona en la pestaña Plan la opción en la Celda D4">
      <formula>NOT(ISERROR(SEARCH("Selecciona en la pestaña Plan la opción en la Celda D4",D24)))</formula>
    </cfRule>
  </conditionalFormatting>
  <conditionalFormatting sqref="C6">
    <cfRule type="containsBlanks" dxfId="1263" priority="190">
      <formula>LEN(TRIM(C6))=0</formula>
    </cfRule>
  </conditionalFormatting>
  <conditionalFormatting sqref="E6">
    <cfRule type="containsBlanks" dxfId="1262" priority="191">
      <formula>LEN(TRIM(E6))=0</formula>
    </cfRule>
  </conditionalFormatting>
  <conditionalFormatting sqref="C8">
    <cfRule type="containsBlanks" dxfId="1261" priority="195">
      <formula>LEN(TRIM(C8))=0</formula>
    </cfRule>
  </conditionalFormatting>
  <conditionalFormatting sqref="C9">
    <cfRule type="containsBlanks" dxfId="1260" priority="196">
      <formula>LEN(TRIM(C9))=0</formula>
    </cfRule>
  </conditionalFormatting>
  <conditionalFormatting sqref="C10">
    <cfRule type="containsBlanks" dxfId="1259" priority="197">
      <formula>LEN(TRIM(C10))=0</formula>
    </cfRule>
  </conditionalFormatting>
  <conditionalFormatting sqref="C12">
    <cfRule type="containsBlanks" dxfId="1258" priority="198">
      <formula>LEN(TRIM(C12))=0</formula>
    </cfRule>
  </conditionalFormatting>
  <conditionalFormatting sqref="C11">
    <cfRule type="containsBlanks" dxfId="1257" priority="199">
      <formula>LEN(TRIM(C11))=0</formula>
    </cfRule>
  </conditionalFormatting>
  <conditionalFormatting sqref="C13">
    <cfRule type="containsBlanks" dxfId="1256" priority="200">
      <formula>LEN(TRIM(C13))=0</formula>
    </cfRule>
  </conditionalFormatting>
  <conditionalFormatting sqref="E13">
    <cfRule type="containsBlanks" dxfId="1255" priority="201">
      <formula>LEN(TRIM(E13))=0</formula>
    </cfRule>
  </conditionalFormatting>
  <conditionalFormatting sqref="C14">
    <cfRule type="containsBlanks" dxfId="1254" priority="202">
      <formula>LEN(TRIM(C14))=0</formula>
    </cfRule>
  </conditionalFormatting>
  <conditionalFormatting sqref="C15">
    <cfRule type="containsBlanks" dxfId="1253" priority="203">
      <formula>LEN(TRIM(C15))=0</formula>
    </cfRule>
  </conditionalFormatting>
  <conditionalFormatting sqref="E5">
    <cfRule type="containsBlanks" dxfId="1252" priority="194">
      <formula>LEN(TRIM(E5))=0</formula>
    </cfRule>
  </conditionalFormatting>
  <conditionalFormatting sqref="C17">
    <cfRule type="containsBlanks" dxfId="1251" priority="189">
      <formula>LEN(TRIM(C17))=0</formula>
    </cfRule>
  </conditionalFormatting>
  <conditionalFormatting sqref="C18">
    <cfRule type="containsBlanks" dxfId="1250" priority="188">
      <formula>LEN(TRIM(C18))=0</formula>
    </cfRule>
  </conditionalFormatting>
  <conditionalFormatting sqref="E7">
    <cfRule type="containsBlanks" dxfId="1249" priority="77">
      <formula>LEN(TRIM(E7))=0</formula>
    </cfRule>
  </conditionalFormatting>
  <conditionalFormatting sqref="C7">
    <cfRule type="containsBlanks" dxfId="1248" priority="75">
      <formula>LEN(TRIM(C7))=0</formula>
    </cfRule>
  </conditionalFormatting>
  <conditionalFormatting sqref="C19:C20">
    <cfRule type="containsBlanks" dxfId="1247" priority="71">
      <formula>LEN(TRIM(C19))=0</formula>
    </cfRule>
  </conditionalFormatting>
  <conditionalFormatting sqref="C21">
    <cfRule type="containsBlanks" dxfId="1246" priority="69">
      <formula>LEN(TRIM(C21))=0</formula>
    </cfRule>
  </conditionalFormatting>
  <conditionalFormatting sqref="E21">
    <cfRule type="containsBlanks" dxfId="1245" priority="67">
      <formula>LEN(TRIM(E21))=0</formula>
    </cfRule>
  </conditionalFormatting>
  <conditionalFormatting sqref="E22">
    <cfRule type="containsBlanks" dxfId="1244" priority="63">
      <formula>LEN(TRIM(E22))=0</formula>
    </cfRule>
  </conditionalFormatting>
  <conditionalFormatting sqref="C24">
    <cfRule type="containsText" dxfId="1243" priority="14" operator="containsText" text="Selecciona VT Actividad en Pestaña Plan celda D4">
      <formula>NOT(ISERROR(SEARCH("Selecciona VT Actividad en Pestaña Plan celda D4",C24)))</formula>
    </cfRule>
    <cfRule type="containsBlanks" dxfId="1242" priority="59">
      <formula>LEN(TRIM(C24))=0</formula>
    </cfRule>
    <cfRule type="containsText" dxfId="1241" priority="60" operator="containsText" text="Captura F/H Primer Actividad pestaña Plan">
      <formula>NOT(ISERROR(SEARCH("Captura F/H Primer Actividad pestaña Plan",C24)))</formula>
    </cfRule>
  </conditionalFormatting>
  <conditionalFormatting sqref="C25">
    <cfRule type="containsText" dxfId="1240" priority="13" operator="containsText" text="Captura Actividad Macro VTI pestaña PIan">
      <formula>NOT(ISERROR(SEARCH("Captura Actividad Macro VTI pestaña PIan",C25)))</formula>
    </cfRule>
    <cfRule type="containsText" dxfId="1239" priority="58" operator="containsText" text="Captura F/H Primer Actividad pestaña Plan">
      <formula>NOT(ISERROR(SEARCH("Captura F/H Primer Actividad pestaña Plan",C25)))</formula>
    </cfRule>
  </conditionalFormatting>
  <conditionalFormatting sqref="E25">
    <cfRule type="containsText" dxfId="1238" priority="12" operator="containsText" text="Captura Actividad Macro VTF Pestaña Plan">
      <formula>NOT(ISERROR(SEARCH("Captura Actividad Macro VTF Pestaña Plan",E25)))</formula>
    </cfRule>
    <cfRule type="containsText" dxfId="1237" priority="56" operator="containsText" text="Captura F/H Primer Actividad pestaña Plan">
      <formula>NOT(ISERROR(SEARCH("Captura F/H Primer Actividad pestaña Plan",E25)))</formula>
    </cfRule>
  </conditionalFormatting>
  <conditionalFormatting sqref="C26">
    <cfRule type="containsBlanks" dxfId="1236" priority="54">
      <formula>LEN(TRIM(C26))=0</formula>
    </cfRule>
  </conditionalFormatting>
  <conditionalFormatting sqref="C22">
    <cfRule type="containsBlanks" dxfId="1235" priority="52">
      <formula>LEN(TRIM(C22))=0</formula>
    </cfRule>
  </conditionalFormatting>
  <conditionalFormatting sqref="G29">
    <cfRule type="containsBlanks" dxfId="1234" priority="192">
      <formula>LEN(TRIM(G29))=0</formula>
    </cfRule>
  </conditionalFormatting>
  <conditionalFormatting sqref="C29">
    <cfRule type="containsText" dxfId="1233" priority="46" operator="containsText" text="Captura F/H Primer Actividad pestaña Plan">
      <formula>NOT(ISERROR(SEARCH("Captura F/H Primer Actividad pestaña Plan",C29)))</formula>
    </cfRule>
    <cfRule type="containsBlanks" dxfId="1232" priority="193">
      <formula>LEN(TRIM(C29))=0</formula>
    </cfRule>
  </conditionalFormatting>
  <conditionalFormatting sqref="E29">
    <cfRule type="containsText" dxfId="1231" priority="43" operator="containsText" text="Captura F/H Primer Actividad pestaña Plan">
      <formula>NOT(ISERROR(SEARCH("Captura F/H Primer Actividad pestaña Plan",E29)))</formula>
    </cfRule>
    <cfRule type="containsBlanks" dxfId="1230" priority="44">
      <formula>LEN(TRIM(E29))=0</formula>
    </cfRule>
  </conditionalFormatting>
  <conditionalFormatting sqref="C31">
    <cfRule type="containsText" dxfId="1229" priority="37" operator="containsText" text="Captura F/H Primer Actividad pestaña Plan">
      <formula>NOT(ISERROR(SEARCH("Captura F/H Primer Actividad pestaña Plan",C31)))</formula>
    </cfRule>
    <cfRule type="containsBlanks" dxfId="1228" priority="38">
      <formula>LEN(TRIM(C31))=0</formula>
    </cfRule>
  </conditionalFormatting>
  <conditionalFormatting sqref="E31">
    <cfRule type="containsText" dxfId="1227" priority="35" operator="containsText" text="Captura F/H Primer Actividad pestaña Plan">
      <formula>NOT(ISERROR(SEARCH("Captura F/H Primer Actividad pestaña Plan",E31)))</formula>
    </cfRule>
    <cfRule type="containsBlanks" dxfId="1226" priority="36">
      <formula>LEN(TRIM(E31))=0</formula>
    </cfRule>
  </conditionalFormatting>
  <conditionalFormatting sqref="C32">
    <cfRule type="containsText" dxfId="1225" priority="33" operator="containsText" text="Captura F/H Primer Actividad pestaña Plan">
      <formula>NOT(ISERROR(SEARCH("Captura F/H Primer Actividad pestaña Plan",C32)))</formula>
    </cfRule>
    <cfRule type="containsBlanks" dxfId="1224" priority="34">
      <formula>LEN(TRIM(C32))=0</formula>
    </cfRule>
  </conditionalFormatting>
  <conditionalFormatting sqref="E32">
    <cfRule type="containsText" dxfId="1223" priority="31" operator="containsText" text="Captura F/H Primer Actividad pestaña Plan">
      <formula>NOT(ISERROR(SEARCH("Captura F/H Primer Actividad pestaña Plan",E32)))</formula>
    </cfRule>
    <cfRule type="containsBlanks" dxfId="1222" priority="32">
      <formula>LEN(TRIM(E32))=0</formula>
    </cfRule>
  </conditionalFormatting>
  <conditionalFormatting sqref="G18">
    <cfRule type="containsBlanks" dxfId="1221" priority="30">
      <formula>LEN(TRIM(G18))=0</formula>
    </cfRule>
  </conditionalFormatting>
  <conditionalFormatting sqref="G7">
    <cfRule type="containsBlanks" dxfId="1220" priority="28">
      <formula>LEN(TRIM(G7))=0</formula>
    </cfRule>
  </conditionalFormatting>
  <conditionalFormatting sqref="C33">
    <cfRule type="containsBlanks" dxfId="1219" priority="22">
      <formula>LEN(TRIM(C33))=0</formula>
    </cfRule>
  </conditionalFormatting>
  <conditionalFormatting sqref="E33">
    <cfRule type="containsBlanks" dxfId="1218" priority="20">
      <formula>LEN(TRIM(E33))=0</formula>
    </cfRule>
  </conditionalFormatting>
  <conditionalFormatting sqref="E12">
    <cfRule type="containsBlanks" dxfId="1217" priority="18">
      <formula>LEN(TRIM(E12))=0</formula>
    </cfRule>
  </conditionalFormatting>
  <conditionalFormatting sqref="E8">
    <cfRule type="containsBlanks" dxfId="1216" priority="16">
      <formula>LEN(TRIM(E8))=0</formula>
    </cfRule>
  </conditionalFormatting>
  <conditionalFormatting sqref="E30">
    <cfRule type="containsText" dxfId="1215" priority="8" operator="containsText" text="Captura F/H Primer Actividad pestaña Plan">
      <formula>NOT(ISERROR(SEARCH("Captura F/H Primer Actividad pestaña Plan",E30)))</formula>
    </cfRule>
    <cfRule type="containsBlanks" dxfId="1214" priority="9">
      <formula>LEN(TRIM(E30))=0</formula>
    </cfRule>
  </conditionalFormatting>
  <conditionalFormatting sqref="C30">
    <cfRule type="containsText" dxfId="1213" priority="2" operator="containsText" text="Captura F/H Primer Actividad pestaña Plan">
      <formula>NOT(ISERROR(SEARCH("Captura F/H Primer Actividad pestaña Plan",C30)))</formula>
    </cfRule>
    <cfRule type="containsBlanks" dxfId="1212" priority="3">
      <formula>LEN(TRIM(C30))=0</formula>
    </cfRule>
  </conditionalFormatting>
  <conditionalFormatting sqref="C5">
    <cfRule type="containsBlanks" dxfId="1211"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$G$8:$G$10</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 D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zoomScaleNormal="100" workbookViewId="0">
      <selection activeCell="E11" sqref="E11"/>
    </sheetView>
  </sheetViews>
  <sheetFormatPr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23.25" customHeight="1">
      <c r="C4" s="212" t="s">
        <v>13</v>
      </c>
      <c r="D4" s="212"/>
      <c r="E4" s="122" t="s">
        <v>14</v>
      </c>
      <c r="F4" s="123" t="s">
        <v>319</v>
      </c>
      <c r="G4" s="123" t="s">
        <v>15</v>
      </c>
      <c r="H4" s="123" t="s">
        <v>16</v>
      </c>
    </row>
    <row r="5" spans="3:8" ht="31.5" customHeight="1">
      <c r="C5" s="210" t="s">
        <v>387</v>
      </c>
      <c r="D5" s="211"/>
      <c r="E5" s="90" t="s">
        <v>389</v>
      </c>
      <c r="F5" s="125" t="s">
        <v>382</v>
      </c>
      <c r="G5" s="126"/>
      <c r="H5" s="126"/>
    </row>
    <row r="6" spans="3:8" ht="13.5">
      <c r="C6" s="210" t="s">
        <v>388</v>
      </c>
      <c r="D6" s="211"/>
      <c r="E6" s="90" t="s">
        <v>390</v>
      </c>
      <c r="F6" s="125"/>
      <c r="G6" s="125"/>
      <c r="H6" s="126"/>
    </row>
    <row r="7" spans="3:8" ht="40.5" customHeight="1">
      <c r="C7" s="210"/>
      <c r="D7" s="211"/>
      <c r="E7" s="90"/>
      <c r="F7" s="125"/>
      <c r="G7" s="125"/>
      <c r="H7" s="126"/>
    </row>
    <row r="8" spans="3:8" ht="13.5">
      <c r="C8" s="210"/>
      <c r="D8" s="211"/>
      <c r="E8" s="90"/>
      <c r="F8" s="125"/>
      <c r="G8" s="125"/>
      <c r="H8" s="126"/>
    </row>
    <row r="9" spans="3:8" ht="12.75" customHeight="1">
      <c r="C9" s="210"/>
      <c r="D9" s="211"/>
      <c r="E9" s="124"/>
      <c r="F9" s="125"/>
      <c r="G9" s="125"/>
      <c r="H9" s="126"/>
    </row>
    <row r="10" spans="3:8" ht="12.75" customHeight="1">
      <c r="C10" s="210"/>
      <c r="D10" s="211"/>
      <c r="E10" s="124"/>
      <c r="F10" s="125"/>
      <c r="G10" s="125"/>
      <c r="H10" s="126"/>
    </row>
    <row r="11" spans="3:8" ht="12.75" customHeight="1">
      <c r="C11" s="210"/>
      <c r="D11" s="211"/>
      <c r="E11" s="124"/>
      <c r="F11" s="125"/>
      <c r="G11" s="125"/>
      <c r="H11" s="126"/>
    </row>
    <row r="12" spans="3:8" ht="12.75" customHeight="1">
      <c r="C12" s="210"/>
      <c r="D12" s="211"/>
      <c r="E12" s="124"/>
      <c r="F12" s="125"/>
      <c r="G12" s="125"/>
      <c r="H12" s="126"/>
    </row>
    <row r="13" spans="3:8" ht="12.75" customHeight="1">
      <c r="C13" s="210"/>
      <c r="D13" s="211"/>
      <c r="E13" s="124"/>
      <c r="F13" s="125"/>
      <c r="G13" s="125"/>
      <c r="H13" s="126"/>
    </row>
    <row r="14" spans="3:8" ht="12.75" customHeight="1">
      <c r="C14" s="210"/>
      <c r="D14" s="211"/>
      <c r="E14" s="124"/>
      <c r="F14" s="125"/>
      <c r="G14" s="125"/>
      <c r="H14" s="126"/>
    </row>
    <row r="15" spans="3:8" ht="12.75" customHeight="1">
      <c r="C15" s="210"/>
      <c r="D15" s="211"/>
      <c r="E15" s="124"/>
      <c r="F15" s="125"/>
      <c r="G15" s="125"/>
      <c r="H15" s="126"/>
    </row>
    <row r="16" spans="3:8" ht="12.75" customHeight="1">
      <c r="C16" s="210"/>
      <c r="D16" s="211"/>
      <c r="E16" s="124"/>
      <c r="F16" s="125"/>
      <c r="G16" s="125"/>
      <c r="H16" s="126"/>
    </row>
    <row r="17" spans="3:8" ht="15.75" customHeight="1">
      <c r="C17" s="210"/>
      <c r="D17" s="211"/>
      <c r="E17" s="124"/>
      <c r="F17" s="125"/>
      <c r="G17" s="125"/>
      <c r="H17" s="126"/>
    </row>
    <row r="18" spans="3:8" ht="27.75" customHeight="1">
      <c r="C18" s="209"/>
      <c r="D18" s="209"/>
      <c r="E18" s="124"/>
      <c r="F18" s="125"/>
      <c r="G18" s="124"/>
      <c r="H18" s="126"/>
    </row>
    <row r="19" spans="3:8" ht="12.75" customHeight="1">
      <c r="C19" s="209"/>
      <c r="D19" s="209"/>
      <c r="E19" s="124"/>
      <c r="F19" s="125"/>
      <c r="G19" s="124"/>
      <c r="H19" s="126"/>
    </row>
    <row r="20" spans="3:8" ht="12.75" customHeight="1">
      <c r="C20" s="209"/>
      <c r="D20" s="209"/>
      <c r="E20" s="124"/>
      <c r="F20" s="125"/>
      <c r="G20" s="124"/>
      <c r="H20" s="126"/>
    </row>
    <row r="21" spans="3:8" ht="12.75" customHeight="1">
      <c r="C21" s="209"/>
      <c r="D21" s="209"/>
      <c r="E21" s="124"/>
      <c r="F21" s="124"/>
      <c r="G21" s="126"/>
      <c r="H21" s="126"/>
    </row>
    <row r="22" spans="3:8" ht="12.75" customHeight="1">
      <c r="C22" s="209"/>
      <c r="D22" s="209"/>
      <c r="E22" s="124"/>
      <c r="F22" s="124"/>
      <c r="G22" s="126"/>
      <c r="H22" s="126"/>
    </row>
    <row r="23" spans="3:8" ht="12.75" customHeight="1">
      <c r="C23" s="209"/>
      <c r="D23" s="209"/>
      <c r="E23" s="124"/>
      <c r="F23" s="124"/>
      <c r="G23" s="126"/>
      <c r="H23" s="126"/>
    </row>
    <row r="24" spans="3:8" ht="12.75" customHeight="1">
      <c r="C24" s="209"/>
      <c r="D24" s="209"/>
      <c r="E24" s="124"/>
      <c r="F24" s="124"/>
      <c r="G24" s="126"/>
      <c r="H24" s="126"/>
    </row>
    <row r="25" spans="3:8" ht="12.75" customHeight="1">
      <c r="C25" s="209"/>
      <c r="D25" s="209"/>
      <c r="E25" s="124"/>
      <c r="F25" s="124"/>
      <c r="G25" s="126"/>
      <c r="H25" s="126"/>
    </row>
    <row r="26" spans="3:8" ht="12.75" customHeight="1">
      <c r="C26" s="209"/>
      <c r="D26" s="209"/>
      <c r="E26" s="124"/>
      <c r="F26" s="124"/>
      <c r="G26" s="126"/>
      <c r="H26" s="126"/>
    </row>
    <row r="27" spans="3:8" ht="12.75" customHeight="1">
      <c r="C27" s="209"/>
      <c r="D27" s="209"/>
      <c r="E27" s="124"/>
      <c r="F27" s="124"/>
      <c r="G27" s="126"/>
      <c r="H27" s="126"/>
    </row>
    <row r="28" spans="3:8" ht="12.75" customHeight="1">
      <c r="C28" s="209"/>
      <c r="D28" s="209"/>
      <c r="E28" s="124"/>
      <c r="F28" s="124"/>
      <c r="G28" s="126"/>
      <c r="H28" s="126"/>
    </row>
    <row r="29" spans="3:8" ht="12.75" customHeight="1">
      <c r="C29" s="209"/>
      <c r="D29" s="209"/>
      <c r="E29" s="124"/>
      <c r="F29" s="124"/>
      <c r="G29" s="126"/>
      <c r="H29" s="126"/>
    </row>
    <row r="30" spans="3:8" ht="12.75" customHeight="1">
      <c r="C30" s="209"/>
      <c r="D30" s="209"/>
      <c r="E30" s="124"/>
      <c r="F30" s="124"/>
      <c r="G30" s="126"/>
      <c r="H30" s="126"/>
    </row>
    <row r="31" spans="3:8" ht="12.75" customHeight="1">
      <c r="C31" s="209"/>
      <c r="D31" s="209"/>
      <c r="E31" s="124"/>
      <c r="F31" s="124"/>
      <c r="G31" s="126"/>
      <c r="H31" s="126"/>
    </row>
    <row r="32" spans="3:8" ht="12.75" customHeight="1">
      <c r="C32" s="209"/>
      <c r="D32" s="209"/>
      <c r="E32" s="124"/>
      <c r="F32" s="124"/>
      <c r="G32" s="126"/>
      <c r="H32" s="126"/>
    </row>
    <row r="33" spans="3:8" ht="12.75" customHeight="1">
      <c r="C33" s="209"/>
      <c r="D33" s="209"/>
      <c r="E33" s="124"/>
      <c r="F33" s="124"/>
      <c r="G33" s="126"/>
      <c r="H33" s="126"/>
    </row>
    <row r="34" spans="3:8" ht="12.75" customHeight="1">
      <c r="C34" s="209"/>
      <c r="D34" s="209"/>
      <c r="E34" s="124"/>
      <c r="F34" s="124"/>
      <c r="G34" s="126"/>
      <c r="H34" s="126"/>
    </row>
    <row r="35" spans="3:8" ht="12.75" customHeight="1">
      <c r="C35" s="209"/>
      <c r="D35" s="209"/>
      <c r="E35" s="124"/>
      <c r="F35" s="124"/>
      <c r="G35" s="126"/>
      <c r="H35" s="126"/>
    </row>
    <row r="36" spans="3:8" ht="12.75" customHeight="1">
      <c r="C36" s="209"/>
      <c r="D36" s="209"/>
      <c r="E36" s="124"/>
      <c r="F36" s="124"/>
      <c r="G36" s="126"/>
      <c r="H36" s="126"/>
    </row>
    <row r="37" spans="3:8" ht="12.75" customHeight="1">
      <c r="C37" s="209"/>
      <c r="D37" s="209"/>
      <c r="E37" s="124"/>
      <c r="F37" s="124"/>
      <c r="G37" s="126"/>
      <c r="H37" s="126"/>
    </row>
    <row r="38" spans="3:8" ht="12.75" customHeight="1">
      <c r="C38" s="209"/>
      <c r="D38" s="209"/>
      <c r="E38" s="124"/>
      <c r="F38" s="124"/>
      <c r="G38" s="126"/>
      <c r="H38" s="126"/>
    </row>
    <row r="39" spans="3:8" ht="12.75" customHeight="1">
      <c r="C39" s="209"/>
      <c r="D39" s="209"/>
      <c r="E39" s="124"/>
      <c r="F39" s="124"/>
      <c r="G39" s="126"/>
      <c r="H39" s="126"/>
    </row>
    <row r="40" spans="3:8" ht="12.75" customHeight="1">
      <c r="C40" s="209"/>
      <c r="D40" s="209"/>
      <c r="E40" s="124"/>
      <c r="F40" s="124"/>
      <c r="G40" s="126"/>
      <c r="H40" s="126"/>
    </row>
    <row r="41" spans="3:8" ht="12.75" customHeight="1">
      <c r="C41" s="209"/>
      <c r="D41" s="209"/>
      <c r="E41" s="124"/>
      <c r="F41" s="124"/>
      <c r="G41" s="126"/>
      <c r="H41" s="126"/>
    </row>
    <row r="42" spans="3:8" ht="12.75" customHeight="1">
      <c r="C42" s="209"/>
      <c r="D42" s="209"/>
      <c r="E42" s="124"/>
      <c r="F42" s="124"/>
      <c r="G42" s="126"/>
      <c r="H42" s="126"/>
    </row>
    <row r="43" spans="3:8" ht="12.75" customHeight="1">
      <c r="C43" s="209"/>
      <c r="D43" s="209"/>
      <c r="E43" s="124"/>
      <c r="F43" s="124"/>
      <c r="G43" s="126"/>
      <c r="H43" s="126"/>
    </row>
    <row r="44" spans="3:8" ht="12.75" customHeight="1">
      <c r="C44" s="209"/>
      <c r="D44" s="209"/>
      <c r="E44" s="124"/>
      <c r="F44" s="124"/>
      <c r="G44" s="126"/>
      <c r="H44" s="126"/>
    </row>
    <row r="45" spans="3:8" ht="12.75" customHeight="1">
      <c r="C45" s="209"/>
      <c r="D45" s="209"/>
      <c r="E45" s="124"/>
      <c r="F45" s="124"/>
      <c r="G45" s="126"/>
      <c r="H45" s="126"/>
    </row>
    <row r="46" spans="3:8" ht="12.75" customHeight="1">
      <c r="C46" s="209"/>
      <c r="D46" s="209"/>
      <c r="E46" s="124"/>
      <c r="F46" s="124"/>
      <c r="G46" s="126"/>
      <c r="H46" s="126"/>
    </row>
    <row r="47" spans="3:8" ht="12.75" customHeight="1">
      <c r="C47" s="209"/>
      <c r="D47" s="209"/>
      <c r="E47" s="124"/>
      <c r="F47" s="124"/>
      <c r="G47" s="126"/>
      <c r="H47" s="126"/>
    </row>
    <row r="48" spans="3:8" ht="12.75" customHeight="1">
      <c r="C48" s="209"/>
      <c r="D48" s="209"/>
      <c r="E48" s="124"/>
      <c r="F48" s="124"/>
      <c r="G48" s="126"/>
      <c r="H48" s="126"/>
    </row>
    <row r="49" spans="3:8" ht="12.75" customHeight="1">
      <c r="C49" s="209"/>
      <c r="D49" s="209"/>
      <c r="E49" s="124"/>
      <c r="F49" s="124"/>
      <c r="G49" s="126"/>
      <c r="H49" s="126"/>
    </row>
    <row r="50" spans="3:8" ht="12.75" customHeight="1">
      <c r="C50" s="209"/>
      <c r="D50" s="209"/>
      <c r="E50" s="124"/>
      <c r="F50" s="124"/>
      <c r="G50" s="126"/>
      <c r="H50" s="126"/>
    </row>
    <row r="51" spans="3:8" ht="12.75" customHeight="1">
      <c r="C51" s="209"/>
      <c r="D51" s="209"/>
      <c r="E51" s="124"/>
      <c r="F51" s="124"/>
      <c r="G51" s="126"/>
      <c r="H51" s="126"/>
    </row>
    <row r="52" spans="3:8" ht="12.75" customHeight="1">
      <c r="C52" s="209"/>
      <c r="D52" s="209"/>
      <c r="E52" s="124"/>
      <c r="F52" s="124"/>
      <c r="G52" s="126"/>
      <c r="H52" s="126"/>
    </row>
    <row r="53" spans="3:8" ht="12.75" customHeight="1">
      <c r="C53" s="209"/>
      <c r="D53" s="209"/>
      <c r="E53" s="124"/>
      <c r="F53" s="124"/>
      <c r="G53" s="126"/>
      <c r="H53" s="126"/>
    </row>
    <row r="54" spans="3:8" ht="12.75" customHeight="1">
      <c r="C54" s="209"/>
      <c r="D54" s="209"/>
      <c r="E54" s="124"/>
      <c r="F54" s="124"/>
      <c r="G54" s="126"/>
      <c r="H54" s="126"/>
    </row>
    <row r="55" spans="3:8" ht="12.75" customHeight="1">
      <c r="C55" s="209"/>
      <c r="D55" s="209"/>
      <c r="E55" s="124"/>
      <c r="F55" s="124"/>
      <c r="G55" s="126"/>
      <c r="H55" s="126"/>
    </row>
    <row r="56" spans="3:8" ht="12.75" customHeight="1">
      <c r="C56" s="209"/>
      <c r="D56" s="209"/>
      <c r="E56" s="124"/>
      <c r="F56" s="124"/>
      <c r="G56" s="126"/>
      <c r="H56" s="126"/>
    </row>
    <row r="57" spans="3:8" ht="12.75" customHeight="1">
      <c r="C57" s="209"/>
      <c r="D57" s="209"/>
      <c r="E57" s="124"/>
      <c r="F57" s="124"/>
      <c r="G57" s="126"/>
      <c r="H57" s="126"/>
    </row>
    <row r="58" spans="3:8" ht="12.75" customHeight="1">
      <c r="C58" s="209"/>
      <c r="D58" s="209"/>
      <c r="E58" s="124"/>
      <c r="F58" s="124"/>
      <c r="G58" s="126"/>
      <c r="H58" s="126"/>
    </row>
    <row r="59" spans="3:8" ht="12.75" customHeight="1">
      <c r="C59" s="209"/>
      <c r="D59" s="209"/>
      <c r="E59" s="124"/>
      <c r="F59" s="124"/>
      <c r="G59" s="126"/>
      <c r="H59" s="126"/>
    </row>
    <row r="60" spans="3:8" ht="12.75" customHeight="1">
      <c r="C60" s="209"/>
      <c r="D60" s="209"/>
      <c r="E60" s="124"/>
      <c r="F60" s="124"/>
      <c r="G60" s="126"/>
      <c r="H60" s="126"/>
    </row>
    <row r="61" spans="3:8" ht="12.75" customHeight="1">
      <c r="C61" s="209"/>
      <c r="D61" s="209"/>
      <c r="E61" s="124"/>
      <c r="F61" s="124"/>
      <c r="G61" s="126"/>
      <c r="H61" s="126"/>
    </row>
    <row r="62" spans="3:8" ht="12.75" customHeight="1">
      <c r="C62" s="209"/>
      <c r="D62" s="209"/>
      <c r="E62" s="124"/>
      <c r="F62" s="124"/>
      <c r="G62" s="126"/>
      <c r="H62" s="126"/>
    </row>
    <row r="63" spans="3:8" ht="12.75" customHeight="1">
      <c r="C63" s="209"/>
      <c r="D63" s="209"/>
      <c r="E63" s="124"/>
      <c r="F63" s="124"/>
      <c r="G63" s="126"/>
      <c r="H63" s="126"/>
    </row>
    <row r="64" spans="3:8" ht="12.75" customHeight="1">
      <c r="C64" s="209"/>
      <c r="D64" s="209"/>
      <c r="E64" s="124"/>
      <c r="F64" s="124"/>
      <c r="G64" s="126"/>
      <c r="H64" s="126"/>
    </row>
    <row r="65" spans="3:8" ht="12.75" customHeight="1">
      <c r="C65" s="209"/>
      <c r="D65" s="209"/>
      <c r="E65" s="124"/>
      <c r="F65" s="124"/>
      <c r="G65" s="126"/>
      <c r="H65" s="126"/>
    </row>
    <row r="66" spans="3:8" ht="12.75" customHeight="1">
      <c r="C66" s="209"/>
      <c r="D66" s="209"/>
      <c r="E66" s="124"/>
      <c r="F66" s="124"/>
      <c r="G66" s="126"/>
      <c r="H66" s="126"/>
    </row>
    <row r="67" spans="3:8" ht="12.75" customHeight="1">
      <c r="C67" s="209"/>
      <c r="D67" s="209"/>
      <c r="E67" s="124"/>
      <c r="F67" s="124"/>
      <c r="G67" s="126"/>
      <c r="H67" s="126"/>
    </row>
    <row r="68" spans="3:8" ht="12.75" customHeight="1">
      <c r="C68" s="209"/>
      <c r="D68" s="209"/>
      <c r="E68" s="124"/>
      <c r="F68" s="124"/>
      <c r="G68" s="126"/>
      <c r="H68" s="126"/>
    </row>
    <row r="69" spans="3:8" ht="12.75" customHeight="1">
      <c r="C69" s="209"/>
      <c r="D69" s="209"/>
      <c r="E69" s="124"/>
      <c r="F69" s="124"/>
      <c r="G69" s="126"/>
      <c r="H69" s="126"/>
    </row>
    <row r="70" spans="3:8" ht="12.75" customHeight="1">
      <c r="C70" s="209"/>
      <c r="D70" s="209"/>
      <c r="E70" s="124"/>
      <c r="F70" s="124"/>
      <c r="G70" s="126"/>
      <c r="H70" s="126"/>
    </row>
    <row r="71" spans="3:8" ht="12.75" customHeight="1">
      <c r="C71" s="209"/>
      <c r="D71" s="209"/>
      <c r="E71" s="124"/>
      <c r="F71" s="124"/>
      <c r="G71" s="126"/>
      <c r="H71" s="126"/>
    </row>
    <row r="72" spans="3:8" ht="12.75" customHeight="1">
      <c r="C72" s="209"/>
      <c r="D72" s="209"/>
      <c r="E72" s="124"/>
      <c r="F72" s="124"/>
      <c r="G72" s="126"/>
      <c r="H72" s="126"/>
    </row>
    <row r="73" spans="3:8" ht="12.75" customHeight="1">
      <c r="C73" s="209"/>
      <c r="D73" s="209"/>
      <c r="E73" s="124"/>
      <c r="F73" s="124"/>
      <c r="G73" s="126"/>
      <c r="H73" s="126"/>
    </row>
    <row r="74" spans="3:8" ht="12.75" customHeight="1">
      <c r="C74" s="209"/>
      <c r="D74" s="209"/>
      <c r="E74" s="124"/>
      <c r="F74" s="124"/>
      <c r="G74" s="126"/>
      <c r="H74" s="126"/>
    </row>
    <row r="75" spans="3:8" ht="12.75" customHeight="1">
      <c r="C75" s="209"/>
      <c r="D75" s="209"/>
      <c r="E75" s="124"/>
      <c r="F75" s="124"/>
      <c r="G75" s="126"/>
      <c r="H75" s="126"/>
    </row>
    <row r="76" spans="3:8" ht="12.75" customHeight="1">
      <c r="C76" s="209"/>
      <c r="D76" s="209"/>
      <c r="E76" s="124"/>
      <c r="F76" s="124"/>
      <c r="G76" s="126"/>
      <c r="H76" s="126"/>
    </row>
    <row r="77" spans="3:8" ht="12.75" customHeight="1">
      <c r="C77" s="209"/>
      <c r="D77" s="209"/>
      <c r="E77" s="124"/>
      <c r="F77" s="124"/>
      <c r="G77" s="126"/>
      <c r="H77" s="126"/>
    </row>
    <row r="78" spans="3:8" ht="12.75" customHeight="1">
      <c r="C78" s="209"/>
      <c r="D78" s="209"/>
      <c r="E78" s="124"/>
      <c r="F78" s="124"/>
      <c r="G78" s="126"/>
      <c r="H78" s="126"/>
    </row>
    <row r="79" spans="3:8" ht="12.75" customHeight="1">
      <c r="C79" s="209"/>
      <c r="D79" s="209"/>
      <c r="E79" s="124"/>
      <c r="F79" s="124"/>
      <c r="G79" s="126"/>
      <c r="H79" s="126"/>
    </row>
    <row r="80" spans="3:8" ht="12.75" customHeight="1">
      <c r="C80" s="209"/>
      <c r="D80" s="209"/>
      <c r="E80" s="124"/>
      <c r="F80" s="124"/>
      <c r="G80" s="126"/>
      <c r="H80" s="126"/>
    </row>
    <row r="81" spans="3:8" ht="12.75" customHeight="1">
      <c r="C81" s="209"/>
      <c r="D81" s="209"/>
      <c r="E81" s="124"/>
      <c r="F81" s="124"/>
      <c r="G81" s="126"/>
      <c r="H81" s="126"/>
    </row>
    <row r="82" spans="3:8" ht="12.75" customHeight="1">
      <c r="C82" s="209"/>
      <c r="D82" s="209"/>
      <c r="E82" s="124"/>
      <c r="F82" s="124"/>
      <c r="G82" s="126"/>
      <c r="H82" s="126"/>
    </row>
    <row r="83" spans="3:8" ht="12.75" customHeight="1">
      <c r="C83" s="209"/>
      <c r="D83" s="209"/>
      <c r="E83" s="124"/>
      <c r="F83" s="124"/>
      <c r="G83" s="126"/>
      <c r="H83" s="126"/>
    </row>
    <row r="84" spans="3:8" ht="12.75" customHeight="1">
      <c r="C84" s="209"/>
      <c r="D84" s="209"/>
      <c r="E84" s="124"/>
      <c r="F84" s="124"/>
      <c r="G84" s="126"/>
      <c r="H84" s="126"/>
    </row>
    <row r="85" spans="3:8" ht="12.75" customHeight="1">
      <c r="C85" s="209"/>
      <c r="D85" s="209"/>
      <c r="E85" s="124"/>
      <c r="F85" s="124"/>
      <c r="G85" s="126"/>
      <c r="H85" s="126"/>
    </row>
    <row r="86" spans="3:8" ht="12.75" customHeight="1">
      <c r="C86" s="209"/>
      <c r="D86" s="209"/>
      <c r="E86" s="124"/>
      <c r="F86" s="124"/>
      <c r="G86" s="126"/>
      <c r="H86" s="126"/>
    </row>
    <row r="87" spans="3:8" ht="12.75" customHeight="1">
      <c r="C87" s="209"/>
      <c r="D87" s="209"/>
      <c r="E87" s="124"/>
      <c r="F87" s="124"/>
      <c r="G87" s="126"/>
      <c r="H87" s="126"/>
    </row>
    <row r="88" spans="3:8" ht="12.75" customHeight="1">
      <c r="C88" s="209"/>
      <c r="D88" s="209"/>
      <c r="E88" s="124"/>
      <c r="F88" s="124"/>
      <c r="G88" s="126"/>
      <c r="H88" s="126"/>
    </row>
    <row r="89" spans="3:8" ht="12.75" customHeight="1">
      <c r="C89" s="209"/>
      <c r="D89" s="209"/>
      <c r="E89" s="124"/>
      <c r="F89" s="124"/>
      <c r="G89" s="126"/>
      <c r="H89" s="126"/>
    </row>
    <row r="90" spans="3:8" ht="12.75" customHeight="1">
      <c r="C90" s="209"/>
      <c r="D90" s="209"/>
      <c r="E90" s="124"/>
      <c r="F90" s="124"/>
      <c r="G90" s="126"/>
      <c r="H90" s="126"/>
    </row>
    <row r="91" spans="3:8" ht="12.75" customHeight="1">
      <c r="C91" s="209"/>
      <c r="D91" s="209"/>
      <c r="E91" s="124"/>
      <c r="F91" s="124"/>
      <c r="G91" s="126"/>
      <c r="H91" s="126"/>
    </row>
    <row r="92" spans="3:8" ht="12.75" customHeight="1">
      <c r="C92" s="209"/>
      <c r="D92" s="209"/>
      <c r="E92" s="124"/>
      <c r="F92" s="124"/>
      <c r="G92" s="126"/>
      <c r="H92" s="126"/>
    </row>
    <row r="93" spans="3:8" ht="12.75" customHeight="1">
      <c r="C93" s="209"/>
      <c r="D93" s="209"/>
      <c r="E93" s="124"/>
      <c r="F93" s="124"/>
      <c r="G93" s="126"/>
      <c r="H93" s="126"/>
    </row>
    <row r="94" spans="3:8" ht="12.75" customHeight="1">
      <c r="C94" s="209"/>
      <c r="D94" s="209"/>
      <c r="E94" s="124"/>
      <c r="F94" s="124"/>
      <c r="G94" s="126"/>
      <c r="H94" s="126"/>
    </row>
    <row r="95" spans="3:8" ht="12.75" customHeight="1">
      <c r="C95" s="209"/>
      <c r="D95" s="209"/>
      <c r="E95" s="124"/>
      <c r="F95" s="124"/>
      <c r="G95" s="126"/>
      <c r="H95" s="126"/>
    </row>
    <row r="96" spans="3:8" ht="12.75" customHeight="1">
      <c r="C96" s="209"/>
      <c r="D96" s="209"/>
      <c r="E96" s="124"/>
      <c r="F96" s="124"/>
      <c r="G96" s="126"/>
      <c r="H96" s="126"/>
    </row>
    <row r="97" spans="3:8" ht="12.75" customHeight="1">
      <c r="C97" s="209"/>
      <c r="D97" s="209"/>
      <c r="E97" s="124"/>
      <c r="F97" s="124"/>
      <c r="G97" s="126"/>
      <c r="H97" s="126"/>
    </row>
    <row r="98" spans="3:8" ht="12.75" customHeight="1">
      <c r="C98" s="209"/>
      <c r="D98" s="209"/>
      <c r="E98" s="124"/>
      <c r="F98" s="124"/>
      <c r="G98" s="126"/>
      <c r="H98" s="126"/>
    </row>
    <row r="99" spans="3:8" ht="12.75" customHeight="1">
      <c r="C99" s="209"/>
      <c r="D99" s="209"/>
      <c r="E99" s="124"/>
      <c r="F99" s="124"/>
      <c r="G99" s="126"/>
      <c r="H99" s="126"/>
    </row>
    <row r="100" spans="3:8" ht="12.75" customHeight="1">
      <c r="C100" s="209"/>
      <c r="D100" s="209"/>
      <c r="E100" s="124"/>
      <c r="F100" s="124"/>
      <c r="G100" s="126"/>
      <c r="H100" s="126"/>
    </row>
    <row r="101" spans="3:8" ht="12.75" customHeight="1">
      <c r="C101" s="209"/>
      <c r="D101" s="209"/>
      <c r="E101" s="124"/>
      <c r="F101" s="124"/>
      <c r="G101" s="126"/>
      <c r="H101" s="126"/>
    </row>
    <row r="102" spans="3:8" ht="12.75" customHeight="1">
      <c r="C102" s="209"/>
      <c r="D102" s="209"/>
      <c r="E102" s="124"/>
      <c r="F102" s="124"/>
      <c r="G102" s="126"/>
      <c r="H102" s="126"/>
    </row>
    <row r="103" spans="3:8" ht="12.75" customHeight="1">
      <c r="C103" s="209"/>
      <c r="D103" s="209"/>
      <c r="E103" s="124"/>
      <c r="F103" s="124"/>
      <c r="G103" s="126"/>
      <c r="H103" s="126"/>
    </row>
    <row r="104" spans="3:8" ht="12.75" customHeight="1">
      <c r="C104" s="209"/>
      <c r="D104" s="209"/>
      <c r="E104" s="124"/>
      <c r="F104" s="124"/>
      <c r="G104" s="126"/>
      <c r="H104" s="126"/>
    </row>
    <row r="105" spans="3:8" ht="12.75" customHeight="1">
      <c r="C105" s="209"/>
      <c r="D105" s="209"/>
      <c r="E105" s="124"/>
      <c r="F105" s="124"/>
      <c r="G105" s="126"/>
      <c r="H105" s="126"/>
    </row>
    <row r="106" spans="3:8" ht="12.75" customHeight="1">
      <c r="C106" s="209"/>
      <c r="D106" s="209"/>
      <c r="E106" s="124"/>
      <c r="F106" s="124"/>
      <c r="G106" s="126"/>
      <c r="H106" s="126"/>
    </row>
    <row r="107" spans="3:8" ht="12.75" customHeight="1">
      <c r="C107" s="209"/>
      <c r="D107" s="209"/>
      <c r="E107" s="124"/>
      <c r="F107" s="124"/>
      <c r="G107" s="126"/>
      <c r="H107" s="126"/>
    </row>
    <row r="108" spans="3:8" ht="12.75" customHeight="1">
      <c r="C108" s="209"/>
      <c r="D108" s="209"/>
      <c r="E108" s="124"/>
      <c r="F108" s="124"/>
      <c r="G108" s="126"/>
      <c r="H108" s="126"/>
    </row>
    <row r="109" spans="3:8" ht="12.75" customHeight="1">
      <c r="C109" s="209"/>
      <c r="D109" s="209"/>
      <c r="E109" s="124"/>
      <c r="F109" s="124"/>
      <c r="G109" s="126"/>
      <c r="H109" s="126"/>
    </row>
    <row r="110" spans="3:8" ht="12.75" customHeight="1">
      <c r="C110" s="209"/>
      <c r="D110" s="209"/>
      <c r="E110" s="124"/>
      <c r="F110" s="124"/>
      <c r="G110" s="126"/>
      <c r="H110" s="126"/>
    </row>
    <row r="111" spans="3:8" ht="12.75" customHeight="1">
      <c r="C111" s="209"/>
      <c r="D111" s="209"/>
      <c r="E111" s="124"/>
      <c r="F111" s="124"/>
      <c r="G111" s="126"/>
      <c r="H111" s="126"/>
    </row>
    <row r="112" spans="3:8" ht="12.75" customHeight="1">
      <c r="C112" s="209"/>
      <c r="D112" s="209"/>
      <c r="E112" s="124"/>
      <c r="F112" s="124"/>
      <c r="G112" s="126"/>
      <c r="H112" s="126"/>
    </row>
    <row r="113" spans="3:8" ht="12.75" customHeight="1">
      <c r="C113" s="209"/>
      <c r="D113" s="209"/>
      <c r="E113" s="124"/>
      <c r="F113" s="124"/>
      <c r="G113" s="126"/>
      <c r="H113" s="126"/>
    </row>
    <row r="114" spans="3:8" ht="12.75" customHeight="1">
      <c r="C114" s="209"/>
      <c r="D114" s="209"/>
      <c r="E114" s="124"/>
      <c r="F114" s="124"/>
      <c r="G114" s="126"/>
      <c r="H114" s="126"/>
    </row>
    <row r="115" spans="3:8" ht="12.75" customHeight="1">
      <c r="C115" s="209"/>
      <c r="D115" s="209"/>
      <c r="E115" s="124"/>
      <c r="F115" s="124"/>
      <c r="G115" s="126"/>
      <c r="H115" s="126"/>
    </row>
    <row r="116" spans="3:8" ht="12.75" customHeight="1">
      <c r="C116" s="209"/>
      <c r="D116" s="209"/>
      <c r="E116" s="124"/>
      <c r="F116" s="124"/>
      <c r="G116" s="126"/>
      <c r="H116" s="126"/>
    </row>
    <row r="117" spans="3:8" ht="12.75" customHeight="1">
      <c r="C117" s="209"/>
      <c r="D117" s="209"/>
      <c r="E117" s="124"/>
      <c r="F117" s="124"/>
      <c r="G117" s="126"/>
      <c r="H117" s="126"/>
    </row>
    <row r="118" spans="3:8" ht="12.75" customHeight="1">
      <c r="C118" s="209"/>
      <c r="D118" s="209"/>
      <c r="E118" s="124"/>
      <c r="F118" s="124"/>
      <c r="G118" s="126"/>
      <c r="H118" s="126"/>
    </row>
    <row r="119" spans="3:8" ht="12.75" customHeight="1">
      <c r="C119" s="209"/>
      <c r="D119" s="209"/>
      <c r="E119" s="124"/>
      <c r="F119" s="124"/>
      <c r="G119" s="126"/>
      <c r="H119" s="126"/>
    </row>
    <row r="120" spans="3:8" ht="12.75" customHeight="1">
      <c r="C120" s="209"/>
      <c r="D120" s="209"/>
      <c r="E120" s="124"/>
      <c r="F120" s="124"/>
      <c r="G120" s="126"/>
      <c r="H120" s="126"/>
    </row>
    <row r="121" spans="3:8" ht="12.75" customHeight="1">
      <c r="C121" s="209"/>
      <c r="D121" s="209"/>
      <c r="E121" s="124"/>
      <c r="F121" s="124"/>
      <c r="G121" s="126"/>
      <c r="H121" s="126"/>
    </row>
    <row r="122" spans="3:8" ht="12.75" customHeight="1">
      <c r="C122" s="209"/>
      <c r="D122" s="209"/>
      <c r="E122" s="124"/>
      <c r="F122" s="124"/>
      <c r="G122" s="126"/>
      <c r="H122" s="126"/>
    </row>
    <row r="123" spans="3:8" ht="12.75" customHeight="1">
      <c r="C123" s="209"/>
      <c r="D123" s="209"/>
      <c r="E123" s="124"/>
      <c r="F123" s="124"/>
      <c r="G123" s="126"/>
      <c r="H123" s="126"/>
    </row>
    <row r="124" spans="3:8" ht="12.75" customHeight="1">
      <c r="C124" s="209"/>
      <c r="D124" s="209"/>
      <c r="E124" s="124"/>
      <c r="F124" s="124"/>
      <c r="G124" s="126"/>
      <c r="H124" s="126"/>
    </row>
    <row r="125" spans="3:8" ht="12.75" customHeight="1">
      <c r="C125" s="209"/>
      <c r="D125" s="209"/>
      <c r="E125" s="124"/>
      <c r="F125" s="124"/>
      <c r="G125" s="126"/>
      <c r="H125" s="126"/>
    </row>
    <row r="126" spans="3:8" ht="12.75" customHeight="1">
      <c r="C126" s="209"/>
      <c r="D126" s="209"/>
      <c r="E126" s="124"/>
      <c r="F126" s="124"/>
      <c r="G126" s="126"/>
      <c r="H126" s="126"/>
    </row>
    <row r="127" spans="3:8" ht="12.75" customHeight="1">
      <c r="C127" s="209"/>
      <c r="D127" s="209"/>
      <c r="E127" s="124"/>
      <c r="F127" s="124"/>
      <c r="G127" s="126"/>
      <c r="H127" s="126"/>
    </row>
    <row r="128" spans="3:8" ht="12.75" customHeight="1">
      <c r="C128" s="209"/>
      <c r="D128" s="209"/>
      <c r="E128" s="124"/>
      <c r="F128" s="124"/>
      <c r="G128" s="126"/>
      <c r="H128" s="126"/>
    </row>
    <row r="129" spans="3:8" ht="12.75" customHeight="1">
      <c r="C129" s="209"/>
      <c r="D129" s="209"/>
      <c r="E129" s="124"/>
      <c r="F129" s="124"/>
      <c r="G129" s="126"/>
      <c r="H129" s="126"/>
    </row>
    <row r="130" spans="3:8" ht="12.75" customHeight="1">
      <c r="C130" s="209"/>
      <c r="D130" s="209"/>
      <c r="E130" s="124"/>
      <c r="F130" s="124"/>
      <c r="G130" s="126"/>
      <c r="H130" s="126"/>
    </row>
    <row r="131" spans="3:8" ht="12.75" customHeight="1">
      <c r="C131" s="209"/>
      <c r="D131" s="209"/>
      <c r="E131" s="124"/>
      <c r="F131" s="124"/>
      <c r="G131" s="126"/>
      <c r="H131" s="126"/>
    </row>
    <row r="132" spans="3:8" ht="12.75" customHeight="1">
      <c r="C132" s="209"/>
      <c r="D132" s="209"/>
      <c r="E132" s="124"/>
      <c r="F132" s="124"/>
      <c r="G132" s="126"/>
      <c r="H132" s="126"/>
    </row>
    <row r="133" spans="3:8" ht="12.75" customHeight="1">
      <c r="C133" s="209"/>
      <c r="D133" s="209"/>
      <c r="E133" s="124"/>
      <c r="F133" s="124"/>
      <c r="G133" s="126"/>
      <c r="H133" s="126"/>
    </row>
    <row r="134" spans="3:8" ht="12.75" customHeight="1">
      <c r="C134" s="209"/>
      <c r="D134" s="209"/>
      <c r="E134" s="124"/>
      <c r="F134" s="124"/>
      <c r="G134" s="126"/>
      <c r="H134" s="126"/>
    </row>
    <row r="135" spans="3:8" ht="12.75" customHeight="1">
      <c r="C135" s="209"/>
      <c r="D135" s="209"/>
      <c r="E135" s="124"/>
      <c r="F135" s="124"/>
      <c r="G135" s="126"/>
      <c r="H135" s="126"/>
    </row>
    <row r="136" spans="3:8" ht="12.75" customHeight="1">
      <c r="C136" s="209"/>
      <c r="D136" s="209"/>
      <c r="E136" s="124"/>
      <c r="F136" s="124"/>
      <c r="G136" s="126"/>
      <c r="H136" s="126"/>
    </row>
    <row r="137" spans="3:8" ht="12.75" customHeight="1">
      <c r="C137" s="209"/>
      <c r="D137" s="209"/>
      <c r="E137" s="124"/>
      <c r="F137" s="124"/>
      <c r="G137" s="126"/>
      <c r="H137" s="126"/>
    </row>
    <row r="138" spans="3:8" ht="12.75" customHeight="1">
      <c r="C138" s="209"/>
      <c r="D138" s="209"/>
      <c r="E138" s="124"/>
      <c r="F138" s="124"/>
      <c r="G138" s="126"/>
      <c r="H138" s="126"/>
    </row>
    <row r="139" spans="3:8" ht="12.75" customHeight="1">
      <c r="C139" s="209"/>
      <c r="D139" s="209"/>
      <c r="E139" s="124"/>
      <c r="F139" s="124"/>
      <c r="G139" s="126"/>
      <c r="H139" s="126"/>
    </row>
    <row r="140" spans="3:8" ht="12.75" customHeight="1">
      <c r="C140" s="209"/>
      <c r="D140" s="209"/>
      <c r="E140" s="124"/>
      <c r="F140" s="124"/>
      <c r="G140" s="126"/>
      <c r="H140" s="126"/>
    </row>
    <row r="141" spans="3:8" ht="12.75" customHeight="1">
      <c r="C141" s="209"/>
      <c r="D141" s="209"/>
      <c r="E141" s="124"/>
      <c r="F141" s="124"/>
      <c r="G141" s="126"/>
      <c r="H141" s="126"/>
    </row>
    <row r="142" spans="3:8" ht="12.75" customHeight="1">
      <c r="C142" s="209"/>
      <c r="D142" s="209"/>
      <c r="E142" s="124"/>
      <c r="F142" s="124"/>
      <c r="G142" s="126"/>
      <c r="H142" s="126"/>
    </row>
    <row r="143" spans="3:8" ht="12.75" customHeight="1">
      <c r="C143" s="209"/>
      <c r="D143" s="209"/>
      <c r="E143" s="124"/>
      <c r="F143" s="124"/>
      <c r="G143" s="126"/>
      <c r="H143" s="126"/>
    </row>
    <row r="144" spans="3:8" ht="12.75" customHeight="1">
      <c r="C144" s="209"/>
      <c r="D144" s="209"/>
      <c r="E144" s="124"/>
      <c r="F144" s="124"/>
      <c r="G144" s="126"/>
      <c r="H144" s="126"/>
    </row>
    <row r="145" spans="3:8" ht="12.75" customHeight="1">
      <c r="C145" s="209"/>
      <c r="D145" s="209"/>
      <c r="E145" s="124"/>
      <c r="F145" s="124"/>
      <c r="G145" s="126"/>
      <c r="H145" s="126"/>
    </row>
    <row r="146" spans="3:8" ht="12.75" customHeight="1">
      <c r="C146" s="209"/>
      <c r="D146" s="209"/>
      <c r="E146" s="124"/>
      <c r="F146" s="124"/>
      <c r="G146" s="126"/>
      <c r="H146" s="126"/>
    </row>
    <row r="147" spans="3:8" ht="12.75" customHeight="1">
      <c r="C147" s="209"/>
      <c r="D147" s="209"/>
      <c r="E147" s="124"/>
      <c r="F147" s="124"/>
      <c r="G147" s="126"/>
      <c r="H147" s="126"/>
    </row>
    <row r="148" spans="3:8" ht="12.75" customHeight="1">
      <c r="C148" s="209"/>
      <c r="D148" s="209"/>
      <c r="E148" s="124"/>
      <c r="F148" s="124"/>
      <c r="G148" s="126"/>
      <c r="H148" s="126"/>
    </row>
    <row r="149" spans="3:8" ht="12.75" customHeight="1">
      <c r="C149" s="209"/>
      <c r="D149" s="209"/>
      <c r="E149" s="124"/>
      <c r="F149" s="124"/>
      <c r="G149" s="126"/>
      <c r="H149" s="126"/>
    </row>
    <row r="150" spans="3:8" ht="12.75" customHeight="1">
      <c r="C150" s="209"/>
      <c r="D150" s="209"/>
      <c r="E150" s="124"/>
      <c r="F150" s="124"/>
      <c r="G150" s="126"/>
      <c r="H150" s="126"/>
    </row>
    <row r="151" spans="3:8" ht="12.75" customHeight="1">
      <c r="C151" s="209"/>
      <c r="D151" s="209"/>
      <c r="E151" s="124"/>
      <c r="F151" s="124"/>
      <c r="G151" s="126"/>
      <c r="H151" s="126"/>
    </row>
    <row r="152" spans="3:8" ht="12.75" customHeight="1">
      <c r="C152" s="209"/>
      <c r="D152" s="209"/>
      <c r="E152" s="124"/>
      <c r="F152" s="124"/>
      <c r="G152" s="126"/>
      <c r="H152" s="126"/>
    </row>
    <row r="153" spans="3:8" ht="12.75" customHeight="1">
      <c r="C153" s="209"/>
      <c r="D153" s="209"/>
      <c r="E153" s="124"/>
      <c r="F153" s="124"/>
      <c r="G153" s="126"/>
      <c r="H153" s="126"/>
    </row>
    <row r="154" spans="3:8" ht="12.75" customHeight="1">
      <c r="C154" s="209"/>
      <c r="D154" s="209"/>
      <c r="E154" s="124"/>
      <c r="F154" s="124"/>
      <c r="G154" s="126"/>
      <c r="H154" s="126"/>
    </row>
    <row r="155" spans="3:8" ht="12.75" customHeight="1">
      <c r="C155" s="209"/>
      <c r="D155" s="209"/>
      <c r="E155" s="124"/>
      <c r="F155" s="124"/>
      <c r="G155" s="126"/>
      <c r="H155" s="126"/>
    </row>
    <row r="156" spans="3:8" ht="12.75" customHeight="1">
      <c r="C156" s="209"/>
      <c r="D156" s="209"/>
      <c r="E156" s="124"/>
      <c r="F156" s="124"/>
      <c r="G156" s="126"/>
      <c r="H156" s="126"/>
    </row>
    <row r="157" spans="3:8" ht="12.75" customHeight="1">
      <c r="C157" s="209"/>
      <c r="D157" s="209"/>
      <c r="E157" s="124"/>
      <c r="F157" s="124"/>
      <c r="G157" s="126"/>
      <c r="H157" s="126"/>
    </row>
    <row r="158" spans="3:8" ht="12.75" customHeight="1">
      <c r="C158" s="209"/>
      <c r="D158" s="209"/>
      <c r="E158" s="124"/>
      <c r="F158" s="124"/>
      <c r="G158" s="126"/>
      <c r="H158" s="126"/>
    </row>
    <row r="159" spans="3:8" ht="12.75" customHeight="1">
      <c r="C159" s="209"/>
      <c r="D159" s="209"/>
      <c r="E159" s="124"/>
      <c r="F159" s="124"/>
      <c r="G159" s="126"/>
      <c r="H159" s="126"/>
    </row>
    <row r="160" spans="3:8" ht="12.75" customHeight="1">
      <c r="C160" s="209"/>
      <c r="D160" s="209"/>
      <c r="E160" s="124"/>
      <c r="F160" s="124"/>
      <c r="G160" s="126"/>
      <c r="H160" s="126"/>
    </row>
    <row r="161" spans="3:8" ht="12.75" customHeight="1">
      <c r="C161" s="209"/>
      <c r="D161" s="209"/>
      <c r="E161" s="124"/>
      <c r="F161" s="124"/>
      <c r="G161" s="126"/>
      <c r="H161" s="126"/>
    </row>
    <row r="162" spans="3:8" ht="12.75" customHeight="1">
      <c r="C162" s="209"/>
      <c r="D162" s="209"/>
      <c r="E162" s="124"/>
      <c r="F162" s="124"/>
      <c r="G162" s="126"/>
      <c r="H162" s="126"/>
    </row>
    <row r="163" spans="3:8" ht="12.75" customHeight="1">
      <c r="C163" s="209"/>
      <c r="D163" s="209"/>
      <c r="E163" s="124"/>
      <c r="F163" s="124"/>
      <c r="G163" s="126"/>
      <c r="H163" s="126"/>
    </row>
    <row r="164" spans="3:8" ht="12.75" customHeight="1">
      <c r="C164" s="209"/>
      <c r="D164" s="209"/>
      <c r="E164" s="124"/>
      <c r="F164" s="124"/>
      <c r="G164" s="126"/>
      <c r="H164" s="126"/>
    </row>
    <row r="165" spans="3:8" ht="12.75" customHeight="1">
      <c r="C165" s="209"/>
      <c r="D165" s="209"/>
      <c r="E165" s="124"/>
      <c r="F165" s="124"/>
      <c r="G165" s="126"/>
      <c r="H165" s="126"/>
    </row>
    <row r="166" spans="3:8" ht="12.75" customHeight="1">
      <c r="C166" s="209"/>
      <c r="D166" s="209"/>
      <c r="E166" s="124"/>
      <c r="F166" s="124"/>
      <c r="G166" s="126"/>
      <c r="H166" s="126"/>
    </row>
    <row r="167" spans="3:8" ht="12.75" customHeight="1">
      <c r="C167" s="209"/>
      <c r="D167" s="209"/>
      <c r="E167" s="124"/>
      <c r="F167" s="124"/>
      <c r="G167" s="126"/>
      <c r="H167" s="126"/>
    </row>
    <row r="168" spans="3:8" ht="12.75" customHeight="1">
      <c r="C168" s="209"/>
      <c r="D168" s="209"/>
      <c r="E168" s="124"/>
      <c r="F168" s="124"/>
      <c r="G168" s="126"/>
      <c r="H168" s="126"/>
    </row>
    <row r="169" spans="3:8" ht="12.75" customHeight="1">
      <c r="C169" s="209"/>
      <c r="D169" s="209"/>
      <c r="E169" s="124"/>
      <c r="F169" s="124"/>
      <c r="G169" s="126"/>
      <c r="H169" s="126"/>
    </row>
    <row r="170" spans="3:8" ht="12.75" customHeight="1">
      <c r="C170" s="209"/>
      <c r="D170" s="209"/>
      <c r="E170" s="124"/>
      <c r="F170" s="124"/>
      <c r="G170" s="126"/>
      <c r="H170" s="126"/>
    </row>
    <row r="171" spans="3:8" ht="12.75" customHeight="1">
      <c r="C171" s="209"/>
      <c r="D171" s="209"/>
      <c r="E171" s="124"/>
      <c r="F171" s="124"/>
      <c r="G171" s="126"/>
      <c r="H171" s="126"/>
    </row>
    <row r="172" spans="3:8" ht="12.75" customHeight="1">
      <c r="C172" s="209"/>
      <c r="D172" s="209"/>
      <c r="E172" s="124"/>
      <c r="F172" s="124"/>
      <c r="G172" s="126"/>
      <c r="H172" s="126"/>
    </row>
    <row r="173" spans="3:8" ht="12.75" customHeight="1">
      <c r="C173" s="209"/>
      <c r="D173" s="209"/>
      <c r="E173" s="124"/>
      <c r="F173" s="124"/>
      <c r="G173" s="126"/>
      <c r="H173" s="126"/>
    </row>
    <row r="174" spans="3:8" ht="12.75" customHeight="1">
      <c r="C174" s="209"/>
      <c r="D174" s="209"/>
      <c r="E174" s="124"/>
      <c r="F174" s="124"/>
      <c r="G174" s="126"/>
      <c r="H174" s="126"/>
    </row>
    <row r="175" spans="3:8" ht="12.75" customHeight="1">
      <c r="C175" s="209"/>
      <c r="D175" s="209"/>
      <c r="E175" s="124"/>
      <c r="F175" s="124"/>
      <c r="G175" s="126"/>
      <c r="H175" s="126"/>
    </row>
    <row r="176" spans="3:8" ht="12.75" customHeight="1">
      <c r="C176" s="209"/>
      <c r="D176" s="209"/>
      <c r="E176" s="124"/>
      <c r="F176" s="124"/>
      <c r="G176" s="126"/>
      <c r="H176" s="126"/>
    </row>
    <row r="177" spans="3:8" ht="12.75" customHeight="1">
      <c r="C177" s="209"/>
      <c r="D177" s="209"/>
      <c r="E177" s="124"/>
      <c r="F177" s="124"/>
      <c r="G177" s="126"/>
      <c r="H177" s="126"/>
    </row>
    <row r="178" spans="3:8" ht="12.75" customHeight="1">
      <c r="C178" s="209"/>
      <c r="D178" s="209"/>
      <c r="E178" s="124"/>
      <c r="F178" s="124"/>
      <c r="G178" s="126"/>
      <c r="H178" s="126"/>
    </row>
    <row r="179" spans="3:8" ht="12.75" customHeight="1">
      <c r="C179" s="209"/>
      <c r="D179" s="209"/>
      <c r="E179" s="124"/>
      <c r="F179" s="124"/>
      <c r="G179" s="126"/>
      <c r="H179" s="126"/>
    </row>
    <row r="180" spans="3:8" ht="12.75" customHeight="1">
      <c r="C180" s="209"/>
      <c r="D180" s="209"/>
      <c r="E180" s="124"/>
      <c r="F180" s="124"/>
      <c r="G180" s="126"/>
      <c r="H180" s="126"/>
    </row>
    <row r="181" spans="3:8" ht="12.75" customHeight="1">
      <c r="C181" s="209"/>
      <c r="D181" s="209"/>
      <c r="E181" s="124"/>
      <c r="F181" s="124"/>
      <c r="G181" s="126"/>
      <c r="H181" s="126"/>
    </row>
    <row r="182" spans="3:8" ht="12.75" customHeight="1">
      <c r="C182" s="209"/>
      <c r="D182" s="209"/>
      <c r="E182" s="124"/>
      <c r="F182" s="124"/>
      <c r="G182" s="126"/>
      <c r="H182" s="126"/>
    </row>
    <row r="183" spans="3:8" ht="12.75" customHeight="1">
      <c r="C183" s="209"/>
      <c r="D183" s="209"/>
      <c r="E183" s="124"/>
      <c r="F183" s="124"/>
      <c r="G183" s="126"/>
      <c r="H183" s="126"/>
    </row>
    <row r="184" spans="3:8" ht="12.75" customHeight="1">
      <c r="C184" s="209"/>
      <c r="D184" s="209"/>
      <c r="E184" s="124"/>
      <c r="F184" s="124"/>
      <c r="G184" s="126"/>
      <c r="H184" s="126"/>
    </row>
    <row r="185" spans="3:8" ht="12.75" customHeight="1">
      <c r="C185" s="209"/>
      <c r="D185" s="209"/>
      <c r="E185" s="124"/>
      <c r="F185" s="124"/>
      <c r="G185" s="126"/>
      <c r="H185" s="126"/>
    </row>
    <row r="186" spans="3:8" ht="12.75" customHeight="1">
      <c r="C186" s="209"/>
      <c r="D186" s="209"/>
      <c r="E186" s="124"/>
      <c r="F186" s="124"/>
      <c r="G186" s="126"/>
      <c r="H186" s="126"/>
    </row>
    <row r="187" spans="3:8" ht="12.75" customHeight="1">
      <c r="C187" s="209"/>
      <c r="D187" s="209"/>
      <c r="E187" s="124"/>
      <c r="F187" s="124"/>
      <c r="G187" s="126"/>
      <c r="H187" s="126"/>
    </row>
    <row r="188" spans="3:8" ht="12.75" customHeight="1">
      <c r="C188" s="209"/>
      <c r="D188" s="209"/>
      <c r="E188" s="124"/>
      <c r="F188" s="124"/>
      <c r="G188" s="126"/>
      <c r="H188" s="126"/>
    </row>
    <row r="189" spans="3:8" ht="12.75" customHeight="1">
      <c r="C189" s="209"/>
      <c r="D189" s="209"/>
      <c r="E189" s="124"/>
      <c r="F189" s="124"/>
      <c r="G189" s="126"/>
      <c r="H189" s="126"/>
    </row>
    <row r="190" spans="3:8" ht="12.75" customHeight="1">
      <c r="C190" s="209"/>
      <c r="D190" s="209"/>
      <c r="E190" s="124"/>
      <c r="F190" s="124"/>
      <c r="G190" s="126"/>
      <c r="H190" s="126"/>
    </row>
    <row r="191" spans="3:8" ht="12.75" customHeight="1">
      <c r="C191" s="209"/>
      <c r="D191" s="209"/>
      <c r="E191" s="124"/>
      <c r="F191" s="124"/>
      <c r="G191" s="126"/>
      <c r="H191" s="126"/>
    </row>
    <row r="192" spans="3:8" ht="12.75" customHeight="1">
      <c r="C192" s="209"/>
      <c r="D192" s="209"/>
      <c r="E192" s="124"/>
      <c r="F192" s="124"/>
      <c r="G192" s="126"/>
      <c r="H192" s="126"/>
    </row>
    <row r="193" spans="3:8" ht="12.75" customHeight="1">
      <c r="C193" s="209"/>
      <c r="D193" s="209"/>
      <c r="E193" s="124"/>
      <c r="F193" s="124"/>
      <c r="G193" s="126"/>
      <c r="H193" s="126"/>
    </row>
    <row r="194" spans="3:8" ht="12.75" customHeight="1">
      <c r="C194" s="209"/>
      <c r="D194" s="209"/>
      <c r="E194" s="124"/>
      <c r="F194" s="124"/>
      <c r="G194" s="126"/>
      <c r="H194" s="126"/>
    </row>
    <row r="195" spans="3:8" ht="12.75" customHeight="1">
      <c r="C195" s="209"/>
      <c r="D195" s="209"/>
      <c r="E195" s="124"/>
      <c r="F195" s="124"/>
      <c r="G195" s="126"/>
      <c r="H195" s="126"/>
    </row>
    <row r="196" spans="3:8" ht="12.75" customHeight="1">
      <c r="C196" s="209"/>
      <c r="D196" s="209"/>
      <c r="E196" s="124"/>
      <c r="F196" s="124"/>
      <c r="G196" s="126"/>
      <c r="H196" s="126"/>
    </row>
    <row r="197" spans="3:8" ht="12.75" customHeight="1">
      <c r="C197" s="209"/>
      <c r="D197" s="209"/>
      <c r="E197" s="124"/>
      <c r="F197" s="124"/>
      <c r="G197" s="126"/>
      <c r="H197" s="126"/>
    </row>
    <row r="198" spans="3:8" ht="12.75" customHeight="1">
      <c r="C198" s="209"/>
      <c r="D198" s="209"/>
      <c r="E198" s="124"/>
      <c r="F198" s="124"/>
      <c r="G198" s="126"/>
      <c r="H198" s="126"/>
    </row>
    <row r="199" spans="3:8" ht="12.75" customHeight="1">
      <c r="C199" s="209"/>
      <c r="D199" s="209"/>
      <c r="E199" s="124"/>
      <c r="F199" s="124"/>
      <c r="G199" s="126"/>
      <c r="H199" s="126"/>
    </row>
    <row r="200" spans="3:8" ht="12.75" customHeight="1">
      <c r="C200" s="209"/>
      <c r="D200" s="209"/>
      <c r="E200" s="124"/>
      <c r="F200" s="124"/>
      <c r="G200" s="126"/>
      <c r="H200" s="126"/>
    </row>
    <row r="201" spans="3:8" ht="12.75" customHeight="1">
      <c r="C201" s="209"/>
      <c r="D201" s="209"/>
      <c r="E201" s="124"/>
      <c r="F201" s="124"/>
      <c r="G201" s="126"/>
      <c r="H201" s="126"/>
    </row>
    <row r="202" spans="3:8" ht="12.75" customHeight="1">
      <c r="C202" s="209"/>
      <c r="D202" s="209"/>
      <c r="E202" s="124"/>
      <c r="F202" s="124"/>
      <c r="G202" s="126"/>
      <c r="H202" s="126"/>
    </row>
    <row r="203" spans="3:8" ht="12.75" customHeight="1">
      <c r="C203" s="209"/>
      <c r="D203" s="209"/>
      <c r="E203" s="124"/>
      <c r="F203" s="124"/>
      <c r="G203" s="126"/>
      <c r="H203" s="126"/>
    </row>
    <row r="204" spans="3:8" ht="12.75" customHeight="1">
      <c r="C204" s="209"/>
      <c r="D204" s="209"/>
      <c r="E204" s="124"/>
      <c r="F204" s="124"/>
      <c r="G204" s="126"/>
      <c r="H204" s="126"/>
    </row>
    <row r="205" spans="3:8" ht="12.75" customHeight="1">
      <c r="C205" s="209"/>
      <c r="D205" s="209"/>
      <c r="E205" s="124"/>
      <c r="F205" s="124"/>
      <c r="G205" s="126"/>
      <c r="H205" s="126"/>
    </row>
    <row r="206" spans="3:8" ht="12.75" customHeight="1">
      <c r="C206" s="209"/>
      <c r="D206" s="209"/>
      <c r="E206" s="124"/>
      <c r="F206" s="124"/>
      <c r="G206" s="126"/>
      <c r="H206" s="126"/>
    </row>
    <row r="207" spans="3:8" ht="12.75" customHeight="1">
      <c r="C207" s="209"/>
      <c r="D207" s="209"/>
      <c r="E207" s="124"/>
      <c r="F207" s="124"/>
      <c r="G207" s="126"/>
      <c r="H207" s="126"/>
    </row>
    <row r="208" spans="3:8" ht="12.75" customHeight="1">
      <c r="C208" s="209"/>
      <c r="D208" s="209"/>
      <c r="E208" s="124"/>
      <c r="F208" s="124"/>
      <c r="G208" s="126"/>
      <c r="H208" s="126"/>
    </row>
    <row r="209" spans="3:8" ht="12.75" customHeight="1">
      <c r="C209" s="209"/>
      <c r="D209" s="209"/>
      <c r="E209" s="124"/>
      <c r="F209" s="124"/>
      <c r="G209" s="126"/>
      <c r="H209" s="126"/>
    </row>
    <row r="210" spans="3:8" ht="12.75" customHeight="1">
      <c r="C210" s="209"/>
      <c r="D210" s="209"/>
      <c r="E210" s="124"/>
      <c r="F210" s="124"/>
      <c r="G210" s="126"/>
      <c r="H210" s="126"/>
    </row>
    <row r="211" spans="3:8" ht="12.75" customHeight="1">
      <c r="C211" s="209"/>
      <c r="D211" s="209"/>
      <c r="E211" s="124"/>
      <c r="F211" s="124"/>
      <c r="G211" s="126"/>
      <c r="H211" s="126"/>
    </row>
    <row r="212" spans="3:8" ht="12.75" customHeight="1">
      <c r="C212" s="209"/>
      <c r="D212" s="209"/>
      <c r="E212" s="124"/>
      <c r="F212" s="124"/>
      <c r="G212" s="126"/>
      <c r="H212" s="126"/>
    </row>
    <row r="213" spans="3:8" ht="12.75" customHeight="1">
      <c r="C213" s="209"/>
      <c r="D213" s="209"/>
      <c r="E213" s="124"/>
      <c r="F213" s="124"/>
      <c r="G213" s="126"/>
      <c r="H213" s="126"/>
    </row>
    <row r="214" spans="3:8" ht="12.75" customHeight="1">
      <c r="C214" s="209"/>
      <c r="D214" s="209"/>
      <c r="E214" s="124"/>
      <c r="F214" s="124"/>
      <c r="G214" s="126"/>
      <c r="H214" s="126"/>
    </row>
    <row r="215" spans="3:8" ht="12.75" customHeight="1">
      <c r="C215" s="209"/>
      <c r="D215" s="209"/>
      <c r="E215" s="124"/>
      <c r="F215" s="124"/>
      <c r="G215" s="126"/>
      <c r="H215" s="126"/>
    </row>
    <row r="216" spans="3:8" ht="12.75" customHeight="1">
      <c r="C216" s="209"/>
      <c r="D216" s="209"/>
      <c r="E216" s="124"/>
      <c r="F216" s="124"/>
      <c r="G216" s="126"/>
      <c r="H216" s="126"/>
    </row>
    <row r="217" spans="3:8" ht="12.75" customHeight="1">
      <c r="C217" s="209"/>
      <c r="D217" s="209"/>
      <c r="E217" s="124"/>
      <c r="F217" s="124"/>
      <c r="G217" s="126"/>
      <c r="H217" s="126"/>
    </row>
    <row r="218" spans="3:8" ht="12.75" customHeight="1">
      <c r="C218" s="209"/>
      <c r="D218" s="209"/>
      <c r="E218" s="124"/>
      <c r="F218" s="124"/>
      <c r="G218" s="126"/>
      <c r="H218" s="126"/>
    </row>
    <row r="219" spans="3:8" ht="12.75" customHeight="1">
      <c r="C219" s="209"/>
      <c r="D219" s="209"/>
      <c r="E219" s="124"/>
      <c r="F219" s="124"/>
      <c r="G219" s="126"/>
      <c r="H219" s="126"/>
    </row>
    <row r="220" spans="3:8" ht="12.75" customHeight="1">
      <c r="C220" s="209"/>
      <c r="D220" s="209"/>
      <c r="E220" s="124"/>
      <c r="F220" s="124"/>
      <c r="G220" s="126"/>
      <c r="H220" s="126"/>
    </row>
    <row r="221" spans="3:8" ht="12.75" customHeight="1">
      <c r="C221" s="209"/>
      <c r="D221" s="209"/>
      <c r="E221" s="124"/>
      <c r="F221" s="124"/>
      <c r="G221" s="126"/>
      <c r="H221" s="126"/>
    </row>
    <row r="222" spans="3:8" ht="12.75" customHeight="1">
      <c r="C222" s="209"/>
      <c r="D222" s="209"/>
      <c r="E222" s="124"/>
      <c r="F222" s="124"/>
      <c r="G222" s="126"/>
      <c r="H222" s="126"/>
    </row>
    <row r="223" spans="3:8" ht="12.75" customHeight="1">
      <c r="C223" s="209"/>
      <c r="D223" s="209"/>
      <c r="E223" s="124"/>
      <c r="F223" s="124"/>
      <c r="G223" s="126"/>
      <c r="H223" s="126"/>
    </row>
    <row r="224" spans="3:8" ht="12.75" customHeight="1">
      <c r="C224" s="209"/>
      <c r="D224" s="209"/>
      <c r="E224" s="124"/>
      <c r="F224" s="124"/>
      <c r="G224" s="126"/>
      <c r="H224" s="126"/>
    </row>
    <row r="225" spans="3:8" ht="12.75" customHeight="1">
      <c r="C225" s="209"/>
      <c r="D225" s="209"/>
      <c r="E225" s="124"/>
      <c r="F225" s="124"/>
      <c r="G225" s="126"/>
      <c r="H225" s="126"/>
    </row>
    <row r="226" spans="3:8" ht="12.75" customHeight="1">
      <c r="C226" s="209"/>
      <c r="D226" s="209"/>
      <c r="E226" s="124"/>
      <c r="F226" s="124"/>
      <c r="G226" s="126"/>
      <c r="H226" s="126"/>
    </row>
    <row r="227" spans="3:8" ht="12.75" customHeight="1">
      <c r="C227" s="209"/>
      <c r="D227" s="209"/>
      <c r="E227" s="124"/>
      <c r="F227" s="124"/>
      <c r="G227" s="126"/>
      <c r="H227" s="126"/>
    </row>
    <row r="228" spans="3:8" ht="12.75" customHeight="1">
      <c r="C228" s="209"/>
      <c r="D228" s="209"/>
      <c r="E228" s="124"/>
      <c r="F228" s="124"/>
      <c r="G228" s="126"/>
      <c r="H228" s="126"/>
    </row>
    <row r="229" spans="3:8" ht="12.75" customHeight="1">
      <c r="C229" s="209"/>
      <c r="D229" s="209"/>
      <c r="E229" s="124"/>
      <c r="F229" s="124"/>
      <c r="G229" s="126"/>
      <c r="H229" s="126"/>
    </row>
    <row r="230" spans="3:8" ht="12.75" customHeight="1">
      <c r="C230" s="209"/>
      <c r="D230" s="209"/>
      <c r="E230" s="124"/>
      <c r="F230" s="124"/>
      <c r="G230" s="126"/>
      <c r="H230" s="126"/>
    </row>
    <row r="231" spans="3:8" ht="12.75" customHeight="1">
      <c r="C231" s="209"/>
      <c r="D231" s="209"/>
      <c r="E231" s="124"/>
      <c r="F231" s="124"/>
      <c r="G231" s="126"/>
      <c r="H231" s="126"/>
    </row>
    <row r="232" spans="3:8" ht="12.75" customHeight="1">
      <c r="C232" s="209"/>
      <c r="D232" s="209"/>
      <c r="E232" s="124"/>
      <c r="F232" s="124"/>
      <c r="G232" s="126"/>
      <c r="H232" s="126"/>
    </row>
    <row r="233" spans="3:8" ht="12.75" customHeight="1">
      <c r="C233" s="209"/>
      <c r="D233" s="209"/>
      <c r="E233" s="124"/>
      <c r="F233" s="124"/>
      <c r="G233" s="126"/>
      <c r="H233" s="126"/>
    </row>
    <row r="234" spans="3:8" ht="12.75" customHeight="1">
      <c r="C234" s="209"/>
      <c r="D234" s="209"/>
      <c r="E234" s="124"/>
      <c r="F234" s="124"/>
      <c r="G234" s="126"/>
      <c r="H234" s="126"/>
    </row>
    <row r="235" spans="3:8" ht="12.75" customHeight="1">
      <c r="C235" s="209"/>
      <c r="D235" s="209"/>
      <c r="E235" s="124"/>
      <c r="F235" s="124"/>
      <c r="G235" s="126"/>
      <c r="H235" s="126"/>
    </row>
    <row r="236" spans="3:8" ht="12.75" customHeight="1">
      <c r="C236" s="209"/>
      <c r="D236" s="209"/>
      <c r="E236" s="124"/>
      <c r="F236" s="124"/>
      <c r="G236" s="126"/>
      <c r="H236" s="126"/>
    </row>
    <row r="237" spans="3:8" ht="12.75" customHeight="1">
      <c r="C237" s="209"/>
      <c r="D237" s="209"/>
      <c r="E237" s="124"/>
      <c r="F237" s="124"/>
      <c r="G237" s="126"/>
      <c r="H237" s="126"/>
    </row>
    <row r="238" spans="3:8" ht="12.75" customHeight="1">
      <c r="C238" s="209"/>
      <c r="D238" s="209"/>
      <c r="E238" s="124"/>
      <c r="F238" s="124"/>
      <c r="G238" s="126"/>
      <c r="H238" s="126"/>
    </row>
    <row r="239" spans="3:8" ht="12.75" customHeight="1">
      <c r="C239" s="209"/>
      <c r="D239" s="209"/>
      <c r="E239" s="124"/>
      <c r="F239" s="124"/>
      <c r="G239" s="126"/>
      <c r="H239" s="126"/>
    </row>
    <row r="240" spans="3:8" ht="12.75" customHeight="1">
      <c r="C240" s="209"/>
      <c r="D240" s="209"/>
      <c r="E240" s="124"/>
      <c r="F240" s="124"/>
      <c r="G240" s="126"/>
      <c r="H240" s="126"/>
    </row>
    <row r="241" spans="3:8" ht="12.75" customHeight="1">
      <c r="C241" s="209"/>
      <c r="D241" s="209"/>
      <c r="E241" s="124"/>
      <c r="F241" s="124"/>
      <c r="G241" s="126"/>
      <c r="H241" s="126"/>
    </row>
    <row r="242" spans="3:8" ht="12.75" customHeight="1">
      <c r="C242" s="209"/>
      <c r="D242" s="209"/>
      <c r="E242" s="124"/>
      <c r="F242" s="124"/>
      <c r="G242" s="126"/>
      <c r="H242" s="126"/>
    </row>
    <row r="243" spans="3:8" ht="12.75" customHeight="1">
      <c r="C243" s="209"/>
      <c r="D243" s="209"/>
      <c r="E243" s="124"/>
      <c r="F243" s="124"/>
      <c r="G243" s="126"/>
      <c r="H243" s="126"/>
    </row>
    <row r="244" spans="3:8" ht="12.75" customHeight="1">
      <c r="C244" s="209"/>
      <c r="D244" s="209"/>
      <c r="E244" s="124"/>
      <c r="F244" s="124"/>
      <c r="G244" s="126"/>
      <c r="H244" s="126"/>
    </row>
    <row r="245" spans="3:8" ht="12.75" customHeight="1">
      <c r="C245" s="209"/>
      <c r="D245" s="209"/>
      <c r="E245" s="124"/>
      <c r="F245" s="124"/>
      <c r="G245" s="126"/>
      <c r="H245" s="126"/>
    </row>
    <row r="246" spans="3:8" ht="12.75" customHeight="1">
      <c r="C246" s="209"/>
      <c r="D246" s="209"/>
      <c r="E246" s="124"/>
      <c r="F246" s="124"/>
      <c r="G246" s="126"/>
      <c r="H246" s="126"/>
    </row>
    <row r="247" spans="3:8" ht="12.75" customHeight="1">
      <c r="C247" s="209"/>
      <c r="D247" s="209"/>
      <c r="E247" s="124"/>
      <c r="F247" s="124"/>
      <c r="G247" s="126"/>
      <c r="H247" s="126"/>
    </row>
    <row r="248" spans="3:8" ht="12.75" customHeight="1">
      <c r="C248" s="209"/>
      <c r="D248" s="209"/>
      <c r="E248" s="124"/>
      <c r="F248" s="124"/>
      <c r="G248" s="126"/>
      <c r="H248" s="126"/>
    </row>
    <row r="249" spans="3:8" ht="12.75" customHeight="1">
      <c r="C249" s="209"/>
      <c r="D249" s="209"/>
      <c r="E249" s="124"/>
      <c r="F249" s="124"/>
      <c r="G249" s="126"/>
      <c r="H249" s="126"/>
    </row>
    <row r="250" spans="3:8" ht="12.75" customHeight="1">
      <c r="C250" s="209"/>
      <c r="D250" s="209"/>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47"/>
  <sheetViews>
    <sheetView tabSelected="1" topLeftCell="A7" zoomScale="85" zoomScaleNormal="85" workbookViewId="0">
      <selection activeCell="D8" sqref="D8"/>
    </sheetView>
  </sheetViews>
  <sheetFormatPr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425781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34.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34.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34.5" customHeight="1">
      <c r="A5" s="51"/>
      <c r="B5" s="51">
        <v>2</v>
      </c>
      <c r="C5" s="81" t="s">
        <v>58</v>
      </c>
      <c r="D5" s="85" t="s">
        <v>105</v>
      </c>
      <c r="E5" s="86" t="str">
        <f>IF(E6="","Captura F/H Primer Actividad pestaña Plan",E6)</f>
        <v>Captura F/H Primer Actividad pestaña Plan</v>
      </c>
      <c r="F5" s="82">
        <f>IFERROR(IF(VLOOKUP(C204,BPlan,4,FALSE)="","Captura la F/H FIN de Actividad actividad FIN del Plan",VLOOKUP(C204,BPlan,4,FALSE)),"Captura Actividad Macro FIN en pestaña Plan")</f>
        <v>43777.673611111109</v>
      </c>
      <c r="G5" s="83" t="e">
        <f>F5-E5</f>
        <v>#VALUE!</v>
      </c>
      <c r="H5" s="102"/>
      <c r="I5" s="102"/>
      <c r="J5" s="102"/>
      <c r="K5" s="90" t="s">
        <v>366</v>
      </c>
      <c r="L5" s="104" t="s">
        <v>365</v>
      </c>
      <c r="M5" s="106" t="s">
        <v>330</v>
      </c>
      <c r="N5" s="51"/>
      <c r="O5" s="84"/>
      <c r="P5" s="84"/>
      <c r="Q5" s="57" t="str">
        <f>IF(BACMB!E50="","",BACMB!E50)</f>
        <v>T-AVL</v>
      </c>
      <c r="R5" s="57">
        <f t="shared" ref="R5:R18" si="1">H6</f>
        <v>0</v>
      </c>
      <c r="S5" s="57" t="str">
        <f t="shared" ref="S5:S68" si="2">CONCATENATE(R5,$R$3)</f>
        <v>0;</v>
      </c>
      <c r="T5" s="57" t="str">
        <f t="shared" si="0"/>
        <v/>
      </c>
    </row>
    <row r="6" spans="1:21" ht="34.5" customHeight="1">
      <c r="A6" s="51"/>
      <c r="B6" s="51">
        <v>3</v>
      </c>
      <c r="C6" s="87"/>
      <c r="D6" s="181"/>
      <c r="E6" s="88"/>
      <c r="F6" s="88"/>
      <c r="G6" s="89" t="e">
        <f>IF(#REF!="Da inicio la Ventana de Tiempo","",IF(#REF!="Dan Fin las Actividades del Plan","",IF(#REF!="Termina Ventana de Tiempo","",F6-E6)))</f>
        <v>#REF!</v>
      </c>
      <c r="H6" s="182"/>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120" customHeight="1">
      <c r="A7" s="51"/>
      <c r="B7" s="51">
        <v>4</v>
      </c>
      <c r="C7" s="87" t="s">
        <v>373</v>
      </c>
      <c r="D7" s="181" t="s">
        <v>393</v>
      </c>
      <c r="E7" s="88">
        <v>43777.625</v>
      </c>
      <c r="F7" s="88">
        <v>43777.645833333336</v>
      </c>
      <c r="G7" s="89">
        <f>IF(D6="Da inicio la Ventana de Tiempo","",IF(D6="Dan Fin las Actividades del Plan","",IF(D6="Termina Ventana de Tiempo","",F7-E7)))</f>
        <v>2.0833333335758653E-2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83.25" customHeight="1">
      <c r="A8" s="51"/>
      <c r="B8" s="51">
        <v>5</v>
      </c>
      <c r="C8" s="87" t="s">
        <v>373</v>
      </c>
      <c r="D8" s="181" t="s">
        <v>394</v>
      </c>
      <c r="E8" s="88">
        <v>43777.645833333336</v>
      </c>
      <c r="F8" s="88">
        <v>43777.666666666664</v>
      </c>
      <c r="G8" s="89">
        <f>IF(D8="Da inicio la Ventana de Tiempo","",IF(D8="Dan Fin las Actividades del Plan","",IF(D8="Termina Ventana de Tiempo","",F8-E8)))</f>
        <v>2.0833333328482695E-2</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56.25" customHeight="1">
      <c r="A9" s="51"/>
      <c r="B9" s="51">
        <v>6</v>
      </c>
      <c r="C9" s="87" t="s">
        <v>60</v>
      </c>
      <c r="D9" s="181" t="s">
        <v>372</v>
      </c>
      <c r="E9" s="88">
        <v>43777.666666666664</v>
      </c>
      <c r="F9" s="88">
        <v>43777.673611111109</v>
      </c>
      <c r="G9" s="89" t="e">
        <f>IF(#REF!="Da inicio la Ventana de Tiempo","",IF(#REF!="Dan Fin las Actividades del Plan","",IF(#REF!="Termina Ventana de Tiempo","",F9-E9)))</f>
        <v>#REF!</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ht="53.25" customHeight="1">
      <c r="A10" s="51"/>
      <c r="B10" s="51">
        <v>7</v>
      </c>
      <c r="C10" s="87" t="s">
        <v>374</v>
      </c>
      <c r="D10" s="181" t="s">
        <v>381</v>
      </c>
      <c r="E10" s="88"/>
      <c r="F10" s="88"/>
      <c r="G10" s="89" t="e">
        <f>IF(#REF!="Da inicio la Ventana de Tiempo","",IF(#REF!="Dan Fin las Actividades del Plan","",IF(#REF!="Termina Ventana de Tiempo","",F10-E10)))</f>
        <v>#REF!</v>
      </c>
      <c r="H10" s="182" t="s">
        <v>371</v>
      </c>
      <c r="I10" s="102"/>
      <c r="J10" s="102"/>
      <c r="K10" s="90"/>
      <c r="L10" s="104"/>
      <c r="M10" s="109" t="s">
        <v>327</v>
      </c>
      <c r="N10" s="51"/>
      <c r="O10" s="84"/>
      <c r="P10" s="84"/>
      <c r="Q10" s="57" t="str">
        <f>IF(BACMB!E55="","",BACMB!E55)</f>
        <v>T-IBM-MTSI</v>
      </c>
      <c r="R10" s="57">
        <f t="shared" si="1"/>
        <v>0</v>
      </c>
      <c r="S10" s="57" t="str">
        <f t="shared" si="2"/>
        <v>0;</v>
      </c>
      <c r="T10" s="57" t="str">
        <f t="shared" si="0"/>
        <v/>
      </c>
    </row>
    <row r="11" spans="1:21" ht="34.5" customHeight="1">
      <c r="A11" s="51"/>
      <c r="B11" s="51">
        <v>8</v>
      </c>
      <c r="C11" s="87"/>
      <c r="D11" s="77"/>
      <c r="E11" s="88"/>
      <c r="F11" s="88"/>
      <c r="G11" s="89" t="e">
        <f>IF(#REF!="Da inicio la Ventana de Tiempo","",IF(#REF!="Dan Fin las Actividades del Plan","",IF(#REF!="Termina Ventana de Tiempo","",F11-E11)))</f>
        <v>#REF!</v>
      </c>
      <c r="H11" s="182"/>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4.5" customHeight="1">
      <c r="A12" s="51"/>
      <c r="B12" s="51">
        <v>9</v>
      </c>
      <c r="C12" s="87"/>
      <c r="D12" s="77"/>
      <c r="E12" s="88"/>
      <c r="F12" s="88"/>
      <c r="G12" s="89">
        <f>IF(D9="Da inicio la Ventana de Tiempo","",IF(D9="Dan Fin las Actividades del Plan","",IF(D9="Termina Ventana de Tiempo","",F12-E12)))</f>
        <v>0</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34.5" customHeight="1">
      <c r="A13" s="51"/>
      <c r="B13" s="51">
        <v>10</v>
      </c>
      <c r="C13" s="87"/>
      <c r="D13" s="181"/>
      <c r="E13" s="88"/>
      <c r="F13" s="88"/>
      <c r="G13" s="89">
        <f>IF(D10="Da inicio la Ventana de Tiempo","",IF(D10="Dan Fin las Actividades del Plan","",IF(D10="Termina Ventana de Tiempo","",F13-E13)))</f>
        <v>0</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34.5" customHeight="1">
      <c r="A14" s="51"/>
      <c r="B14" s="51">
        <v>11</v>
      </c>
      <c r="C14" s="87"/>
      <c r="D14" s="181"/>
      <c r="E14" s="88"/>
      <c r="F14" s="88"/>
      <c r="G14" s="89">
        <f t="shared" ref="G14:G20" si="3">IF(D13="Da inicio la Ventana de Tiempo","",IF(D13="Dan Fin las Actividades del Plan","",IF(D13="Termina Ventana de Tiempo","",F14-E14)))</f>
        <v>0</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34.5" customHeight="1">
      <c r="A15" s="51"/>
      <c r="B15" s="51">
        <v>12</v>
      </c>
      <c r="C15" s="87"/>
      <c r="D15" s="181"/>
      <c r="E15" s="88"/>
      <c r="F15" s="88"/>
      <c r="G15" s="89">
        <f t="shared" si="3"/>
        <v>0</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34.5" customHeight="1">
      <c r="A16" s="51"/>
      <c r="B16" s="51">
        <v>13</v>
      </c>
      <c r="C16" s="87"/>
      <c r="D16" s="181"/>
      <c r="E16" s="88"/>
      <c r="F16" s="88"/>
      <c r="G16" s="89">
        <f t="shared" si="3"/>
        <v>0</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34.5" customHeight="1">
      <c r="A17" s="51"/>
      <c r="B17" s="51">
        <v>14</v>
      </c>
      <c r="C17" s="87"/>
      <c r="D17" s="181"/>
      <c r="E17" s="88"/>
      <c r="F17" s="88"/>
      <c r="G17" s="89">
        <f t="shared" si="3"/>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34.5" customHeight="1">
      <c r="A18" s="51"/>
      <c r="B18" s="51">
        <v>15</v>
      </c>
      <c r="C18" s="87"/>
      <c r="D18" s="181"/>
      <c r="E18" s="88"/>
      <c r="F18" s="88"/>
      <c r="G18" s="89">
        <f t="shared" si="3"/>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34.5" customHeight="1">
      <c r="A19" s="51"/>
      <c r="B19" s="51">
        <v>16</v>
      </c>
      <c r="C19" s="87"/>
      <c r="D19" s="181"/>
      <c r="E19" s="88"/>
      <c r="F19" s="88"/>
      <c r="G19" s="89">
        <f t="shared" si="3"/>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34.5" customHeight="1">
      <c r="A20" s="51"/>
      <c r="B20" s="51">
        <v>17</v>
      </c>
      <c r="C20" s="87"/>
      <c r="D20" s="181"/>
      <c r="E20" s="88"/>
      <c r="F20" s="88"/>
      <c r="G20" s="89">
        <f t="shared" si="3"/>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34.5" customHeight="1">
      <c r="A21" s="51"/>
      <c r="B21" s="51">
        <v>18</v>
      </c>
      <c r="C21" s="87"/>
      <c r="D21" s="181"/>
      <c r="E21" s="88"/>
      <c r="F21" s="88"/>
      <c r="G21" s="89">
        <f t="shared" ref="G21:G70" si="5">IF(D21="Da inicio la Ventana de Tiempo","",IF(D21="Dan Fin las Actividades del Plan","",IF(D21="Termina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si="5"/>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10" priority="2019">
      <formula>$A5="Inicio Liberación"</formula>
    </cfRule>
  </conditionalFormatting>
  <conditionalFormatting sqref="C5">
    <cfRule type="expression" dxfId="1209" priority="2018">
      <formula>$A5="Fin Liberación"</formula>
    </cfRule>
  </conditionalFormatting>
  <conditionalFormatting sqref="L4">
    <cfRule type="expression" dxfId="1208" priority="2016">
      <formula>$A4="Fin Liberación"</formula>
    </cfRule>
    <cfRule type="expression" dxfId="1207" priority="2017">
      <formula>$A4="Inicio Liberación"</formula>
    </cfRule>
  </conditionalFormatting>
  <conditionalFormatting sqref="L4:L6">
    <cfRule type="cellIs" dxfId="1206" priority="2013" operator="equal">
      <formula>"S"</formula>
    </cfRule>
  </conditionalFormatting>
  <conditionalFormatting sqref="L4:L6">
    <cfRule type="cellIs" dxfId="1205" priority="2010" operator="equal">
      <formula>"N"</formula>
    </cfRule>
    <cfRule type="cellIs" dxfId="1204" priority="2011" operator="equal">
      <formula>"P"</formula>
    </cfRule>
    <cfRule type="cellIs" dxfId="1203" priority="2012" operator="equal">
      <formula>"T"</formula>
    </cfRule>
  </conditionalFormatting>
  <conditionalFormatting sqref="L5:L6">
    <cfRule type="expression" dxfId="1202" priority="2008">
      <formula>$A5="Fin Liberación"</formula>
    </cfRule>
    <cfRule type="expression" dxfId="1201" priority="2009">
      <formula>$A5="Inicio Liberación"</formula>
    </cfRule>
  </conditionalFormatting>
  <conditionalFormatting sqref="C4">
    <cfRule type="expression" dxfId="1200" priority="2005">
      <formula>$A4="Inicio Liberación"</formula>
    </cfRule>
  </conditionalFormatting>
  <conditionalFormatting sqref="C4">
    <cfRule type="expression" dxfId="1199" priority="2004">
      <formula>$A4="Fin Liberación"</formula>
    </cfRule>
  </conditionalFormatting>
  <conditionalFormatting sqref="G6:G202">
    <cfRule type="expression" dxfId="1198" priority="1996">
      <formula>$A6="Fin Liberación"</formula>
    </cfRule>
    <cfRule type="expression" dxfId="1197" priority="1997">
      <formula>$A6="Inicio Liberación"</formula>
    </cfRule>
  </conditionalFormatting>
  <conditionalFormatting sqref="F202">
    <cfRule type="expression" dxfId="1196" priority="1992">
      <formula>$A202="Fin Liberación"</formula>
    </cfRule>
    <cfRule type="expression" dxfId="1195" priority="1993">
      <formula>$A202="Inicio Liberación"</formula>
    </cfRule>
  </conditionalFormatting>
  <conditionalFormatting sqref="L186:L202">
    <cfRule type="cellIs" dxfId="1194" priority="1991" operator="equal">
      <formula>"S"</formula>
    </cfRule>
  </conditionalFormatting>
  <conditionalFormatting sqref="L186:L202">
    <cfRule type="cellIs" dxfId="1193" priority="1988" operator="equal">
      <formula>"N"</formula>
    </cfRule>
    <cfRule type="cellIs" dxfId="1192" priority="1989" operator="equal">
      <formula>"P"</formula>
    </cfRule>
    <cfRule type="cellIs" dxfId="1191" priority="1990" operator="equal">
      <formula>"T"</formula>
    </cfRule>
  </conditionalFormatting>
  <conditionalFormatting sqref="L186:L202">
    <cfRule type="expression" dxfId="1190" priority="1986">
      <formula>$A186="Fin Liberación"</formula>
    </cfRule>
    <cfRule type="expression" dxfId="1189" priority="1987">
      <formula>$A186="Inicio Liberación"</formula>
    </cfRule>
  </conditionalFormatting>
  <conditionalFormatting sqref="G36:G202">
    <cfRule type="expression" dxfId="1188" priority="1982">
      <formula>$A36="Fin Liberación"</formula>
    </cfRule>
    <cfRule type="expression" dxfId="1187" priority="1983">
      <formula>$A36="Inicio Liberación"</formula>
    </cfRule>
  </conditionalFormatting>
  <conditionalFormatting sqref="E202">
    <cfRule type="expression" dxfId="1186" priority="1965">
      <formula>$A202="Fin Liberación"</formula>
    </cfRule>
    <cfRule type="expression" dxfId="1185" priority="1966">
      <formula>$A202="Inicio Liberación"</formula>
    </cfRule>
  </conditionalFormatting>
  <conditionalFormatting sqref="G34">
    <cfRule type="expression" dxfId="1184" priority="1963">
      <formula>$A34="Fin Liberación"</formula>
    </cfRule>
    <cfRule type="expression" dxfId="1183" priority="1964">
      <formula>$A34="Inicio Liberación"</formula>
    </cfRule>
  </conditionalFormatting>
  <conditionalFormatting sqref="G33">
    <cfRule type="expression" dxfId="1182" priority="1953">
      <formula>$A33="Fin Liberación"</formula>
    </cfRule>
    <cfRule type="expression" dxfId="1181" priority="1954">
      <formula>$A33="Inicio Liberación"</formula>
    </cfRule>
  </conditionalFormatting>
  <conditionalFormatting sqref="G6:G202">
    <cfRule type="expression" dxfId="1180" priority="1951">
      <formula>$A6="Fin Liberación"</formula>
    </cfRule>
    <cfRule type="expression" dxfId="1179" priority="1952">
      <formula>$A6="Inicio Liberación"</formula>
    </cfRule>
  </conditionalFormatting>
  <conditionalFormatting sqref="G6:G202">
    <cfRule type="containsErrors" dxfId="1178" priority="1950">
      <formula>ISERROR(G6)</formula>
    </cfRule>
  </conditionalFormatting>
  <conditionalFormatting sqref="G6:G202">
    <cfRule type="expression" dxfId="1177" priority="1948">
      <formula>$A6="Fin Liberación"</formula>
    </cfRule>
    <cfRule type="expression" dxfId="1176" priority="1949">
      <formula>$A6="Inicio Liberación"</formula>
    </cfRule>
  </conditionalFormatting>
  <conditionalFormatting sqref="G6:G202">
    <cfRule type="expression" dxfId="1175" priority="1946">
      <formula>$A6="Fin Liberación"</formula>
    </cfRule>
    <cfRule type="expression" dxfId="1174" priority="1947">
      <formula>$A6="Inicio Liberación"</formula>
    </cfRule>
  </conditionalFormatting>
  <conditionalFormatting sqref="G6:G202">
    <cfRule type="expression" dxfId="1173" priority="1944">
      <formula>$A6="Fin Liberación"</formula>
    </cfRule>
    <cfRule type="expression" dxfId="1172" priority="1945">
      <formula>$A6="Inicio Liberación"</formula>
    </cfRule>
  </conditionalFormatting>
  <conditionalFormatting sqref="G5">
    <cfRule type="containsErrors" dxfId="1171" priority="1935">
      <formula>ISERROR(G5)</formula>
    </cfRule>
    <cfRule type="expression" dxfId="1170" priority="1936">
      <formula>$A5="Fin Liberación"</formula>
    </cfRule>
    <cfRule type="expression" dxfId="1169" priority="1937">
      <formula>$A5="Inicio Liberación"</formula>
    </cfRule>
  </conditionalFormatting>
  <conditionalFormatting sqref="C15:C81 C190:C202">
    <cfRule type="expression" dxfId="1168" priority="1932">
      <formula>$A15="Inicio Liberación"</formula>
    </cfRule>
  </conditionalFormatting>
  <conditionalFormatting sqref="C15:C81 C190:C202">
    <cfRule type="expression" dxfId="1167" priority="1931">
      <formula>$A15="Fin Liberación"</formula>
    </cfRule>
  </conditionalFormatting>
  <conditionalFormatting sqref="C203">
    <cfRule type="expression" dxfId="1166" priority="1930">
      <formula>$A203="Inicio Liberación"</formula>
    </cfRule>
  </conditionalFormatting>
  <conditionalFormatting sqref="C203">
    <cfRule type="expression" dxfId="1165" priority="1929">
      <formula>$A203="Fin Liberación"</formula>
    </cfRule>
  </conditionalFormatting>
  <conditionalFormatting sqref="G4">
    <cfRule type="containsErrors" dxfId="1164" priority="1909">
      <formula>ISERROR(G4)</formula>
    </cfRule>
    <cfRule type="expression" dxfId="1163" priority="1910">
      <formula>$A4="Fin Liberación"</formula>
    </cfRule>
    <cfRule type="expression" dxfId="1162" priority="1911">
      <formula>$A4="Inicio Liberación"</formula>
    </cfRule>
  </conditionalFormatting>
  <conditionalFormatting sqref="C204">
    <cfRule type="expression" dxfId="1161" priority="1906">
      <formula>$A204="Inicio Liberación"</formula>
    </cfRule>
  </conditionalFormatting>
  <conditionalFormatting sqref="C204">
    <cfRule type="expression" dxfId="1160" priority="1905">
      <formula>$A204="Fin Liberación"</formula>
    </cfRule>
  </conditionalFormatting>
  <conditionalFormatting sqref="E5">
    <cfRule type="containsText" dxfId="1159" priority="1877" operator="containsText" text="Captura F/H Primer Actividad pestaña Plan">
      <formula>NOT(ISERROR(SEARCH("Captura F/H Primer Actividad pestaña Plan",E5)))</formula>
    </cfRule>
  </conditionalFormatting>
  <conditionalFormatting sqref="F5">
    <cfRule type="containsText" dxfId="1158" priority="1853" operator="containsText" text="Captura la F/H FIN de Actividad actividad FIN del Plan">
      <formula>NOT(ISERROR(SEARCH("Captura la F/H FIN de Actividad actividad FIN del Plan",F5)))</formula>
    </cfRule>
    <cfRule type="containsText" dxfId="1157" priority="1886" operator="containsText" text="Captura Actividad Macro">
      <formula>NOT(ISERROR(SEARCH("Captura Actividad Macro",F5)))</formula>
    </cfRule>
  </conditionalFormatting>
  <conditionalFormatting sqref="E4">
    <cfRule type="containsText" dxfId="1156" priority="1883" operator="containsText" text="Captura Actividad Macro VTI">
      <formula>NOT(ISERROR(SEARCH("Captura Actividad Macro VTI",E4)))</formula>
    </cfRule>
  </conditionalFormatting>
  <conditionalFormatting sqref="F4">
    <cfRule type="containsText" dxfId="1155" priority="1880" operator="containsText" text="Captura Actividad Macro VTF pestaña Plan">
      <formula>NOT(ISERROR(SEARCH("Captura Actividad Macro VTF pestaña Plan",F4)))</formula>
    </cfRule>
  </conditionalFormatting>
  <conditionalFormatting sqref="F187:F201">
    <cfRule type="expression" dxfId="1154" priority="1769">
      <formula>$B187="Fin Liberación"</formula>
    </cfRule>
    <cfRule type="expression" dxfId="1153" priority="1770">
      <formula>$B187="Inicio Liberación"</formula>
    </cfRule>
  </conditionalFormatting>
  <conditionalFormatting sqref="E187:E201">
    <cfRule type="expression" dxfId="1152" priority="1767">
      <formula>$B187="Fin Liberación"</formula>
    </cfRule>
    <cfRule type="expression" dxfId="1151" priority="1768">
      <formula>$B187="Inicio Liberación"</formula>
    </cfRule>
  </conditionalFormatting>
  <conditionalFormatting sqref="C6:C9 C14:C17">
    <cfRule type="expression" dxfId="1150" priority="1691">
      <formula>$B9="Inicio Liberación"</formula>
    </cfRule>
  </conditionalFormatting>
  <conditionalFormatting sqref="C6:C9 C14:C17">
    <cfRule type="expression" dxfId="1149" priority="1692">
      <formula>$B9="Fin Liberación"</formula>
    </cfRule>
  </conditionalFormatting>
  <conditionalFormatting sqref="C190:C201 C6:C9 C14:C81">
    <cfRule type="containsText" dxfId="1148" priority="1653" operator="containsText" text="VTF">
      <formula>NOT(ISERROR(SEARCH("VTF",C6)))</formula>
    </cfRule>
    <cfRule type="containsText" dxfId="1147" priority="1654" operator="containsText" text="VTI">
      <formula>NOT(ISERROR(SEARCH("VTI",C6)))</formula>
    </cfRule>
  </conditionalFormatting>
  <conditionalFormatting sqref="C7">
    <cfRule type="expression" dxfId="1146" priority="913">
      <formula>$B7="Fin Liberación"</formula>
    </cfRule>
    <cfRule type="expression" dxfId="1145" priority="914">
      <formula>$B7="Inicio Liberación"</formula>
    </cfRule>
  </conditionalFormatting>
  <conditionalFormatting sqref="C7">
    <cfRule type="expression" dxfId="1144" priority="911">
      <formula>$B7="Fin Liberación"</formula>
    </cfRule>
    <cfRule type="expression" dxfId="1143" priority="912">
      <formula>$B7="Inicio Liberación"</formula>
    </cfRule>
  </conditionalFormatting>
  <conditionalFormatting sqref="E6">
    <cfRule type="expression" dxfId="1142" priority="849">
      <formula>$B6="Fin Liberación"</formula>
    </cfRule>
    <cfRule type="expression" dxfId="1141" priority="850">
      <formula>$B6="Inicio Liberación"</formula>
    </cfRule>
  </conditionalFormatting>
  <conditionalFormatting sqref="C15">
    <cfRule type="expression" dxfId="1140" priority="813">
      <formula>$B15="Fin Liberación"</formula>
    </cfRule>
    <cfRule type="expression" dxfId="1139" priority="814">
      <formula>$B15="Inicio Liberación"</formula>
    </cfRule>
  </conditionalFormatting>
  <conditionalFormatting sqref="C15">
    <cfRule type="expression" dxfId="1138" priority="811">
      <formula>$B15="Fin Liberación"</formula>
    </cfRule>
    <cfRule type="expression" dxfId="1137" priority="812">
      <formula>$B15="Inicio Liberación"</formula>
    </cfRule>
  </conditionalFormatting>
  <conditionalFormatting sqref="C18:C21">
    <cfRule type="expression" dxfId="1136" priority="809">
      <formula>$B21="Inicio Liberación"</formula>
    </cfRule>
  </conditionalFormatting>
  <conditionalFormatting sqref="C18:C21">
    <cfRule type="expression" dxfId="1135" priority="810">
      <formula>$B21="Fin Liberación"</formula>
    </cfRule>
  </conditionalFormatting>
  <conditionalFormatting sqref="C19">
    <cfRule type="expression" dxfId="1134" priority="807">
      <formula>$B19="Fin Liberación"</formula>
    </cfRule>
    <cfRule type="expression" dxfId="1133" priority="808">
      <formula>$B19="Inicio Liberación"</formula>
    </cfRule>
  </conditionalFormatting>
  <conditionalFormatting sqref="C19">
    <cfRule type="expression" dxfId="1132" priority="805">
      <formula>$B19="Fin Liberación"</formula>
    </cfRule>
    <cfRule type="expression" dxfId="1131" priority="806">
      <formula>$B19="Inicio Liberación"</formula>
    </cfRule>
  </conditionalFormatting>
  <conditionalFormatting sqref="C22:C25">
    <cfRule type="expression" dxfId="1130" priority="803">
      <formula>$B25="Inicio Liberación"</formula>
    </cfRule>
  </conditionalFormatting>
  <conditionalFormatting sqref="C22:C25">
    <cfRule type="expression" dxfId="1129" priority="804">
      <formula>$B25="Fin Liberación"</formula>
    </cfRule>
  </conditionalFormatting>
  <conditionalFormatting sqref="C23">
    <cfRule type="expression" dxfId="1128" priority="801">
      <formula>$B23="Fin Liberación"</formula>
    </cfRule>
    <cfRule type="expression" dxfId="1127" priority="802">
      <formula>$B23="Inicio Liberación"</formula>
    </cfRule>
  </conditionalFormatting>
  <conditionalFormatting sqref="C23">
    <cfRule type="expression" dxfId="1126" priority="799">
      <formula>$B23="Fin Liberación"</formula>
    </cfRule>
    <cfRule type="expression" dxfId="1125" priority="800">
      <formula>$B23="Inicio Liberación"</formula>
    </cfRule>
  </conditionalFormatting>
  <conditionalFormatting sqref="C26:C29">
    <cfRule type="expression" dxfId="1124" priority="797">
      <formula>$B29="Inicio Liberación"</formula>
    </cfRule>
  </conditionalFormatting>
  <conditionalFormatting sqref="C26:C29">
    <cfRule type="expression" dxfId="1123" priority="798">
      <formula>$B29="Fin Liberación"</formula>
    </cfRule>
  </conditionalFormatting>
  <conditionalFormatting sqref="C27">
    <cfRule type="expression" dxfId="1122" priority="795">
      <formula>$B27="Fin Liberación"</formula>
    </cfRule>
    <cfRule type="expression" dxfId="1121" priority="796">
      <formula>$B27="Inicio Liberación"</formula>
    </cfRule>
  </conditionalFormatting>
  <conditionalFormatting sqref="C27">
    <cfRule type="expression" dxfId="1120" priority="793">
      <formula>$B27="Fin Liberación"</formula>
    </cfRule>
    <cfRule type="expression" dxfId="1119" priority="794">
      <formula>$B27="Inicio Liberación"</formula>
    </cfRule>
  </conditionalFormatting>
  <conditionalFormatting sqref="C30:C33">
    <cfRule type="expression" dxfId="1118" priority="791">
      <formula>$B33="Inicio Liberación"</formula>
    </cfRule>
  </conditionalFormatting>
  <conditionalFormatting sqref="C30:C33">
    <cfRule type="expression" dxfId="1117" priority="792">
      <formula>$B33="Fin Liberación"</formula>
    </cfRule>
  </conditionalFormatting>
  <conditionalFormatting sqref="C31">
    <cfRule type="expression" dxfId="1116" priority="789">
      <formula>$B31="Fin Liberación"</formula>
    </cfRule>
    <cfRule type="expression" dxfId="1115" priority="790">
      <formula>$B31="Inicio Liberación"</formula>
    </cfRule>
  </conditionalFormatting>
  <conditionalFormatting sqref="C31">
    <cfRule type="expression" dxfId="1114" priority="787">
      <formula>$B31="Fin Liberación"</formula>
    </cfRule>
    <cfRule type="expression" dxfId="1113" priority="788">
      <formula>$B31="Inicio Liberación"</formula>
    </cfRule>
  </conditionalFormatting>
  <conditionalFormatting sqref="C34:C37">
    <cfRule type="expression" dxfId="1112" priority="785">
      <formula>$B37="Inicio Liberación"</formula>
    </cfRule>
  </conditionalFormatting>
  <conditionalFormatting sqref="C34:C37">
    <cfRule type="expression" dxfId="1111" priority="786">
      <formula>$B37="Fin Liberación"</formula>
    </cfRule>
  </conditionalFormatting>
  <conditionalFormatting sqref="C35">
    <cfRule type="expression" dxfId="1110" priority="783">
      <formula>$B35="Fin Liberación"</formula>
    </cfRule>
    <cfRule type="expression" dxfId="1109" priority="784">
      <formula>$B35="Inicio Liberación"</formula>
    </cfRule>
  </conditionalFormatting>
  <conditionalFormatting sqref="C35">
    <cfRule type="expression" dxfId="1108" priority="781">
      <formula>$B35="Fin Liberación"</formula>
    </cfRule>
    <cfRule type="expression" dxfId="1107" priority="782">
      <formula>$B35="Inicio Liberación"</formula>
    </cfRule>
  </conditionalFormatting>
  <conditionalFormatting sqref="C38:C41">
    <cfRule type="expression" dxfId="1106" priority="779">
      <formula>$B41="Inicio Liberación"</formula>
    </cfRule>
  </conditionalFormatting>
  <conditionalFormatting sqref="C38:C41">
    <cfRule type="expression" dxfId="1105" priority="780">
      <formula>$B41="Fin Liberación"</formula>
    </cfRule>
  </conditionalFormatting>
  <conditionalFormatting sqref="C39">
    <cfRule type="expression" dxfId="1104" priority="777">
      <formula>$B39="Fin Liberación"</formula>
    </cfRule>
    <cfRule type="expression" dxfId="1103" priority="778">
      <formula>$B39="Inicio Liberación"</formula>
    </cfRule>
  </conditionalFormatting>
  <conditionalFormatting sqref="C39">
    <cfRule type="expression" dxfId="1102" priority="775">
      <formula>$B39="Fin Liberación"</formula>
    </cfRule>
    <cfRule type="expression" dxfId="1101" priority="776">
      <formula>$B39="Inicio Liberación"</formula>
    </cfRule>
  </conditionalFormatting>
  <conditionalFormatting sqref="C42:C45">
    <cfRule type="expression" dxfId="1100" priority="773">
      <formula>$B45="Inicio Liberación"</formula>
    </cfRule>
  </conditionalFormatting>
  <conditionalFormatting sqref="C42:C45">
    <cfRule type="expression" dxfId="1099" priority="774">
      <formula>$B45="Fin Liberación"</formula>
    </cfRule>
  </conditionalFormatting>
  <conditionalFormatting sqref="C43">
    <cfRule type="expression" dxfId="1098" priority="771">
      <formula>$B43="Fin Liberación"</formula>
    </cfRule>
    <cfRule type="expression" dxfId="1097" priority="772">
      <formula>$B43="Inicio Liberación"</formula>
    </cfRule>
  </conditionalFormatting>
  <conditionalFormatting sqref="C43">
    <cfRule type="expression" dxfId="1096" priority="769">
      <formula>$B43="Fin Liberación"</formula>
    </cfRule>
    <cfRule type="expression" dxfId="1095" priority="770">
      <formula>$B43="Inicio Liberación"</formula>
    </cfRule>
  </conditionalFormatting>
  <conditionalFormatting sqref="C46:C49">
    <cfRule type="expression" dxfId="1094" priority="767">
      <formula>$B49="Inicio Liberación"</formula>
    </cfRule>
  </conditionalFormatting>
  <conditionalFormatting sqref="C46:C49">
    <cfRule type="expression" dxfId="1093" priority="768">
      <formula>$B49="Fin Liberación"</formula>
    </cfRule>
  </conditionalFormatting>
  <conditionalFormatting sqref="C47">
    <cfRule type="expression" dxfId="1092" priority="765">
      <formula>$B47="Fin Liberación"</formula>
    </cfRule>
    <cfRule type="expression" dxfId="1091" priority="766">
      <formula>$B47="Inicio Liberación"</formula>
    </cfRule>
  </conditionalFormatting>
  <conditionalFormatting sqref="C47">
    <cfRule type="expression" dxfId="1090" priority="763">
      <formula>$B47="Fin Liberación"</formula>
    </cfRule>
    <cfRule type="expression" dxfId="1089" priority="764">
      <formula>$B47="Inicio Liberación"</formula>
    </cfRule>
  </conditionalFormatting>
  <conditionalFormatting sqref="C50:C53">
    <cfRule type="expression" dxfId="1088" priority="761">
      <formula>$B53="Inicio Liberación"</formula>
    </cfRule>
  </conditionalFormatting>
  <conditionalFormatting sqref="C50:C53">
    <cfRule type="expression" dxfId="1087" priority="762">
      <formula>$B53="Fin Liberación"</formula>
    </cfRule>
  </conditionalFormatting>
  <conditionalFormatting sqref="C51">
    <cfRule type="expression" dxfId="1086" priority="759">
      <formula>$B51="Fin Liberación"</formula>
    </cfRule>
    <cfRule type="expression" dxfId="1085" priority="760">
      <formula>$B51="Inicio Liberación"</formula>
    </cfRule>
  </conditionalFormatting>
  <conditionalFormatting sqref="C51">
    <cfRule type="expression" dxfId="1084" priority="757">
      <formula>$B51="Fin Liberación"</formula>
    </cfRule>
    <cfRule type="expression" dxfId="1083" priority="758">
      <formula>$B51="Inicio Liberación"</formula>
    </cfRule>
  </conditionalFormatting>
  <conditionalFormatting sqref="C54:C57">
    <cfRule type="expression" dxfId="1082" priority="755">
      <formula>$B57="Inicio Liberación"</formula>
    </cfRule>
  </conditionalFormatting>
  <conditionalFormatting sqref="C54:C57">
    <cfRule type="expression" dxfId="1081" priority="756">
      <formula>$B57="Fin Liberación"</formula>
    </cfRule>
  </conditionalFormatting>
  <conditionalFormatting sqref="C55">
    <cfRule type="expression" dxfId="1080" priority="753">
      <formula>$B55="Fin Liberación"</formula>
    </cfRule>
    <cfRule type="expression" dxfId="1079" priority="754">
      <formula>$B55="Inicio Liberación"</formula>
    </cfRule>
  </conditionalFormatting>
  <conditionalFormatting sqref="C55">
    <cfRule type="expression" dxfId="1078" priority="751">
      <formula>$B55="Fin Liberación"</formula>
    </cfRule>
    <cfRule type="expression" dxfId="1077" priority="752">
      <formula>$B55="Inicio Liberación"</formula>
    </cfRule>
  </conditionalFormatting>
  <conditionalFormatting sqref="C58:C61">
    <cfRule type="expression" dxfId="1076" priority="745">
      <formula>$B61="Inicio Liberación"</formula>
    </cfRule>
  </conditionalFormatting>
  <conditionalFormatting sqref="C58:C61">
    <cfRule type="expression" dxfId="1075" priority="746">
      <formula>$B61="Fin Liberación"</formula>
    </cfRule>
  </conditionalFormatting>
  <conditionalFormatting sqref="C59">
    <cfRule type="expression" dxfId="1074" priority="743">
      <formula>$B59="Fin Liberación"</formula>
    </cfRule>
    <cfRule type="expression" dxfId="1073" priority="744">
      <formula>$B59="Inicio Liberación"</formula>
    </cfRule>
  </conditionalFormatting>
  <conditionalFormatting sqref="C59">
    <cfRule type="expression" dxfId="1072" priority="741">
      <formula>$B59="Fin Liberación"</formula>
    </cfRule>
    <cfRule type="expression" dxfId="1071" priority="742">
      <formula>$B59="Inicio Liberación"</formula>
    </cfRule>
  </conditionalFormatting>
  <conditionalFormatting sqref="C62:C65">
    <cfRule type="expression" dxfId="1070" priority="739">
      <formula>$B65="Inicio Liberación"</formula>
    </cfRule>
  </conditionalFormatting>
  <conditionalFormatting sqref="C62:C65">
    <cfRule type="expression" dxfId="1069" priority="740">
      <formula>$B65="Fin Liberación"</formula>
    </cfRule>
  </conditionalFormatting>
  <conditionalFormatting sqref="C63">
    <cfRule type="expression" dxfId="1068" priority="737">
      <formula>$B63="Fin Liberación"</formula>
    </cfRule>
    <cfRule type="expression" dxfId="1067" priority="738">
      <formula>$B63="Inicio Liberación"</formula>
    </cfRule>
  </conditionalFormatting>
  <conditionalFormatting sqref="C63">
    <cfRule type="expression" dxfId="1066" priority="735">
      <formula>$B63="Fin Liberación"</formula>
    </cfRule>
    <cfRule type="expression" dxfId="1065" priority="736">
      <formula>$B63="Inicio Liberación"</formula>
    </cfRule>
  </conditionalFormatting>
  <conditionalFormatting sqref="C66:C69">
    <cfRule type="expression" dxfId="1064" priority="733">
      <formula>$B69="Inicio Liberación"</formula>
    </cfRule>
  </conditionalFormatting>
  <conditionalFormatting sqref="C66:C69">
    <cfRule type="expression" dxfId="1063" priority="734">
      <formula>$B69="Fin Liberación"</formula>
    </cfRule>
  </conditionalFormatting>
  <conditionalFormatting sqref="C67">
    <cfRule type="expression" dxfId="1062" priority="731">
      <formula>$B67="Fin Liberación"</formula>
    </cfRule>
    <cfRule type="expression" dxfId="1061" priority="732">
      <formula>$B67="Inicio Liberación"</formula>
    </cfRule>
  </conditionalFormatting>
  <conditionalFormatting sqref="C67">
    <cfRule type="expression" dxfId="1060" priority="729">
      <formula>$B67="Fin Liberación"</formula>
    </cfRule>
    <cfRule type="expression" dxfId="1059" priority="730">
      <formula>$B67="Inicio Liberación"</formula>
    </cfRule>
  </conditionalFormatting>
  <conditionalFormatting sqref="C70:C73">
    <cfRule type="expression" dxfId="1058" priority="727">
      <formula>$B73="Inicio Liberación"</formula>
    </cfRule>
  </conditionalFormatting>
  <conditionalFormatting sqref="C70:C73">
    <cfRule type="expression" dxfId="1057" priority="728">
      <formula>$B73="Fin Liberación"</formula>
    </cfRule>
  </conditionalFormatting>
  <conditionalFormatting sqref="C71">
    <cfRule type="expression" dxfId="1056" priority="725">
      <formula>$B71="Fin Liberación"</formula>
    </cfRule>
    <cfRule type="expression" dxfId="1055" priority="726">
      <formula>$B71="Inicio Liberación"</formula>
    </cfRule>
  </conditionalFormatting>
  <conditionalFormatting sqref="C71">
    <cfRule type="expression" dxfId="1054" priority="723">
      <formula>$B71="Fin Liberación"</formula>
    </cfRule>
    <cfRule type="expression" dxfId="1053" priority="724">
      <formula>$B71="Inicio Liberación"</formula>
    </cfRule>
  </conditionalFormatting>
  <conditionalFormatting sqref="C74:C77">
    <cfRule type="expression" dxfId="1052" priority="721">
      <formula>$B77="Inicio Liberación"</formula>
    </cfRule>
  </conditionalFormatting>
  <conditionalFormatting sqref="C74:C77">
    <cfRule type="expression" dxfId="1051" priority="722">
      <formula>$B77="Fin Liberación"</formula>
    </cfRule>
  </conditionalFormatting>
  <conditionalFormatting sqref="C75">
    <cfRule type="expression" dxfId="1050" priority="719">
      <formula>$B75="Fin Liberación"</formula>
    </cfRule>
    <cfRule type="expression" dxfId="1049" priority="720">
      <formula>$B75="Inicio Liberación"</formula>
    </cfRule>
  </conditionalFormatting>
  <conditionalFormatting sqref="C75">
    <cfRule type="expression" dxfId="1048" priority="717">
      <formula>$B75="Fin Liberación"</formula>
    </cfRule>
    <cfRule type="expression" dxfId="1047" priority="718">
      <formula>$B75="Inicio Liberación"</formula>
    </cfRule>
  </conditionalFormatting>
  <conditionalFormatting sqref="C78:C81">
    <cfRule type="expression" dxfId="1046" priority="715">
      <formula>$B81="Inicio Liberación"</formula>
    </cfRule>
  </conditionalFormatting>
  <conditionalFormatting sqref="C78:C81">
    <cfRule type="expression" dxfId="1045" priority="716">
      <formula>$B81="Fin Liberación"</formula>
    </cfRule>
  </conditionalFormatting>
  <conditionalFormatting sqref="C79">
    <cfRule type="expression" dxfId="1044" priority="713">
      <formula>$B79="Fin Liberación"</formula>
    </cfRule>
    <cfRule type="expression" dxfId="1043" priority="714">
      <formula>$B79="Inicio Liberación"</formula>
    </cfRule>
  </conditionalFormatting>
  <conditionalFormatting sqref="C79">
    <cfRule type="expression" dxfId="1042" priority="711">
      <formula>$B79="Fin Liberación"</formula>
    </cfRule>
    <cfRule type="expression" dxfId="1041" priority="712">
      <formula>$B79="Inicio Liberación"</formula>
    </cfRule>
  </conditionalFormatting>
  <conditionalFormatting sqref="C91:C157">
    <cfRule type="expression" dxfId="1040" priority="710">
      <formula>$A91="Inicio Liberación"</formula>
    </cfRule>
  </conditionalFormatting>
  <conditionalFormatting sqref="C91:C157">
    <cfRule type="expression" dxfId="1039" priority="709">
      <formula>$A91="Fin Liberación"</formula>
    </cfRule>
  </conditionalFormatting>
  <conditionalFormatting sqref="C82:C85 C90:C93">
    <cfRule type="expression" dxfId="1038" priority="707">
      <formula>$B85="Inicio Liberación"</formula>
    </cfRule>
  </conditionalFormatting>
  <conditionalFormatting sqref="C82:C85 C90:C93">
    <cfRule type="expression" dxfId="1037" priority="708">
      <formula>$B85="Fin Liberación"</formula>
    </cfRule>
  </conditionalFormatting>
  <conditionalFormatting sqref="C82:C85 C90:C157">
    <cfRule type="containsText" dxfId="1036" priority="705" operator="containsText" text="VTF">
      <formula>NOT(ISERROR(SEARCH("VTF",C82)))</formula>
    </cfRule>
    <cfRule type="containsText" dxfId="1035" priority="706" operator="containsText" text="VTI">
      <formula>NOT(ISERROR(SEARCH("VTI",C82)))</formula>
    </cfRule>
  </conditionalFormatting>
  <conditionalFormatting sqref="C83">
    <cfRule type="expression" dxfId="1034" priority="703">
      <formula>$B83="Fin Liberación"</formula>
    </cfRule>
    <cfRule type="expression" dxfId="1033" priority="704">
      <formula>$B83="Inicio Liberación"</formula>
    </cfRule>
  </conditionalFormatting>
  <conditionalFormatting sqref="C83">
    <cfRule type="expression" dxfId="1032" priority="701">
      <formula>$B83="Fin Liberación"</formula>
    </cfRule>
    <cfRule type="expression" dxfId="1031" priority="702">
      <formula>$B83="Inicio Liberación"</formula>
    </cfRule>
  </conditionalFormatting>
  <conditionalFormatting sqref="C86:C89">
    <cfRule type="expression" dxfId="1030" priority="699">
      <formula>$B89="Inicio Liberación"</formula>
    </cfRule>
  </conditionalFormatting>
  <conditionalFormatting sqref="C86:C89">
    <cfRule type="expression" dxfId="1029" priority="700">
      <formula>$B89="Fin Liberación"</formula>
    </cfRule>
  </conditionalFormatting>
  <conditionalFormatting sqref="C86:C89">
    <cfRule type="containsText" dxfId="1028" priority="697" operator="containsText" text="VTF">
      <formula>NOT(ISERROR(SEARCH("VTF",C86)))</formula>
    </cfRule>
    <cfRule type="containsText" dxfId="1027" priority="698" operator="containsText" text="VTI">
      <formula>NOT(ISERROR(SEARCH("VTI",C86)))</formula>
    </cfRule>
  </conditionalFormatting>
  <conditionalFormatting sqref="C87">
    <cfRule type="expression" dxfId="1026" priority="695">
      <formula>$B87="Fin Liberación"</formula>
    </cfRule>
    <cfRule type="expression" dxfId="1025" priority="696">
      <formula>$B87="Inicio Liberación"</formula>
    </cfRule>
  </conditionalFormatting>
  <conditionalFormatting sqref="C87">
    <cfRule type="expression" dxfId="1024" priority="693">
      <formula>$B87="Fin Liberación"</formula>
    </cfRule>
    <cfRule type="expression" dxfId="1023" priority="694">
      <formula>$B87="Inicio Liberación"</formula>
    </cfRule>
  </conditionalFormatting>
  <conditionalFormatting sqref="C91">
    <cfRule type="expression" dxfId="1022" priority="691">
      <formula>$B91="Fin Liberación"</formula>
    </cfRule>
    <cfRule type="expression" dxfId="1021" priority="692">
      <formula>$B91="Inicio Liberación"</formula>
    </cfRule>
  </conditionalFormatting>
  <conditionalFormatting sqref="C91">
    <cfRule type="expression" dxfId="1020" priority="689">
      <formula>$B91="Fin Liberación"</formula>
    </cfRule>
    <cfRule type="expression" dxfId="1019" priority="690">
      <formula>$B91="Inicio Liberación"</formula>
    </cfRule>
  </conditionalFormatting>
  <conditionalFormatting sqref="C94:C97">
    <cfRule type="expression" dxfId="1018" priority="687">
      <formula>$B97="Inicio Liberación"</formula>
    </cfRule>
  </conditionalFormatting>
  <conditionalFormatting sqref="C94:C97">
    <cfRule type="expression" dxfId="1017" priority="688">
      <formula>$B97="Fin Liberación"</formula>
    </cfRule>
  </conditionalFormatting>
  <conditionalFormatting sqref="C95">
    <cfRule type="expression" dxfId="1016" priority="685">
      <formula>$B95="Fin Liberación"</formula>
    </cfRule>
    <cfRule type="expression" dxfId="1015" priority="686">
      <formula>$B95="Inicio Liberación"</formula>
    </cfRule>
  </conditionalFormatting>
  <conditionalFormatting sqref="C95">
    <cfRule type="expression" dxfId="1014" priority="683">
      <formula>$B95="Fin Liberación"</formula>
    </cfRule>
    <cfRule type="expression" dxfId="1013" priority="684">
      <formula>$B95="Inicio Liberación"</formula>
    </cfRule>
  </conditionalFormatting>
  <conditionalFormatting sqref="C98:C101">
    <cfRule type="expression" dxfId="1012" priority="681">
      <formula>$B101="Inicio Liberación"</formula>
    </cfRule>
  </conditionalFormatting>
  <conditionalFormatting sqref="C98:C101">
    <cfRule type="expression" dxfId="1011" priority="682">
      <formula>$B101="Fin Liberación"</formula>
    </cfRule>
  </conditionalFormatting>
  <conditionalFormatting sqref="C99">
    <cfRule type="expression" dxfId="1010" priority="679">
      <formula>$B99="Fin Liberación"</formula>
    </cfRule>
    <cfRule type="expression" dxfId="1009" priority="680">
      <formula>$B99="Inicio Liberación"</formula>
    </cfRule>
  </conditionalFormatting>
  <conditionalFormatting sqref="C99">
    <cfRule type="expression" dxfId="1008" priority="677">
      <formula>$B99="Fin Liberación"</formula>
    </cfRule>
    <cfRule type="expression" dxfId="1007" priority="678">
      <formula>$B99="Inicio Liberación"</formula>
    </cfRule>
  </conditionalFormatting>
  <conditionalFormatting sqref="C102:C105">
    <cfRule type="expression" dxfId="1006" priority="675">
      <formula>$B105="Inicio Liberación"</formula>
    </cfRule>
  </conditionalFormatting>
  <conditionalFormatting sqref="C102:C105">
    <cfRule type="expression" dxfId="1005" priority="676">
      <formula>$B105="Fin Liberación"</formula>
    </cfRule>
  </conditionalFormatting>
  <conditionalFormatting sqref="C103">
    <cfRule type="expression" dxfId="1004" priority="673">
      <formula>$B103="Fin Liberación"</formula>
    </cfRule>
    <cfRule type="expression" dxfId="1003" priority="674">
      <formula>$B103="Inicio Liberación"</formula>
    </cfRule>
  </conditionalFormatting>
  <conditionalFormatting sqref="C103">
    <cfRule type="expression" dxfId="1002" priority="671">
      <formula>$B103="Fin Liberación"</formula>
    </cfRule>
    <cfRule type="expression" dxfId="1001" priority="672">
      <formula>$B103="Inicio Liberación"</formula>
    </cfRule>
  </conditionalFormatting>
  <conditionalFormatting sqref="C106:C109">
    <cfRule type="expression" dxfId="1000" priority="669">
      <formula>$B109="Inicio Liberación"</formula>
    </cfRule>
  </conditionalFormatting>
  <conditionalFormatting sqref="C106:C109">
    <cfRule type="expression" dxfId="999" priority="670">
      <formula>$B109="Fin Liberación"</formula>
    </cfRule>
  </conditionalFormatting>
  <conditionalFormatting sqref="C107">
    <cfRule type="expression" dxfId="998" priority="667">
      <formula>$B107="Fin Liberación"</formula>
    </cfRule>
    <cfRule type="expression" dxfId="997" priority="668">
      <formula>$B107="Inicio Liberación"</formula>
    </cfRule>
  </conditionalFormatting>
  <conditionalFormatting sqref="C107">
    <cfRule type="expression" dxfId="996" priority="665">
      <formula>$B107="Fin Liberación"</formula>
    </cfRule>
    <cfRule type="expression" dxfId="995" priority="666">
      <formula>$B107="Inicio Liberación"</formula>
    </cfRule>
  </conditionalFormatting>
  <conditionalFormatting sqref="C110:C113">
    <cfRule type="expression" dxfId="994" priority="663">
      <formula>$B113="Inicio Liberación"</formula>
    </cfRule>
  </conditionalFormatting>
  <conditionalFormatting sqref="C110:C113">
    <cfRule type="expression" dxfId="993" priority="664">
      <formula>$B113="Fin Liberación"</formula>
    </cfRule>
  </conditionalFormatting>
  <conditionalFormatting sqref="C111">
    <cfRule type="expression" dxfId="992" priority="661">
      <formula>$B111="Fin Liberación"</formula>
    </cfRule>
    <cfRule type="expression" dxfId="991" priority="662">
      <formula>$B111="Inicio Liberación"</formula>
    </cfRule>
  </conditionalFormatting>
  <conditionalFormatting sqref="C111">
    <cfRule type="expression" dxfId="990" priority="659">
      <formula>$B111="Fin Liberación"</formula>
    </cfRule>
    <cfRule type="expression" dxfId="989" priority="660">
      <formula>$B111="Inicio Liberación"</formula>
    </cfRule>
  </conditionalFormatting>
  <conditionalFormatting sqref="C114:C117">
    <cfRule type="expression" dxfId="988" priority="657">
      <formula>$B117="Inicio Liberación"</formula>
    </cfRule>
  </conditionalFormatting>
  <conditionalFormatting sqref="C114:C117">
    <cfRule type="expression" dxfId="987" priority="658">
      <formula>$B117="Fin Liberación"</formula>
    </cfRule>
  </conditionalFormatting>
  <conditionalFormatting sqref="C115">
    <cfRule type="expression" dxfId="986" priority="655">
      <formula>$B115="Fin Liberación"</formula>
    </cfRule>
    <cfRule type="expression" dxfId="985" priority="656">
      <formula>$B115="Inicio Liberación"</formula>
    </cfRule>
  </conditionalFormatting>
  <conditionalFormatting sqref="C115">
    <cfRule type="expression" dxfId="984" priority="653">
      <formula>$B115="Fin Liberación"</formula>
    </cfRule>
    <cfRule type="expression" dxfId="983" priority="654">
      <formula>$B115="Inicio Liberación"</formula>
    </cfRule>
  </conditionalFormatting>
  <conditionalFormatting sqref="C118:C121">
    <cfRule type="expression" dxfId="982" priority="651">
      <formula>$B121="Inicio Liberación"</formula>
    </cfRule>
  </conditionalFormatting>
  <conditionalFormatting sqref="C118:C121">
    <cfRule type="expression" dxfId="981" priority="652">
      <formula>$B121="Fin Liberación"</formula>
    </cfRule>
  </conditionalFormatting>
  <conditionalFormatting sqref="C119">
    <cfRule type="expression" dxfId="980" priority="649">
      <formula>$B119="Fin Liberación"</formula>
    </cfRule>
    <cfRule type="expression" dxfId="979" priority="650">
      <formula>$B119="Inicio Liberación"</formula>
    </cfRule>
  </conditionalFormatting>
  <conditionalFormatting sqref="C119">
    <cfRule type="expression" dxfId="978" priority="647">
      <formula>$B119="Fin Liberación"</formula>
    </cfRule>
    <cfRule type="expression" dxfId="977" priority="648">
      <formula>$B119="Inicio Liberación"</formula>
    </cfRule>
  </conditionalFormatting>
  <conditionalFormatting sqref="C122:C125">
    <cfRule type="expression" dxfId="976" priority="645">
      <formula>$B125="Inicio Liberación"</formula>
    </cfRule>
  </conditionalFormatting>
  <conditionalFormatting sqref="C122:C125">
    <cfRule type="expression" dxfId="975" priority="646">
      <formula>$B125="Fin Liberación"</formula>
    </cfRule>
  </conditionalFormatting>
  <conditionalFormatting sqref="C123">
    <cfRule type="expression" dxfId="974" priority="643">
      <formula>$B123="Fin Liberación"</formula>
    </cfRule>
    <cfRule type="expression" dxfId="973" priority="644">
      <formula>$B123="Inicio Liberación"</formula>
    </cfRule>
  </conditionalFormatting>
  <conditionalFormatting sqref="C123">
    <cfRule type="expression" dxfId="972" priority="641">
      <formula>$B123="Fin Liberación"</formula>
    </cfRule>
    <cfRule type="expression" dxfId="971" priority="642">
      <formula>$B123="Inicio Liberación"</formula>
    </cfRule>
  </conditionalFormatting>
  <conditionalFormatting sqref="C126:C129">
    <cfRule type="expression" dxfId="970" priority="639">
      <formula>$B129="Inicio Liberación"</formula>
    </cfRule>
  </conditionalFormatting>
  <conditionalFormatting sqref="C126:C129">
    <cfRule type="expression" dxfId="969" priority="640">
      <formula>$B129="Fin Liberación"</formula>
    </cfRule>
  </conditionalFormatting>
  <conditionalFormatting sqref="C127">
    <cfRule type="expression" dxfId="968" priority="637">
      <formula>$B127="Fin Liberación"</formula>
    </cfRule>
    <cfRule type="expression" dxfId="967" priority="638">
      <formula>$B127="Inicio Liberación"</formula>
    </cfRule>
  </conditionalFormatting>
  <conditionalFormatting sqref="C127">
    <cfRule type="expression" dxfId="966" priority="635">
      <formula>$B127="Fin Liberación"</formula>
    </cfRule>
    <cfRule type="expression" dxfId="965" priority="636">
      <formula>$B127="Inicio Liberación"</formula>
    </cfRule>
  </conditionalFormatting>
  <conditionalFormatting sqref="C130:C133">
    <cfRule type="expression" dxfId="964" priority="633">
      <formula>$B133="Inicio Liberación"</formula>
    </cfRule>
  </conditionalFormatting>
  <conditionalFormatting sqref="C130:C133">
    <cfRule type="expression" dxfId="963" priority="634">
      <formula>$B133="Fin Liberación"</formula>
    </cfRule>
  </conditionalFormatting>
  <conditionalFormatting sqref="C131">
    <cfRule type="expression" dxfId="962" priority="631">
      <formula>$B131="Fin Liberación"</formula>
    </cfRule>
    <cfRule type="expression" dxfId="961" priority="632">
      <formula>$B131="Inicio Liberación"</formula>
    </cfRule>
  </conditionalFormatting>
  <conditionalFormatting sqref="C131">
    <cfRule type="expression" dxfId="960" priority="629">
      <formula>$B131="Fin Liberación"</formula>
    </cfRule>
    <cfRule type="expression" dxfId="959" priority="630">
      <formula>$B131="Inicio Liberación"</formula>
    </cfRule>
  </conditionalFormatting>
  <conditionalFormatting sqref="C134:C137">
    <cfRule type="expression" dxfId="958" priority="627">
      <formula>$B137="Inicio Liberación"</formula>
    </cfRule>
  </conditionalFormatting>
  <conditionalFormatting sqref="C134:C137">
    <cfRule type="expression" dxfId="957" priority="628">
      <formula>$B137="Fin Liberación"</formula>
    </cfRule>
  </conditionalFormatting>
  <conditionalFormatting sqref="C135">
    <cfRule type="expression" dxfId="956" priority="625">
      <formula>$B135="Fin Liberación"</formula>
    </cfRule>
    <cfRule type="expression" dxfId="955" priority="626">
      <formula>$B135="Inicio Liberación"</formula>
    </cfRule>
  </conditionalFormatting>
  <conditionalFormatting sqref="C135">
    <cfRule type="expression" dxfId="954" priority="623">
      <formula>$B135="Fin Liberación"</formula>
    </cfRule>
    <cfRule type="expression" dxfId="953" priority="624">
      <formula>$B135="Inicio Liberación"</formula>
    </cfRule>
  </conditionalFormatting>
  <conditionalFormatting sqref="C138:C141">
    <cfRule type="expression" dxfId="952" priority="621">
      <formula>$B141="Inicio Liberación"</formula>
    </cfRule>
  </conditionalFormatting>
  <conditionalFormatting sqref="C138:C141">
    <cfRule type="expression" dxfId="951" priority="622">
      <formula>$B141="Fin Liberación"</formula>
    </cfRule>
  </conditionalFormatting>
  <conditionalFormatting sqref="C139">
    <cfRule type="expression" dxfId="950" priority="619">
      <formula>$B139="Fin Liberación"</formula>
    </cfRule>
    <cfRule type="expression" dxfId="949" priority="620">
      <formula>$B139="Inicio Liberación"</formula>
    </cfRule>
  </conditionalFormatting>
  <conditionalFormatting sqref="C139">
    <cfRule type="expression" dxfId="948" priority="617">
      <formula>$B139="Fin Liberación"</formula>
    </cfRule>
    <cfRule type="expression" dxfId="947" priority="618">
      <formula>$B139="Inicio Liberación"</formula>
    </cfRule>
  </conditionalFormatting>
  <conditionalFormatting sqref="C142:C145">
    <cfRule type="expression" dxfId="946" priority="615">
      <formula>$B145="Inicio Liberación"</formula>
    </cfRule>
  </conditionalFormatting>
  <conditionalFormatting sqref="C142:C145">
    <cfRule type="expression" dxfId="945" priority="616">
      <formula>$B145="Fin Liberación"</formula>
    </cfRule>
  </conditionalFormatting>
  <conditionalFormatting sqref="C143">
    <cfRule type="expression" dxfId="944" priority="613">
      <formula>$B143="Fin Liberación"</formula>
    </cfRule>
    <cfRule type="expression" dxfId="943" priority="614">
      <formula>$B143="Inicio Liberación"</formula>
    </cfRule>
  </conditionalFormatting>
  <conditionalFormatting sqref="C143">
    <cfRule type="expression" dxfId="942" priority="611">
      <formula>$B143="Fin Liberación"</formula>
    </cfRule>
    <cfRule type="expression" dxfId="941" priority="612">
      <formula>$B143="Inicio Liberación"</formula>
    </cfRule>
  </conditionalFormatting>
  <conditionalFormatting sqref="C146:C149">
    <cfRule type="expression" dxfId="940" priority="609">
      <formula>$B149="Inicio Liberación"</formula>
    </cfRule>
  </conditionalFormatting>
  <conditionalFormatting sqref="C146:C149">
    <cfRule type="expression" dxfId="939" priority="610">
      <formula>$B149="Fin Liberación"</formula>
    </cfRule>
  </conditionalFormatting>
  <conditionalFormatting sqref="C147">
    <cfRule type="expression" dxfId="938" priority="607">
      <formula>$B147="Fin Liberación"</formula>
    </cfRule>
    <cfRule type="expression" dxfId="937" priority="608">
      <formula>$B147="Inicio Liberación"</formula>
    </cfRule>
  </conditionalFormatting>
  <conditionalFormatting sqref="C147">
    <cfRule type="expression" dxfId="936" priority="605">
      <formula>$B147="Fin Liberación"</formula>
    </cfRule>
    <cfRule type="expression" dxfId="935" priority="606">
      <formula>$B147="Inicio Liberación"</formula>
    </cfRule>
  </conditionalFormatting>
  <conditionalFormatting sqref="C150:C153">
    <cfRule type="expression" dxfId="934" priority="603">
      <formula>$B153="Inicio Liberación"</formula>
    </cfRule>
  </conditionalFormatting>
  <conditionalFormatting sqref="C150:C153">
    <cfRule type="expression" dxfId="933" priority="604">
      <formula>$B153="Fin Liberación"</formula>
    </cfRule>
  </conditionalFormatting>
  <conditionalFormatting sqref="C151">
    <cfRule type="expression" dxfId="932" priority="601">
      <formula>$B151="Fin Liberación"</formula>
    </cfRule>
    <cfRule type="expression" dxfId="931" priority="602">
      <formula>$B151="Inicio Liberación"</formula>
    </cfRule>
  </conditionalFormatting>
  <conditionalFormatting sqref="C151">
    <cfRule type="expression" dxfId="930" priority="599">
      <formula>$B151="Fin Liberación"</formula>
    </cfRule>
    <cfRule type="expression" dxfId="929" priority="600">
      <formula>$B151="Inicio Liberación"</formula>
    </cfRule>
  </conditionalFormatting>
  <conditionalFormatting sqref="C154:C157">
    <cfRule type="expression" dxfId="928" priority="597">
      <formula>$B157="Inicio Liberación"</formula>
    </cfRule>
  </conditionalFormatting>
  <conditionalFormatting sqref="C154:C157">
    <cfRule type="expression" dxfId="927" priority="598">
      <formula>$B157="Fin Liberación"</formula>
    </cfRule>
  </conditionalFormatting>
  <conditionalFormatting sqref="C155">
    <cfRule type="expression" dxfId="926" priority="595">
      <formula>$B155="Fin Liberación"</formula>
    </cfRule>
    <cfRule type="expression" dxfId="925" priority="596">
      <formula>$B155="Inicio Liberación"</formula>
    </cfRule>
  </conditionalFormatting>
  <conditionalFormatting sqref="C155">
    <cfRule type="expression" dxfId="924" priority="593">
      <formula>$B155="Fin Liberación"</formula>
    </cfRule>
    <cfRule type="expression" dxfId="923" priority="594">
      <formula>$B155="Inicio Liberación"</formula>
    </cfRule>
  </conditionalFormatting>
  <conditionalFormatting sqref="C158:C165">
    <cfRule type="expression" dxfId="922" priority="592">
      <formula>$A158="Inicio Liberación"</formula>
    </cfRule>
  </conditionalFormatting>
  <conditionalFormatting sqref="C158:C165">
    <cfRule type="expression" dxfId="921" priority="591">
      <formula>$A158="Fin Liberación"</formula>
    </cfRule>
  </conditionalFormatting>
  <conditionalFormatting sqref="C158:C165">
    <cfRule type="containsText" dxfId="920" priority="589" operator="containsText" text="VTF">
      <formula>NOT(ISERROR(SEARCH("VTF",C158)))</formula>
    </cfRule>
    <cfRule type="containsText" dxfId="919" priority="590" operator="containsText" text="VTI">
      <formula>NOT(ISERROR(SEARCH("VTI",C158)))</formula>
    </cfRule>
  </conditionalFormatting>
  <conditionalFormatting sqref="C158:C161">
    <cfRule type="expression" dxfId="918" priority="587">
      <formula>$B161="Inicio Liberación"</formula>
    </cfRule>
  </conditionalFormatting>
  <conditionalFormatting sqref="C158:C161">
    <cfRule type="expression" dxfId="917" priority="588">
      <formula>$B161="Fin Liberación"</formula>
    </cfRule>
  </conditionalFormatting>
  <conditionalFormatting sqref="C159">
    <cfRule type="expression" dxfId="916" priority="585">
      <formula>$B159="Fin Liberación"</formula>
    </cfRule>
    <cfRule type="expression" dxfId="915" priority="586">
      <formula>$B159="Inicio Liberación"</formula>
    </cfRule>
  </conditionalFormatting>
  <conditionalFormatting sqref="C159">
    <cfRule type="expression" dxfId="914" priority="583">
      <formula>$B159="Fin Liberación"</formula>
    </cfRule>
    <cfRule type="expression" dxfId="913" priority="584">
      <formula>$B159="Inicio Liberación"</formula>
    </cfRule>
  </conditionalFormatting>
  <conditionalFormatting sqref="C162:C165">
    <cfRule type="expression" dxfId="912" priority="581">
      <formula>$B165="Inicio Liberación"</formula>
    </cfRule>
  </conditionalFormatting>
  <conditionalFormatting sqref="C162:C165">
    <cfRule type="expression" dxfId="911" priority="582">
      <formula>$B165="Fin Liberación"</formula>
    </cfRule>
  </conditionalFormatting>
  <conditionalFormatting sqref="C163">
    <cfRule type="expression" dxfId="910" priority="579">
      <formula>$B163="Fin Liberación"</formula>
    </cfRule>
    <cfRule type="expression" dxfId="909" priority="580">
      <formula>$B163="Inicio Liberación"</formula>
    </cfRule>
  </conditionalFormatting>
  <conditionalFormatting sqref="C163">
    <cfRule type="expression" dxfId="908" priority="577">
      <formula>$B163="Fin Liberación"</formula>
    </cfRule>
    <cfRule type="expression" dxfId="907" priority="578">
      <formula>$B163="Inicio Liberación"</formula>
    </cfRule>
  </conditionalFormatting>
  <conditionalFormatting sqref="C166:C173">
    <cfRule type="expression" dxfId="906" priority="576">
      <formula>$A166="Inicio Liberación"</formula>
    </cfRule>
  </conditionalFormatting>
  <conditionalFormatting sqref="C166:C173">
    <cfRule type="expression" dxfId="905" priority="575">
      <formula>$A166="Fin Liberación"</formula>
    </cfRule>
  </conditionalFormatting>
  <conditionalFormatting sqref="C166:C173">
    <cfRule type="containsText" dxfId="904" priority="573" operator="containsText" text="VTF">
      <formula>NOT(ISERROR(SEARCH("VTF",C166)))</formula>
    </cfRule>
    <cfRule type="containsText" dxfId="903" priority="574" operator="containsText" text="VTI">
      <formula>NOT(ISERROR(SEARCH("VTI",C166)))</formula>
    </cfRule>
  </conditionalFormatting>
  <conditionalFormatting sqref="C166:C169">
    <cfRule type="expression" dxfId="902" priority="571">
      <formula>$B169="Inicio Liberación"</formula>
    </cfRule>
  </conditionalFormatting>
  <conditionalFormatting sqref="C166:C169">
    <cfRule type="expression" dxfId="901" priority="572">
      <formula>$B169="Fin Liberación"</formula>
    </cfRule>
  </conditionalFormatting>
  <conditionalFormatting sqref="C167">
    <cfRule type="expression" dxfId="900" priority="569">
      <formula>$B167="Fin Liberación"</formula>
    </cfRule>
    <cfRule type="expression" dxfId="899" priority="570">
      <formula>$B167="Inicio Liberación"</formula>
    </cfRule>
  </conditionalFormatting>
  <conditionalFormatting sqref="C167">
    <cfRule type="expression" dxfId="898" priority="567">
      <formula>$B167="Fin Liberación"</formula>
    </cfRule>
    <cfRule type="expression" dxfId="897" priority="568">
      <formula>$B167="Inicio Liberación"</formula>
    </cfRule>
  </conditionalFormatting>
  <conditionalFormatting sqref="C170:C173">
    <cfRule type="expression" dxfId="896" priority="565">
      <formula>$B173="Inicio Liberación"</formula>
    </cfRule>
  </conditionalFormatting>
  <conditionalFormatting sqref="C170:C173">
    <cfRule type="expression" dxfId="895" priority="566">
      <formula>$B173="Fin Liberación"</formula>
    </cfRule>
  </conditionalFormatting>
  <conditionalFormatting sqref="C171">
    <cfRule type="expression" dxfId="894" priority="563">
      <formula>$B171="Fin Liberación"</formula>
    </cfRule>
    <cfRule type="expression" dxfId="893" priority="564">
      <formula>$B171="Inicio Liberación"</formula>
    </cfRule>
  </conditionalFormatting>
  <conditionalFormatting sqref="C171">
    <cfRule type="expression" dxfId="892" priority="561">
      <formula>$B171="Fin Liberación"</formula>
    </cfRule>
    <cfRule type="expression" dxfId="891" priority="562">
      <formula>$B171="Inicio Liberación"</formula>
    </cfRule>
  </conditionalFormatting>
  <conditionalFormatting sqref="C174:C181">
    <cfRule type="expression" dxfId="890" priority="560">
      <formula>$A174="Inicio Liberación"</formula>
    </cfRule>
  </conditionalFormatting>
  <conditionalFormatting sqref="C174:C181">
    <cfRule type="expression" dxfId="889" priority="559">
      <formula>$A174="Fin Liberación"</formula>
    </cfRule>
  </conditionalFormatting>
  <conditionalFormatting sqref="C174:C181">
    <cfRule type="containsText" dxfId="888" priority="557" operator="containsText" text="VTF">
      <formula>NOT(ISERROR(SEARCH("VTF",C174)))</formula>
    </cfRule>
    <cfRule type="containsText" dxfId="887" priority="558" operator="containsText" text="VTI">
      <formula>NOT(ISERROR(SEARCH("VTI",C174)))</formula>
    </cfRule>
  </conditionalFormatting>
  <conditionalFormatting sqref="C174:C177">
    <cfRule type="expression" dxfId="886" priority="555">
      <formula>$B177="Inicio Liberación"</formula>
    </cfRule>
  </conditionalFormatting>
  <conditionalFormatting sqref="C174:C177">
    <cfRule type="expression" dxfId="885" priority="556">
      <formula>$B177="Fin Liberación"</formula>
    </cfRule>
  </conditionalFormatting>
  <conditionalFormatting sqref="C175">
    <cfRule type="expression" dxfId="884" priority="553">
      <formula>$B175="Fin Liberación"</formula>
    </cfRule>
    <cfRule type="expression" dxfId="883" priority="554">
      <formula>$B175="Inicio Liberación"</formula>
    </cfRule>
  </conditionalFormatting>
  <conditionalFormatting sqref="C175">
    <cfRule type="expression" dxfId="882" priority="551">
      <formula>$B175="Fin Liberación"</formula>
    </cfRule>
    <cfRule type="expression" dxfId="881" priority="552">
      <formula>$B175="Inicio Liberación"</formula>
    </cfRule>
  </conditionalFormatting>
  <conditionalFormatting sqref="C178:C181">
    <cfRule type="expression" dxfId="880" priority="549">
      <formula>$B181="Inicio Liberación"</formula>
    </cfRule>
  </conditionalFormatting>
  <conditionalFormatting sqref="C178:C181">
    <cfRule type="expression" dxfId="879" priority="550">
      <formula>$B181="Fin Liberación"</formula>
    </cfRule>
  </conditionalFormatting>
  <conditionalFormatting sqref="C179">
    <cfRule type="expression" dxfId="878" priority="547">
      <formula>$B179="Fin Liberación"</formula>
    </cfRule>
    <cfRule type="expression" dxfId="877" priority="548">
      <formula>$B179="Inicio Liberación"</formula>
    </cfRule>
  </conditionalFormatting>
  <conditionalFormatting sqref="C179">
    <cfRule type="expression" dxfId="876" priority="545">
      <formula>$B179="Fin Liberación"</formula>
    </cfRule>
    <cfRule type="expression" dxfId="875" priority="546">
      <formula>$B179="Inicio Liberación"</formula>
    </cfRule>
  </conditionalFormatting>
  <conditionalFormatting sqref="C182:C189">
    <cfRule type="expression" dxfId="874" priority="544">
      <formula>$A182="Inicio Liberación"</formula>
    </cfRule>
  </conditionalFormatting>
  <conditionalFormatting sqref="C182:C189">
    <cfRule type="expression" dxfId="873" priority="543">
      <formula>$A182="Fin Liberación"</formula>
    </cfRule>
  </conditionalFormatting>
  <conditionalFormatting sqref="C182:C189">
    <cfRule type="containsText" dxfId="872" priority="541" operator="containsText" text="VTF">
      <formula>NOT(ISERROR(SEARCH("VTF",C182)))</formula>
    </cfRule>
    <cfRule type="containsText" dxfId="871" priority="542" operator="containsText" text="VTI">
      <formula>NOT(ISERROR(SEARCH("VTI",C182)))</formula>
    </cfRule>
  </conditionalFormatting>
  <conditionalFormatting sqref="C182:C185">
    <cfRule type="expression" dxfId="870" priority="539">
      <formula>$B185="Inicio Liberación"</formula>
    </cfRule>
  </conditionalFormatting>
  <conditionalFormatting sqref="C182:C185">
    <cfRule type="expression" dxfId="869" priority="540">
      <formula>$B185="Fin Liberación"</formula>
    </cfRule>
  </conditionalFormatting>
  <conditionalFormatting sqref="C183">
    <cfRule type="expression" dxfId="868" priority="537">
      <formula>$B183="Fin Liberación"</formula>
    </cfRule>
    <cfRule type="expression" dxfId="867" priority="538">
      <formula>$B183="Inicio Liberación"</formula>
    </cfRule>
  </conditionalFormatting>
  <conditionalFormatting sqref="C183">
    <cfRule type="expression" dxfId="866" priority="535">
      <formula>$B183="Fin Liberación"</formula>
    </cfRule>
    <cfRule type="expression" dxfId="865" priority="536">
      <formula>$B183="Inicio Liberación"</formula>
    </cfRule>
  </conditionalFormatting>
  <conditionalFormatting sqref="C186:C189">
    <cfRule type="expression" dxfId="864" priority="533">
      <formula>$B189="Inicio Liberación"</formula>
    </cfRule>
  </conditionalFormatting>
  <conditionalFormatting sqref="C186:C189">
    <cfRule type="expression" dxfId="863" priority="534">
      <formula>$B189="Fin Liberación"</formula>
    </cfRule>
  </conditionalFormatting>
  <conditionalFormatting sqref="C187">
    <cfRule type="expression" dxfId="862" priority="531">
      <formula>$B187="Fin Liberación"</formula>
    </cfRule>
    <cfRule type="expression" dxfId="861" priority="532">
      <formula>$B187="Inicio Liberación"</formula>
    </cfRule>
  </conditionalFormatting>
  <conditionalFormatting sqref="C187">
    <cfRule type="expression" dxfId="860" priority="529">
      <formula>$B187="Fin Liberación"</formula>
    </cfRule>
    <cfRule type="expression" dxfId="859" priority="530">
      <formula>$B187="Inicio Liberación"</formula>
    </cfRule>
  </conditionalFormatting>
  <conditionalFormatting sqref="F6">
    <cfRule type="expression" dxfId="858" priority="527">
      <formula>$B6="Fin Liberación"</formula>
    </cfRule>
    <cfRule type="expression" dxfId="857" priority="528">
      <formula>$B6="Inicio Liberación"</formula>
    </cfRule>
  </conditionalFormatting>
  <conditionalFormatting sqref="L7:L185">
    <cfRule type="cellIs" dxfId="856" priority="510" operator="equal">
      <formula>"S"</formula>
    </cfRule>
  </conditionalFormatting>
  <conditionalFormatting sqref="L7:L185">
    <cfRule type="cellIs" dxfId="855" priority="507" operator="equal">
      <formula>"N"</formula>
    </cfRule>
    <cfRule type="cellIs" dxfId="854" priority="508" operator="equal">
      <formula>"P"</formula>
    </cfRule>
    <cfRule type="cellIs" dxfId="853" priority="509" operator="equal">
      <formula>"T"</formula>
    </cfRule>
  </conditionalFormatting>
  <conditionalFormatting sqref="L7:L185">
    <cfRule type="expression" dxfId="852" priority="505">
      <formula>$A7="Fin Liberación"</formula>
    </cfRule>
    <cfRule type="expression" dxfId="851" priority="506">
      <formula>$A7="Inicio Liberación"</formula>
    </cfRule>
  </conditionalFormatting>
  <conditionalFormatting sqref="E7">
    <cfRule type="expression" dxfId="850" priority="497">
      <formula>$B7="Fin Liberación"</formula>
    </cfRule>
    <cfRule type="expression" dxfId="849" priority="498">
      <formula>$B7="Inicio Liberación"</formula>
    </cfRule>
  </conditionalFormatting>
  <conditionalFormatting sqref="E12:E13">
    <cfRule type="expression" dxfId="848" priority="481">
      <formula>$B12="Fin Liberación"</formula>
    </cfRule>
    <cfRule type="expression" dxfId="847" priority="482">
      <formula>$B12="Inicio Liberación"</formula>
    </cfRule>
  </conditionalFormatting>
  <conditionalFormatting sqref="F12:F13">
    <cfRule type="expression" dxfId="846" priority="479">
      <formula>$B12="Fin Liberación"</formula>
    </cfRule>
    <cfRule type="expression" dxfId="845" priority="480">
      <formula>$B12="Inicio Liberación"</formula>
    </cfRule>
  </conditionalFormatting>
  <conditionalFormatting sqref="E14">
    <cfRule type="expression" dxfId="844" priority="477">
      <formula>$B14="Fin Liberación"</formula>
    </cfRule>
    <cfRule type="expression" dxfId="843" priority="478">
      <formula>$B14="Inicio Liberación"</formula>
    </cfRule>
  </conditionalFormatting>
  <conditionalFormatting sqref="F14">
    <cfRule type="expression" dxfId="842" priority="475">
      <formula>$B14="Fin Liberación"</formula>
    </cfRule>
    <cfRule type="expression" dxfId="841" priority="476">
      <formula>$B14="Inicio Liberación"</formula>
    </cfRule>
  </conditionalFormatting>
  <conditionalFormatting sqref="E15:E17">
    <cfRule type="expression" dxfId="840" priority="473">
      <formula>$B15="Fin Liberación"</formula>
    </cfRule>
    <cfRule type="expression" dxfId="839" priority="474">
      <formula>$B15="Inicio Liberación"</formula>
    </cfRule>
  </conditionalFormatting>
  <conditionalFormatting sqref="F15:F17">
    <cfRule type="expression" dxfId="838" priority="471">
      <formula>$B15="Fin Liberación"</formula>
    </cfRule>
    <cfRule type="expression" dxfId="837" priority="472">
      <formula>$B15="Inicio Liberación"</formula>
    </cfRule>
  </conditionalFormatting>
  <conditionalFormatting sqref="E18">
    <cfRule type="expression" dxfId="836" priority="469">
      <formula>$B18="Fin Liberación"</formula>
    </cfRule>
    <cfRule type="expression" dxfId="835" priority="470">
      <formula>$B18="Inicio Liberación"</formula>
    </cfRule>
  </conditionalFormatting>
  <conditionalFormatting sqref="F18">
    <cfRule type="expression" dxfId="834" priority="467">
      <formula>$B18="Fin Liberación"</formula>
    </cfRule>
    <cfRule type="expression" dxfId="833" priority="468">
      <formula>$B18="Inicio Liberación"</formula>
    </cfRule>
  </conditionalFormatting>
  <conditionalFormatting sqref="E19:E21">
    <cfRule type="expression" dxfId="832" priority="465">
      <formula>$B19="Fin Liberación"</formula>
    </cfRule>
    <cfRule type="expression" dxfId="831" priority="466">
      <formula>$B19="Inicio Liberación"</formula>
    </cfRule>
  </conditionalFormatting>
  <conditionalFormatting sqref="F19:F21">
    <cfRule type="expression" dxfId="830" priority="463">
      <formula>$B19="Fin Liberación"</formula>
    </cfRule>
    <cfRule type="expression" dxfId="829" priority="464">
      <formula>$B19="Inicio Liberación"</formula>
    </cfRule>
  </conditionalFormatting>
  <conditionalFormatting sqref="E22">
    <cfRule type="expression" dxfId="828" priority="461">
      <formula>$B22="Fin Liberación"</formula>
    </cfRule>
    <cfRule type="expression" dxfId="827" priority="462">
      <formula>$B22="Inicio Liberación"</formula>
    </cfRule>
  </conditionalFormatting>
  <conditionalFormatting sqref="F22">
    <cfRule type="expression" dxfId="826" priority="459">
      <formula>$B22="Fin Liberación"</formula>
    </cfRule>
    <cfRule type="expression" dxfId="825" priority="460">
      <formula>$B22="Inicio Liberación"</formula>
    </cfRule>
  </conditionalFormatting>
  <conditionalFormatting sqref="E23:E25">
    <cfRule type="expression" dxfId="824" priority="457">
      <formula>$B23="Fin Liberación"</formula>
    </cfRule>
    <cfRule type="expression" dxfId="823" priority="458">
      <formula>$B23="Inicio Liberación"</formula>
    </cfRule>
  </conditionalFormatting>
  <conditionalFormatting sqref="F23:F25">
    <cfRule type="expression" dxfId="822" priority="455">
      <formula>$B23="Fin Liberación"</formula>
    </cfRule>
    <cfRule type="expression" dxfId="821" priority="456">
      <formula>$B23="Inicio Liberación"</formula>
    </cfRule>
  </conditionalFormatting>
  <conditionalFormatting sqref="E26">
    <cfRule type="expression" dxfId="820" priority="453">
      <formula>$B26="Fin Liberación"</formula>
    </cfRule>
    <cfRule type="expression" dxfId="819" priority="454">
      <formula>$B26="Inicio Liberación"</formula>
    </cfRule>
  </conditionalFormatting>
  <conditionalFormatting sqref="F26">
    <cfRule type="expression" dxfId="818" priority="451">
      <formula>$B26="Fin Liberación"</formula>
    </cfRule>
    <cfRule type="expression" dxfId="817" priority="452">
      <formula>$B26="Inicio Liberación"</formula>
    </cfRule>
  </conditionalFormatting>
  <conditionalFormatting sqref="E27:E29">
    <cfRule type="expression" dxfId="816" priority="449">
      <formula>$B27="Fin Liberación"</formula>
    </cfRule>
    <cfRule type="expression" dxfId="815" priority="450">
      <formula>$B27="Inicio Liberación"</formula>
    </cfRule>
  </conditionalFormatting>
  <conditionalFormatting sqref="F27:F29">
    <cfRule type="expression" dxfId="814" priority="447">
      <formula>$B27="Fin Liberación"</formula>
    </cfRule>
    <cfRule type="expression" dxfId="813" priority="448">
      <formula>$B27="Inicio Liberación"</formula>
    </cfRule>
  </conditionalFormatting>
  <conditionalFormatting sqref="E30">
    <cfRule type="expression" dxfId="812" priority="445">
      <formula>$B30="Fin Liberación"</formula>
    </cfRule>
    <cfRule type="expression" dxfId="811" priority="446">
      <formula>$B30="Inicio Liberación"</formula>
    </cfRule>
  </conditionalFormatting>
  <conditionalFormatting sqref="F30">
    <cfRule type="expression" dxfId="810" priority="443">
      <formula>$B30="Fin Liberación"</formula>
    </cfRule>
    <cfRule type="expression" dxfId="809" priority="444">
      <formula>$B30="Inicio Liberación"</formula>
    </cfRule>
  </conditionalFormatting>
  <conditionalFormatting sqref="E31:E33">
    <cfRule type="expression" dxfId="808" priority="441">
      <formula>$B31="Fin Liberación"</formula>
    </cfRule>
    <cfRule type="expression" dxfId="807" priority="442">
      <formula>$B31="Inicio Liberación"</formula>
    </cfRule>
  </conditionalFormatting>
  <conditionalFormatting sqref="F31:F33">
    <cfRule type="expression" dxfId="806" priority="439">
      <formula>$B31="Fin Liberación"</formula>
    </cfRule>
    <cfRule type="expression" dxfId="805" priority="440">
      <formula>$B31="Inicio Liberación"</formula>
    </cfRule>
  </conditionalFormatting>
  <conditionalFormatting sqref="E34">
    <cfRule type="expression" dxfId="804" priority="437">
      <formula>$B34="Fin Liberación"</formula>
    </cfRule>
    <cfRule type="expression" dxfId="803" priority="438">
      <formula>$B34="Inicio Liberación"</formula>
    </cfRule>
  </conditionalFormatting>
  <conditionalFormatting sqref="F34">
    <cfRule type="expression" dxfId="802" priority="435">
      <formula>$B34="Fin Liberación"</formula>
    </cfRule>
    <cfRule type="expression" dxfId="801" priority="436">
      <formula>$B34="Inicio Liberación"</formula>
    </cfRule>
  </conditionalFormatting>
  <conditionalFormatting sqref="E35:E37">
    <cfRule type="expression" dxfId="800" priority="433">
      <formula>$B35="Fin Liberación"</formula>
    </cfRule>
    <cfRule type="expression" dxfId="799" priority="434">
      <formula>$B35="Inicio Liberación"</formula>
    </cfRule>
  </conditionalFormatting>
  <conditionalFormatting sqref="F35:F37">
    <cfRule type="expression" dxfId="798" priority="431">
      <formula>$B35="Fin Liberación"</formula>
    </cfRule>
    <cfRule type="expression" dxfId="797" priority="432">
      <formula>$B35="Inicio Liberación"</formula>
    </cfRule>
  </conditionalFormatting>
  <conditionalFormatting sqref="E38">
    <cfRule type="expression" dxfId="796" priority="429">
      <formula>$B38="Fin Liberación"</formula>
    </cfRule>
    <cfRule type="expression" dxfId="795" priority="430">
      <formula>$B38="Inicio Liberación"</formula>
    </cfRule>
  </conditionalFormatting>
  <conditionalFormatting sqref="F38">
    <cfRule type="expression" dxfId="794" priority="427">
      <formula>$B38="Fin Liberación"</formula>
    </cfRule>
    <cfRule type="expression" dxfId="793" priority="428">
      <formula>$B38="Inicio Liberación"</formula>
    </cfRule>
  </conditionalFormatting>
  <conditionalFormatting sqref="E39:E41">
    <cfRule type="expression" dxfId="792" priority="425">
      <formula>$B39="Fin Liberación"</formula>
    </cfRule>
    <cfRule type="expression" dxfId="791" priority="426">
      <formula>$B39="Inicio Liberación"</formula>
    </cfRule>
  </conditionalFormatting>
  <conditionalFormatting sqref="F39:F41">
    <cfRule type="expression" dxfId="790" priority="423">
      <formula>$B39="Fin Liberación"</formula>
    </cfRule>
    <cfRule type="expression" dxfId="789" priority="424">
      <formula>$B39="Inicio Liberación"</formula>
    </cfRule>
  </conditionalFormatting>
  <conditionalFormatting sqref="E42">
    <cfRule type="expression" dxfId="788" priority="421">
      <formula>$B42="Fin Liberación"</formula>
    </cfRule>
    <cfRule type="expression" dxfId="787" priority="422">
      <formula>$B42="Inicio Liberación"</formula>
    </cfRule>
  </conditionalFormatting>
  <conditionalFormatting sqref="F42">
    <cfRule type="expression" dxfId="786" priority="419">
      <formula>$B42="Fin Liberación"</formula>
    </cfRule>
    <cfRule type="expression" dxfId="785" priority="420">
      <formula>$B42="Inicio Liberación"</formula>
    </cfRule>
  </conditionalFormatting>
  <conditionalFormatting sqref="E43:E45">
    <cfRule type="expression" dxfId="784" priority="417">
      <formula>$B43="Fin Liberación"</formula>
    </cfRule>
    <cfRule type="expression" dxfId="783" priority="418">
      <formula>$B43="Inicio Liberación"</formula>
    </cfRule>
  </conditionalFormatting>
  <conditionalFormatting sqref="F43:F45">
    <cfRule type="expression" dxfId="782" priority="415">
      <formula>$B43="Fin Liberación"</formula>
    </cfRule>
    <cfRule type="expression" dxfId="781" priority="416">
      <formula>$B43="Inicio Liberación"</formula>
    </cfRule>
  </conditionalFormatting>
  <conditionalFormatting sqref="E46">
    <cfRule type="expression" dxfId="780" priority="413">
      <formula>$B46="Fin Liberación"</formula>
    </cfRule>
    <cfRule type="expression" dxfId="779" priority="414">
      <formula>$B46="Inicio Liberación"</formula>
    </cfRule>
  </conditionalFormatting>
  <conditionalFormatting sqref="F46">
    <cfRule type="expression" dxfId="778" priority="411">
      <formula>$B46="Fin Liberación"</formula>
    </cfRule>
    <cfRule type="expression" dxfId="777" priority="412">
      <formula>$B46="Inicio Liberación"</formula>
    </cfRule>
  </conditionalFormatting>
  <conditionalFormatting sqref="E47:E49">
    <cfRule type="expression" dxfId="776" priority="409">
      <formula>$B47="Fin Liberación"</formula>
    </cfRule>
    <cfRule type="expression" dxfId="775" priority="410">
      <formula>$B47="Inicio Liberación"</formula>
    </cfRule>
  </conditionalFormatting>
  <conditionalFormatting sqref="F47:F49">
    <cfRule type="expression" dxfId="774" priority="407">
      <formula>$B47="Fin Liberación"</formula>
    </cfRule>
    <cfRule type="expression" dxfId="773" priority="408">
      <formula>$B47="Inicio Liberación"</formula>
    </cfRule>
  </conditionalFormatting>
  <conditionalFormatting sqref="E50">
    <cfRule type="expression" dxfId="772" priority="405">
      <formula>$B50="Fin Liberación"</formula>
    </cfRule>
    <cfRule type="expression" dxfId="771" priority="406">
      <formula>$B50="Inicio Liberación"</formula>
    </cfRule>
  </conditionalFormatting>
  <conditionalFormatting sqref="F50">
    <cfRule type="expression" dxfId="770" priority="403">
      <formula>$B50="Fin Liberación"</formula>
    </cfRule>
    <cfRule type="expression" dxfId="769" priority="404">
      <formula>$B50="Inicio Liberación"</formula>
    </cfRule>
  </conditionalFormatting>
  <conditionalFormatting sqref="E51:E53">
    <cfRule type="expression" dxfId="768" priority="401">
      <formula>$B51="Fin Liberación"</formula>
    </cfRule>
    <cfRule type="expression" dxfId="767" priority="402">
      <formula>$B51="Inicio Liberación"</formula>
    </cfRule>
  </conditionalFormatting>
  <conditionalFormatting sqref="F51:F53">
    <cfRule type="expression" dxfId="766" priority="399">
      <formula>$B51="Fin Liberación"</formula>
    </cfRule>
    <cfRule type="expression" dxfId="765" priority="400">
      <formula>$B51="Inicio Liberación"</formula>
    </cfRule>
  </conditionalFormatting>
  <conditionalFormatting sqref="E54">
    <cfRule type="expression" dxfId="764" priority="397">
      <formula>$B54="Fin Liberación"</formula>
    </cfRule>
    <cfRule type="expression" dxfId="763" priority="398">
      <formula>$B54="Inicio Liberación"</formula>
    </cfRule>
  </conditionalFormatting>
  <conditionalFormatting sqref="F54">
    <cfRule type="expression" dxfId="762" priority="395">
      <formula>$B54="Fin Liberación"</formula>
    </cfRule>
    <cfRule type="expression" dxfId="761" priority="396">
      <formula>$B54="Inicio Liberación"</formula>
    </cfRule>
  </conditionalFormatting>
  <conditionalFormatting sqref="E55:E57">
    <cfRule type="expression" dxfId="760" priority="393">
      <formula>$B55="Fin Liberación"</formula>
    </cfRule>
    <cfRule type="expression" dxfId="759" priority="394">
      <formula>$B55="Inicio Liberación"</formula>
    </cfRule>
  </conditionalFormatting>
  <conditionalFormatting sqref="F55:F57">
    <cfRule type="expression" dxfId="758" priority="391">
      <formula>$B55="Fin Liberación"</formula>
    </cfRule>
    <cfRule type="expression" dxfId="757" priority="392">
      <formula>$B55="Inicio Liberación"</formula>
    </cfRule>
  </conditionalFormatting>
  <conditionalFormatting sqref="E58">
    <cfRule type="expression" dxfId="756" priority="389">
      <formula>$B58="Fin Liberación"</formula>
    </cfRule>
    <cfRule type="expression" dxfId="755" priority="390">
      <formula>$B58="Inicio Liberación"</formula>
    </cfRule>
  </conditionalFormatting>
  <conditionalFormatting sqref="F58">
    <cfRule type="expression" dxfId="754" priority="387">
      <formula>$B58="Fin Liberación"</formula>
    </cfRule>
    <cfRule type="expression" dxfId="753" priority="388">
      <formula>$B58="Inicio Liberación"</formula>
    </cfRule>
  </conditionalFormatting>
  <conditionalFormatting sqref="E59:E61">
    <cfRule type="expression" dxfId="752" priority="385">
      <formula>$B59="Fin Liberación"</formula>
    </cfRule>
    <cfRule type="expression" dxfId="751" priority="386">
      <formula>$B59="Inicio Liberación"</formula>
    </cfRule>
  </conditionalFormatting>
  <conditionalFormatting sqref="F59:F61">
    <cfRule type="expression" dxfId="750" priority="383">
      <formula>$B59="Fin Liberación"</formula>
    </cfRule>
    <cfRule type="expression" dxfId="749" priority="384">
      <formula>$B59="Inicio Liberación"</formula>
    </cfRule>
  </conditionalFormatting>
  <conditionalFormatting sqref="E62">
    <cfRule type="expression" dxfId="748" priority="381">
      <formula>$B62="Fin Liberación"</formula>
    </cfRule>
    <cfRule type="expression" dxfId="747" priority="382">
      <formula>$B62="Inicio Liberación"</formula>
    </cfRule>
  </conditionalFormatting>
  <conditionalFormatting sqref="F62">
    <cfRule type="expression" dxfId="746" priority="379">
      <formula>$B62="Fin Liberación"</formula>
    </cfRule>
    <cfRule type="expression" dxfId="745" priority="380">
      <formula>$B62="Inicio Liberación"</formula>
    </cfRule>
  </conditionalFormatting>
  <conditionalFormatting sqref="E63:E65">
    <cfRule type="expression" dxfId="744" priority="377">
      <formula>$B63="Fin Liberación"</formula>
    </cfRule>
    <cfRule type="expression" dxfId="743" priority="378">
      <formula>$B63="Inicio Liberación"</formula>
    </cfRule>
  </conditionalFormatting>
  <conditionalFormatting sqref="F63:F65">
    <cfRule type="expression" dxfId="742" priority="375">
      <formula>$B63="Fin Liberación"</formula>
    </cfRule>
    <cfRule type="expression" dxfId="741" priority="376">
      <formula>$B63="Inicio Liberación"</formula>
    </cfRule>
  </conditionalFormatting>
  <conditionalFormatting sqref="E66">
    <cfRule type="expression" dxfId="740" priority="373">
      <formula>$B66="Fin Liberación"</formula>
    </cfRule>
    <cfRule type="expression" dxfId="739" priority="374">
      <formula>$B66="Inicio Liberación"</formula>
    </cfRule>
  </conditionalFormatting>
  <conditionalFormatting sqref="F66">
    <cfRule type="expression" dxfId="738" priority="371">
      <formula>$B66="Fin Liberación"</formula>
    </cfRule>
    <cfRule type="expression" dxfId="737" priority="372">
      <formula>$B66="Inicio Liberación"</formula>
    </cfRule>
  </conditionalFormatting>
  <conditionalFormatting sqref="E67:E69">
    <cfRule type="expression" dxfId="736" priority="369">
      <formula>$B67="Fin Liberación"</formula>
    </cfRule>
    <cfRule type="expression" dxfId="735" priority="370">
      <formula>$B67="Inicio Liberación"</formula>
    </cfRule>
  </conditionalFormatting>
  <conditionalFormatting sqref="F67:F69">
    <cfRule type="expression" dxfId="734" priority="367">
      <formula>$B67="Fin Liberación"</formula>
    </cfRule>
    <cfRule type="expression" dxfId="733" priority="368">
      <formula>$B67="Inicio Liberación"</formula>
    </cfRule>
  </conditionalFormatting>
  <conditionalFormatting sqref="E70">
    <cfRule type="expression" dxfId="732" priority="365">
      <formula>$B70="Fin Liberación"</formula>
    </cfRule>
    <cfRule type="expression" dxfId="731" priority="366">
      <formula>$B70="Inicio Liberación"</formula>
    </cfRule>
  </conditionalFormatting>
  <conditionalFormatting sqref="F70">
    <cfRule type="expression" dxfId="730" priority="363">
      <formula>$B70="Fin Liberación"</formula>
    </cfRule>
    <cfRule type="expression" dxfId="729" priority="364">
      <formula>$B70="Inicio Liberación"</formula>
    </cfRule>
  </conditionalFormatting>
  <conditionalFormatting sqref="E71:E73">
    <cfRule type="expression" dxfId="728" priority="361">
      <formula>$B71="Fin Liberación"</formula>
    </cfRule>
    <cfRule type="expression" dxfId="727" priority="362">
      <formula>$B71="Inicio Liberación"</formula>
    </cfRule>
  </conditionalFormatting>
  <conditionalFormatting sqref="F71:F73">
    <cfRule type="expression" dxfId="726" priority="359">
      <formula>$B71="Fin Liberación"</formula>
    </cfRule>
    <cfRule type="expression" dxfId="725" priority="360">
      <formula>$B71="Inicio Liberación"</formula>
    </cfRule>
  </conditionalFormatting>
  <conditionalFormatting sqref="E74">
    <cfRule type="expression" dxfId="724" priority="357">
      <formula>$B74="Fin Liberación"</formula>
    </cfRule>
    <cfRule type="expression" dxfId="723" priority="358">
      <formula>$B74="Inicio Liberación"</formula>
    </cfRule>
  </conditionalFormatting>
  <conditionalFormatting sqref="F74">
    <cfRule type="expression" dxfId="722" priority="355">
      <formula>$B74="Fin Liberación"</formula>
    </cfRule>
    <cfRule type="expression" dxfId="721" priority="356">
      <formula>$B74="Inicio Liberación"</formula>
    </cfRule>
  </conditionalFormatting>
  <conditionalFormatting sqref="E75:E77">
    <cfRule type="expression" dxfId="720" priority="353">
      <formula>$B75="Fin Liberación"</formula>
    </cfRule>
    <cfRule type="expression" dxfId="719" priority="354">
      <formula>$B75="Inicio Liberación"</formula>
    </cfRule>
  </conditionalFormatting>
  <conditionalFormatting sqref="F75:F77">
    <cfRule type="expression" dxfId="718" priority="351">
      <formula>$B75="Fin Liberación"</formula>
    </cfRule>
    <cfRule type="expression" dxfId="717" priority="352">
      <formula>$B75="Inicio Liberación"</formula>
    </cfRule>
  </conditionalFormatting>
  <conditionalFormatting sqref="E78">
    <cfRule type="expression" dxfId="716" priority="349">
      <formula>$B78="Fin Liberación"</formula>
    </cfRule>
    <cfRule type="expression" dxfId="715" priority="350">
      <formula>$B78="Inicio Liberación"</formula>
    </cfRule>
  </conditionalFormatting>
  <conditionalFormatting sqref="F78">
    <cfRule type="expression" dxfId="714" priority="347">
      <formula>$B78="Fin Liberación"</formula>
    </cfRule>
    <cfRule type="expression" dxfId="713" priority="348">
      <formula>$B78="Inicio Liberación"</formula>
    </cfRule>
  </conditionalFormatting>
  <conditionalFormatting sqref="E79:E81">
    <cfRule type="expression" dxfId="712" priority="345">
      <formula>$B79="Fin Liberación"</formula>
    </cfRule>
    <cfRule type="expression" dxfId="711" priority="346">
      <formula>$B79="Inicio Liberación"</formula>
    </cfRule>
  </conditionalFormatting>
  <conditionalFormatting sqref="F79:F81">
    <cfRule type="expression" dxfId="710" priority="343">
      <formula>$B79="Fin Liberación"</formula>
    </cfRule>
    <cfRule type="expression" dxfId="709" priority="344">
      <formula>$B79="Inicio Liberación"</formula>
    </cfRule>
  </conditionalFormatting>
  <conditionalFormatting sqref="E82">
    <cfRule type="expression" dxfId="708" priority="341">
      <formula>$B82="Fin Liberación"</formula>
    </cfRule>
    <cfRule type="expression" dxfId="707" priority="342">
      <formula>$B82="Inicio Liberación"</formula>
    </cfRule>
  </conditionalFormatting>
  <conditionalFormatting sqref="F82">
    <cfRule type="expression" dxfId="706" priority="339">
      <formula>$B82="Fin Liberación"</formula>
    </cfRule>
    <cfRule type="expression" dxfId="705" priority="340">
      <formula>$B82="Inicio Liberación"</formula>
    </cfRule>
  </conditionalFormatting>
  <conditionalFormatting sqref="E83:E85">
    <cfRule type="expression" dxfId="704" priority="337">
      <formula>$B83="Fin Liberación"</formula>
    </cfRule>
    <cfRule type="expression" dxfId="703" priority="338">
      <formula>$B83="Inicio Liberación"</formula>
    </cfRule>
  </conditionalFormatting>
  <conditionalFormatting sqref="F83:F85">
    <cfRule type="expression" dxfId="702" priority="335">
      <formula>$B83="Fin Liberación"</formula>
    </cfRule>
    <cfRule type="expression" dxfId="701" priority="336">
      <formula>$B83="Inicio Liberación"</formula>
    </cfRule>
  </conditionalFormatting>
  <conditionalFormatting sqref="E86">
    <cfRule type="expression" dxfId="700" priority="333">
      <formula>$B86="Fin Liberación"</formula>
    </cfRule>
    <cfRule type="expression" dxfId="699" priority="334">
      <formula>$B86="Inicio Liberación"</formula>
    </cfRule>
  </conditionalFormatting>
  <conditionalFormatting sqref="F86">
    <cfRule type="expression" dxfId="698" priority="331">
      <formula>$B86="Fin Liberación"</formula>
    </cfRule>
    <cfRule type="expression" dxfId="697" priority="332">
      <formula>$B86="Inicio Liberación"</formula>
    </cfRule>
  </conditionalFormatting>
  <conditionalFormatting sqref="E87:E89">
    <cfRule type="expression" dxfId="696" priority="329">
      <formula>$B87="Fin Liberación"</formula>
    </cfRule>
    <cfRule type="expression" dxfId="695" priority="330">
      <formula>$B87="Inicio Liberación"</formula>
    </cfRule>
  </conditionalFormatting>
  <conditionalFormatting sqref="F87:F89">
    <cfRule type="expression" dxfId="694" priority="327">
      <formula>$B87="Fin Liberación"</formula>
    </cfRule>
    <cfRule type="expression" dxfId="693" priority="328">
      <formula>$B87="Inicio Liberación"</formula>
    </cfRule>
  </conditionalFormatting>
  <conditionalFormatting sqref="E90">
    <cfRule type="expression" dxfId="692" priority="325">
      <formula>$B90="Fin Liberación"</formula>
    </cfRule>
    <cfRule type="expression" dxfId="691" priority="326">
      <formula>$B90="Inicio Liberación"</formula>
    </cfRule>
  </conditionalFormatting>
  <conditionalFormatting sqref="F90">
    <cfRule type="expression" dxfId="690" priority="323">
      <formula>$B90="Fin Liberación"</formula>
    </cfRule>
    <cfRule type="expression" dxfId="689" priority="324">
      <formula>$B90="Inicio Liberación"</formula>
    </cfRule>
  </conditionalFormatting>
  <conditionalFormatting sqref="E91:E93">
    <cfRule type="expression" dxfId="688" priority="321">
      <formula>$B91="Fin Liberación"</formula>
    </cfRule>
    <cfRule type="expression" dxfId="687" priority="322">
      <formula>$B91="Inicio Liberación"</formula>
    </cfRule>
  </conditionalFormatting>
  <conditionalFormatting sqref="F91:F93">
    <cfRule type="expression" dxfId="686" priority="319">
      <formula>$B91="Fin Liberación"</formula>
    </cfRule>
    <cfRule type="expression" dxfId="685" priority="320">
      <formula>$B91="Inicio Liberación"</formula>
    </cfRule>
  </conditionalFormatting>
  <conditionalFormatting sqref="E94">
    <cfRule type="expression" dxfId="684" priority="317">
      <formula>$B94="Fin Liberación"</formula>
    </cfRule>
    <cfRule type="expression" dxfId="683" priority="318">
      <formula>$B94="Inicio Liberación"</formula>
    </cfRule>
  </conditionalFormatting>
  <conditionalFormatting sqref="F94">
    <cfRule type="expression" dxfId="682" priority="315">
      <formula>$B94="Fin Liberación"</formula>
    </cfRule>
    <cfRule type="expression" dxfId="681" priority="316">
      <formula>$B94="Inicio Liberación"</formula>
    </cfRule>
  </conditionalFormatting>
  <conditionalFormatting sqref="E95:E97">
    <cfRule type="expression" dxfId="680" priority="313">
      <formula>$B95="Fin Liberación"</formula>
    </cfRule>
    <cfRule type="expression" dxfId="679" priority="314">
      <formula>$B95="Inicio Liberación"</formula>
    </cfRule>
  </conditionalFormatting>
  <conditionalFormatting sqref="F95:F97">
    <cfRule type="expression" dxfId="678" priority="311">
      <formula>$B95="Fin Liberación"</formula>
    </cfRule>
    <cfRule type="expression" dxfId="677" priority="312">
      <formula>$B95="Inicio Liberación"</formula>
    </cfRule>
  </conditionalFormatting>
  <conditionalFormatting sqref="E98">
    <cfRule type="expression" dxfId="676" priority="309">
      <formula>$B98="Fin Liberación"</formula>
    </cfRule>
    <cfRule type="expression" dxfId="675" priority="310">
      <formula>$B98="Inicio Liberación"</formula>
    </cfRule>
  </conditionalFormatting>
  <conditionalFormatting sqref="F98">
    <cfRule type="expression" dxfId="674" priority="307">
      <formula>$B98="Fin Liberación"</formula>
    </cfRule>
    <cfRule type="expression" dxfId="673" priority="308">
      <formula>$B98="Inicio Liberación"</formula>
    </cfRule>
  </conditionalFormatting>
  <conditionalFormatting sqref="E99:E100">
    <cfRule type="expression" dxfId="672" priority="305">
      <formula>$B99="Fin Liberación"</formula>
    </cfRule>
    <cfRule type="expression" dxfId="671" priority="306">
      <formula>$B99="Inicio Liberación"</formula>
    </cfRule>
  </conditionalFormatting>
  <conditionalFormatting sqref="F99:F100">
    <cfRule type="expression" dxfId="670" priority="303">
      <formula>$B99="Fin Liberación"</formula>
    </cfRule>
    <cfRule type="expression" dxfId="669" priority="304">
      <formula>$B99="Inicio Liberación"</formula>
    </cfRule>
  </conditionalFormatting>
  <conditionalFormatting sqref="E101">
    <cfRule type="expression" dxfId="668" priority="301">
      <formula>$B101="Fin Liberación"</formula>
    </cfRule>
    <cfRule type="expression" dxfId="667" priority="302">
      <formula>$B101="Inicio Liberación"</formula>
    </cfRule>
  </conditionalFormatting>
  <conditionalFormatting sqref="F101">
    <cfRule type="expression" dxfId="666" priority="299">
      <formula>$B101="Fin Liberación"</formula>
    </cfRule>
    <cfRule type="expression" dxfId="665" priority="300">
      <formula>$B101="Inicio Liberación"</formula>
    </cfRule>
  </conditionalFormatting>
  <conditionalFormatting sqref="E102">
    <cfRule type="expression" dxfId="664" priority="297">
      <formula>$B102="Fin Liberación"</formula>
    </cfRule>
    <cfRule type="expression" dxfId="663" priority="298">
      <formula>$B102="Inicio Liberación"</formula>
    </cfRule>
  </conditionalFormatting>
  <conditionalFormatting sqref="F102">
    <cfRule type="expression" dxfId="662" priority="295">
      <formula>$B102="Fin Liberación"</formula>
    </cfRule>
    <cfRule type="expression" dxfId="661" priority="296">
      <formula>$B102="Inicio Liberación"</formula>
    </cfRule>
  </conditionalFormatting>
  <conditionalFormatting sqref="E103:E105">
    <cfRule type="expression" dxfId="660" priority="293">
      <formula>$B103="Fin Liberación"</formula>
    </cfRule>
    <cfRule type="expression" dxfId="659" priority="294">
      <formula>$B103="Inicio Liberación"</formula>
    </cfRule>
  </conditionalFormatting>
  <conditionalFormatting sqref="F103:F105">
    <cfRule type="expression" dxfId="658" priority="291">
      <formula>$B103="Fin Liberación"</formula>
    </cfRule>
    <cfRule type="expression" dxfId="657" priority="292">
      <formula>$B103="Inicio Liberación"</formula>
    </cfRule>
  </conditionalFormatting>
  <conditionalFormatting sqref="E106">
    <cfRule type="expression" dxfId="656" priority="289">
      <formula>$B106="Fin Liberación"</formula>
    </cfRule>
    <cfRule type="expression" dxfId="655" priority="290">
      <formula>$B106="Inicio Liberación"</formula>
    </cfRule>
  </conditionalFormatting>
  <conditionalFormatting sqref="F106">
    <cfRule type="expression" dxfId="654" priority="287">
      <formula>$B106="Fin Liberación"</formula>
    </cfRule>
    <cfRule type="expression" dxfId="653" priority="288">
      <formula>$B106="Inicio Liberación"</formula>
    </cfRule>
  </conditionalFormatting>
  <conditionalFormatting sqref="E107:E109">
    <cfRule type="expression" dxfId="652" priority="285">
      <formula>$B107="Fin Liberación"</formula>
    </cfRule>
    <cfRule type="expression" dxfId="651" priority="286">
      <formula>$B107="Inicio Liberación"</formula>
    </cfRule>
  </conditionalFormatting>
  <conditionalFormatting sqref="F107:F109">
    <cfRule type="expression" dxfId="650" priority="283">
      <formula>$B107="Fin Liberación"</formula>
    </cfRule>
    <cfRule type="expression" dxfId="649" priority="284">
      <formula>$B107="Inicio Liberación"</formula>
    </cfRule>
  </conditionalFormatting>
  <conditionalFormatting sqref="E110">
    <cfRule type="expression" dxfId="648" priority="281">
      <formula>$B110="Fin Liberación"</formula>
    </cfRule>
    <cfRule type="expression" dxfId="647" priority="282">
      <formula>$B110="Inicio Liberación"</formula>
    </cfRule>
  </conditionalFormatting>
  <conditionalFormatting sqref="F110">
    <cfRule type="expression" dxfId="646" priority="279">
      <formula>$B110="Fin Liberación"</formula>
    </cfRule>
    <cfRule type="expression" dxfId="645" priority="280">
      <formula>$B110="Inicio Liberación"</formula>
    </cfRule>
  </conditionalFormatting>
  <conditionalFormatting sqref="E111:E113">
    <cfRule type="expression" dxfId="644" priority="277">
      <formula>$B111="Fin Liberación"</formula>
    </cfRule>
    <cfRule type="expression" dxfId="643" priority="278">
      <formula>$B111="Inicio Liberación"</formula>
    </cfRule>
  </conditionalFormatting>
  <conditionalFormatting sqref="F111:F113">
    <cfRule type="expression" dxfId="642" priority="275">
      <formula>$B111="Fin Liberación"</formula>
    </cfRule>
    <cfRule type="expression" dxfId="641" priority="276">
      <formula>$B111="Inicio Liberación"</formula>
    </cfRule>
  </conditionalFormatting>
  <conditionalFormatting sqref="E114">
    <cfRule type="expression" dxfId="640" priority="273">
      <formula>$B114="Fin Liberación"</formula>
    </cfRule>
    <cfRule type="expression" dxfId="639" priority="274">
      <formula>$B114="Inicio Liberación"</formula>
    </cfRule>
  </conditionalFormatting>
  <conditionalFormatting sqref="F114">
    <cfRule type="expression" dxfId="638" priority="271">
      <formula>$B114="Fin Liberación"</formula>
    </cfRule>
    <cfRule type="expression" dxfId="637" priority="272">
      <formula>$B114="Inicio Liberación"</formula>
    </cfRule>
  </conditionalFormatting>
  <conditionalFormatting sqref="E115:E117">
    <cfRule type="expression" dxfId="636" priority="269">
      <formula>$B115="Fin Liberación"</formula>
    </cfRule>
    <cfRule type="expression" dxfId="635" priority="270">
      <formula>$B115="Inicio Liberación"</formula>
    </cfRule>
  </conditionalFormatting>
  <conditionalFormatting sqref="F115:F117">
    <cfRule type="expression" dxfId="634" priority="267">
      <formula>$B115="Fin Liberación"</formula>
    </cfRule>
    <cfRule type="expression" dxfId="633" priority="268">
      <formula>$B115="Inicio Liberación"</formula>
    </cfRule>
  </conditionalFormatting>
  <conditionalFormatting sqref="E118">
    <cfRule type="expression" dxfId="632" priority="265">
      <formula>$B118="Fin Liberación"</formula>
    </cfRule>
    <cfRule type="expression" dxfId="631" priority="266">
      <formula>$B118="Inicio Liberación"</formula>
    </cfRule>
  </conditionalFormatting>
  <conditionalFormatting sqref="F118">
    <cfRule type="expression" dxfId="630" priority="263">
      <formula>$B118="Fin Liberación"</formula>
    </cfRule>
    <cfRule type="expression" dxfId="629" priority="264">
      <formula>$B118="Inicio Liberación"</formula>
    </cfRule>
  </conditionalFormatting>
  <conditionalFormatting sqref="E119:E121">
    <cfRule type="expression" dxfId="628" priority="261">
      <formula>$B119="Fin Liberación"</formula>
    </cfRule>
    <cfRule type="expression" dxfId="627" priority="262">
      <formula>$B119="Inicio Liberación"</formula>
    </cfRule>
  </conditionalFormatting>
  <conditionalFormatting sqref="F119:F121">
    <cfRule type="expression" dxfId="626" priority="259">
      <formula>$B119="Fin Liberación"</formula>
    </cfRule>
    <cfRule type="expression" dxfId="625" priority="260">
      <formula>$B119="Inicio Liberación"</formula>
    </cfRule>
  </conditionalFormatting>
  <conditionalFormatting sqref="E122">
    <cfRule type="expression" dxfId="624" priority="257">
      <formula>$B122="Fin Liberación"</formula>
    </cfRule>
    <cfRule type="expression" dxfId="623" priority="258">
      <formula>$B122="Inicio Liberación"</formula>
    </cfRule>
  </conditionalFormatting>
  <conditionalFormatting sqref="F122">
    <cfRule type="expression" dxfId="622" priority="255">
      <formula>$B122="Fin Liberación"</formula>
    </cfRule>
    <cfRule type="expression" dxfId="621" priority="256">
      <formula>$B122="Inicio Liberación"</formula>
    </cfRule>
  </conditionalFormatting>
  <conditionalFormatting sqref="E123:E125">
    <cfRule type="expression" dxfId="620" priority="253">
      <formula>$B123="Fin Liberación"</formula>
    </cfRule>
    <cfRule type="expression" dxfId="619" priority="254">
      <formula>$B123="Inicio Liberación"</formula>
    </cfRule>
  </conditionalFormatting>
  <conditionalFormatting sqref="F123:F125">
    <cfRule type="expression" dxfId="618" priority="251">
      <formula>$B123="Fin Liberación"</formula>
    </cfRule>
    <cfRule type="expression" dxfId="617" priority="252">
      <formula>$B123="Inicio Liberación"</formula>
    </cfRule>
  </conditionalFormatting>
  <conditionalFormatting sqref="E126">
    <cfRule type="expression" dxfId="616" priority="249">
      <formula>$B126="Fin Liberación"</formula>
    </cfRule>
    <cfRule type="expression" dxfId="615" priority="250">
      <formula>$B126="Inicio Liberación"</formula>
    </cfRule>
  </conditionalFormatting>
  <conditionalFormatting sqref="F126">
    <cfRule type="expression" dxfId="614" priority="247">
      <formula>$B126="Fin Liberación"</formula>
    </cfRule>
    <cfRule type="expression" dxfId="613" priority="248">
      <formula>$B126="Inicio Liberación"</formula>
    </cfRule>
  </conditionalFormatting>
  <conditionalFormatting sqref="E127:E129">
    <cfRule type="expression" dxfId="612" priority="245">
      <formula>$B127="Fin Liberación"</formula>
    </cfRule>
    <cfRule type="expression" dxfId="611" priority="246">
      <formula>$B127="Inicio Liberación"</formula>
    </cfRule>
  </conditionalFormatting>
  <conditionalFormatting sqref="F127:F129">
    <cfRule type="expression" dxfId="610" priority="243">
      <formula>$B127="Fin Liberación"</formula>
    </cfRule>
    <cfRule type="expression" dxfId="609" priority="244">
      <formula>$B127="Inicio Liberación"</formula>
    </cfRule>
  </conditionalFormatting>
  <conditionalFormatting sqref="E130">
    <cfRule type="expression" dxfId="608" priority="241">
      <formula>$B130="Fin Liberación"</formula>
    </cfRule>
    <cfRule type="expression" dxfId="607" priority="242">
      <formula>$B130="Inicio Liberación"</formula>
    </cfRule>
  </conditionalFormatting>
  <conditionalFormatting sqref="F130">
    <cfRule type="expression" dxfId="606" priority="239">
      <formula>$B130="Fin Liberación"</formula>
    </cfRule>
    <cfRule type="expression" dxfId="605" priority="240">
      <formula>$B130="Inicio Liberación"</formula>
    </cfRule>
  </conditionalFormatting>
  <conditionalFormatting sqref="E131:E133">
    <cfRule type="expression" dxfId="604" priority="237">
      <formula>$B131="Fin Liberación"</formula>
    </cfRule>
    <cfRule type="expression" dxfId="603" priority="238">
      <formula>$B131="Inicio Liberación"</formula>
    </cfRule>
  </conditionalFormatting>
  <conditionalFormatting sqref="F131:F133">
    <cfRule type="expression" dxfId="602" priority="235">
      <formula>$B131="Fin Liberación"</formula>
    </cfRule>
    <cfRule type="expression" dxfId="601" priority="236">
      <formula>$B131="Inicio Liberación"</formula>
    </cfRule>
  </conditionalFormatting>
  <conditionalFormatting sqref="E134">
    <cfRule type="expression" dxfId="600" priority="233">
      <formula>$B134="Fin Liberación"</formula>
    </cfRule>
    <cfRule type="expression" dxfId="599" priority="234">
      <formula>$B134="Inicio Liberación"</formula>
    </cfRule>
  </conditionalFormatting>
  <conditionalFormatting sqref="F134">
    <cfRule type="expression" dxfId="598" priority="231">
      <formula>$B134="Fin Liberación"</formula>
    </cfRule>
    <cfRule type="expression" dxfId="597" priority="232">
      <formula>$B134="Inicio Liberación"</formula>
    </cfRule>
  </conditionalFormatting>
  <conditionalFormatting sqref="E135:E137">
    <cfRule type="expression" dxfId="596" priority="229">
      <formula>$B135="Fin Liberación"</formula>
    </cfRule>
    <cfRule type="expression" dxfId="595" priority="230">
      <formula>$B135="Inicio Liberación"</formula>
    </cfRule>
  </conditionalFormatting>
  <conditionalFormatting sqref="F135:F137">
    <cfRule type="expression" dxfId="594" priority="227">
      <formula>$B135="Fin Liberación"</formula>
    </cfRule>
    <cfRule type="expression" dxfId="593" priority="228">
      <formula>$B135="Inicio Liberación"</formula>
    </cfRule>
  </conditionalFormatting>
  <conditionalFormatting sqref="E138">
    <cfRule type="expression" dxfId="592" priority="225">
      <formula>$B138="Fin Liberación"</formula>
    </cfRule>
    <cfRule type="expression" dxfId="591" priority="226">
      <formula>$B138="Inicio Liberación"</formula>
    </cfRule>
  </conditionalFormatting>
  <conditionalFormatting sqref="F138">
    <cfRule type="expression" dxfId="590" priority="223">
      <formula>$B138="Fin Liberación"</formula>
    </cfRule>
    <cfRule type="expression" dxfId="589" priority="224">
      <formula>$B138="Inicio Liberación"</formula>
    </cfRule>
  </conditionalFormatting>
  <conditionalFormatting sqref="E139:E141">
    <cfRule type="expression" dxfId="588" priority="221">
      <formula>$B139="Fin Liberación"</formula>
    </cfRule>
    <cfRule type="expression" dxfId="587" priority="222">
      <formula>$B139="Inicio Liberación"</formula>
    </cfRule>
  </conditionalFormatting>
  <conditionalFormatting sqref="F139:F141">
    <cfRule type="expression" dxfId="586" priority="219">
      <formula>$B139="Fin Liberación"</formula>
    </cfRule>
    <cfRule type="expression" dxfId="585" priority="220">
      <formula>$B139="Inicio Liberación"</formula>
    </cfRule>
  </conditionalFormatting>
  <conditionalFormatting sqref="E142">
    <cfRule type="expression" dxfId="584" priority="217">
      <formula>$B142="Fin Liberación"</formula>
    </cfRule>
    <cfRule type="expression" dxfId="583" priority="218">
      <formula>$B142="Inicio Liberación"</formula>
    </cfRule>
  </conditionalFormatting>
  <conditionalFormatting sqref="F142">
    <cfRule type="expression" dxfId="582" priority="215">
      <formula>$B142="Fin Liberación"</formula>
    </cfRule>
    <cfRule type="expression" dxfId="581" priority="216">
      <formula>$B142="Inicio Liberación"</formula>
    </cfRule>
  </conditionalFormatting>
  <conditionalFormatting sqref="E143:E145">
    <cfRule type="expression" dxfId="580" priority="213">
      <formula>$B143="Fin Liberación"</formula>
    </cfRule>
    <cfRule type="expression" dxfId="579" priority="214">
      <formula>$B143="Inicio Liberación"</formula>
    </cfRule>
  </conditionalFormatting>
  <conditionalFormatting sqref="F143:F145">
    <cfRule type="expression" dxfId="578" priority="211">
      <formula>$B143="Fin Liberación"</formula>
    </cfRule>
    <cfRule type="expression" dxfId="577" priority="212">
      <formula>$B143="Inicio Liberación"</formula>
    </cfRule>
  </conditionalFormatting>
  <conditionalFormatting sqref="E146">
    <cfRule type="expression" dxfId="576" priority="209">
      <formula>$B146="Fin Liberación"</formula>
    </cfRule>
    <cfRule type="expression" dxfId="575" priority="210">
      <formula>$B146="Inicio Liberación"</formula>
    </cfRule>
  </conditionalFormatting>
  <conditionalFormatting sqref="F146">
    <cfRule type="expression" dxfId="574" priority="207">
      <formula>$B146="Fin Liberación"</formula>
    </cfRule>
    <cfRule type="expression" dxfId="573" priority="208">
      <formula>$B146="Inicio Liberación"</formula>
    </cfRule>
  </conditionalFormatting>
  <conditionalFormatting sqref="E147:E149">
    <cfRule type="expression" dxfId="572" priority="205">
      <formula>$B147="Fin Liberación"</formula>
    </cfRule>
    <cfRule type="expression" dxfId="571" priority="206">
      <formula>$B147="Inicio Liberación"</formula>
    </cfRule>
  </conditionalFormatting>
  <conditionalFormatting sqref="F147:F149">
    <cfRule type="expression" dxfId="570" priority="203">
      <formula>$B147="Fin Liberación"</formula>
    </cfRule>
    <cfRule type="expression" dxfId="569" priority="204">
      <formula>$B147="Inicio Liberación"</formula>
    </cfRule>
  </conditionalFormatting>
  <conditionalFormatting sqref="E150">
    <cfRule type="expression" dxfId="568" priority="201">
      <formula>$B150="Fin Liberación"</formula>
    </cfRule>
    <cfRule type="expression" dxfId="567" priority="202">
      <formula>$B150="Inicio Liberación"</formula>
    </cfRule>
  </conditionalFormatting>
  <conditionalFormatting sqref="F150">
    <cfRule type="expression" dxfId="566" priority="199">
      <formula>$B150="Fin Liberación"</formula>
    </cfRule>
    <cfRule type="expression" dxfId="565" priority="200">
      <formula>$B150="Inicio Liberación"</formula>
    </cfRule>
  </conditionalFormatting>
  <conditionalFormatting sqref="E151:E153">
    <cfRule type="expression" dxfId="564" priority="197">
      <formula>$B151="Fin Liberación"</formula>
    </cfRule>
    <cfRule type="expression" dxfId="563" priority="198">
      <formula>$B151="Inicio Liberación"</formula>
    </cfRule>
  </conditionalFormatting>
  <conditionalFormatting sqref="F151:F153">
    <cfRule type="expression" dxfId="562" priority="195">
      <formula>$B151="Fin Liberación"</formula>
    </cfRule>
    <cfRule type="expression" dxfId="561" priority="196">
      <formula>$B151="Inicio Liberación"</formula>
    </cfRule>
  </conditionalFormatting>
  <conditionalFormatting sqref="E154">
    <cfRule type="expression" dxfId="560" priority="193">
      <formula>$B154="Fin Liberación"</formula>
    </cfRule>
    <cfRule type="expression" dxfId="559" priority="194">
      <formula>$B154="Inicio Liberación"</formula>
    </cfRule>
  </conditionalFormatting>
  <conditionalFormatting sqref="F154">
    <cfRule type="expression" dxfId="558" priority="191">
      <formula>$B154="Fin Liberación"</formula>
    </cfRule>
    <cfRule type="expression" dxfId="557" priority="192">
      <formula>$B154="Inicio Liberación"</formula>
    </cfRule>
  </conditionalFormatting>
  <conditionalFormatting sqref="E155:E157">
    <cfRule type="expression" dxfId="556" priority="189">
      <formula>$B155="Fin Liberación"</formula>
    </cfRule>
    <cfRule type="expression" dxfId="555" priority="190">
      <formula>$B155="Inicio Liberación"</formula>
    </cfRule>
  </conditionalFormatting>
  <conditionalFormatting sqref="F155:F157">
    <cfRule type="expression" dxfId="554" priority="187">
      <formula>$B155="Fin Liberación"</formula>
    </cfRule>
    <cfRule type="expression" dxfId="553" priority="188">
      <formula>$B155="Inicio Liberación"</formula>
    </cfRule>
  </conditionalFormatting>
  <conditionalFormatting sqref="E158">
    <cfRule type="expression" dxfId="552" priority="185">
      <formula>$B158="Fin Liberación"</formula>
    </cfRule>
    <cfRule type="expression" dxfId="551" priority="186">
      <formula>$B158="Inicio Liberación"</formula>
    </cfRule>
  </conditionalFormatting>
  <conditionalFormatting sqref="F158">
    <cfRule type="expression" dxfId="550" priority="183">
      <formula>$B158="Fin Liberación"</formula>
    </cfRule>
    <cfRule type="expression" dxfId="549" priority="184">
      <formula>$B158="Inicio Liberación"</formula>
    </cfRule>
  </conditionalFormatting>
  <conditionalFormatting sqref="E159:E161">
    <cfRule type="expression" dxfId="548" priority="181">
      <formula>$B159="Fin Liberación"</formula>
    </cfRule>
    <cfRule type="expression" dxfId="547" priority="182">
      <formula>$B159="Inicio Liberación"</formula>
    </cfRule>
  </conditionalFormatting>
  <conditionalFormatting sqref="F159:F161">
    <cfRule type="expression" dxfId="546" priority="179">
      <formula>$B159="Fin Liberación"</formula>
    </cfRule>
    <cfRule type="expression" dxfId="545" priority="180">
      <formula>$B159="Inicio Liberación"</formula>
    </cfRule>
  </conditionalFormatting>
  <conditionalFormatting sqref="E162">
    <cfRule type="expression" dxfId="544" priority="177">
      <formula>$B162="Fin Liberación"</formula>
    </cfRule>
    <cfRule type="expression" dxfId="543" priority="178">
      <formula>$B162="Inicio Liberación"</formula>
    </cfRule>
  </conditionalFormatting>
  <conditionalFormatting sqref="F162">
    <cfRule type="expression" dxfId="542" priority="175">
      <formula>$B162="Fin Liberación"</formula>
    </cfRule>
    <cfRule type="expression" dxfId="541" priority="176">
      <formula>$B162="Inicio Liberación"</formula>
    </cfRule>
  </conditionalFormatting>
  <conditionalFormatting sqref="E163:E165">
    <cfRule type="expression" dxfId="540" priority="173">
      <formula>$B163="Fin Liberación"</formula>
    </cfRule>
    <cfRule type="expression" dxfId="539" priority="174">
      <formula>$B163="Inicio Liberación"</formula>
    </cfRule>
  </conditionalFormatting>
  <conditionalFormatting sqref="F163:F165">
    <cfRule type="expression" dxfId="538" priority="171">
      <formula>$B163="Fin Liberación"</formula>
    </cfRule>
    <cfRule type="expression" dxfId="537" priority="172">
      <formula>$B163="Inicio Liberación"</formula>
    </cfRule>
  </conditionalFormatting>
  <conditionalFormatting sqref="E166">
    <cfRule type="expression" dxfId="536" priority="169">
      <formula>$B166="Fin Liberación"</formula>
    </cfRule>
    <cfRule type="expression" dxfId="535" priority="170">
      <formula>$B166="Inicio Liberación"</formula>
    </cfRule>
  </conditionalFormatting>
  <conditionalFormatting sqref="F166">
    <cfRule type="expression" dxfId="534" priority="167">
      <formula>$B166="Fin Liberación"</formula>
    </cfRule>
    <cfRule type="expression" dxfId="533" priority="168">
      <formula>$B166="Inicio Liberación"</formula>
    </cfRule>
  </conditionalFormatting>
  <conditionalFormatting sqref="E167:E169">
    <cfRule type="expression" dxfId="532" priority="165">
      <formula>$B167="Fin Liberación"</formula>
    </cfRule>
    <cfRule type="expression" dxfId="531" priority="166">
      <formula>$B167="Inicio Liberación"</formula>
    </cfRule>
  </conditionalFormatting>
  <conditionalFormatting sqref="F167:F169">
    <cfRule type="expression" dxfId="530" priority="163">
      <formula>$B167="Fin Liberación"</formula>
    </cfRule>
    <cfRule type="expression" dxfId="529" priority="164">
      <formula>$B167="Inicio Liberación"</formula>
    </cfRule>
  </conditionalFormatting>
  <conditionalFormatting sqref="E170">
    <cfRule type="expression" dxfId="528" priority="161">
      <formula>$B170="Fin Liberación"</formula>
    </cfRule>
    <cfRule type="expression" dxfId="527" priority="162">
      <formula>$B170="Inicio Liberación"</formula>
    </cfRule>
  </conditionalFormatting>
  <conditionalFormatting sqref="F170">
    <cfRule type="expression" dxfId="526" priority="159">
      <formula>$B170="Fin Liberación"</formula>
    </cfRule>
    <cfRule type="expression" dxfId="525" priority="160">
      <formula>$B170="Inicio Liberación"</formula>
    </cfRule>
  </conditionalFormatting>
  <conditionalFormatting sqref="E171:E173">
    <cfRule type="expression" dxfId="524" priority="157">
      <formula>$B171="Fin Liberación"</formula>
    </cfRule>
    <cfRule type="expression" dxfId="523" priority="158">
      <formula>$B171="Inicio Liberación"</formula>
    </cfRule>
  </conditionalFormatting>
  <conditionalFormatting sqref="F171:F173">
    <cfRule type="expression" dxfId="522" priority="155">
      <formula>$B171="Fin Liberación"</formula>
    </cfRule>
    <cfRule type="expression" dxfId="521" priority="156">
      <formula>$B171="Inicio Liberación"</formula>
    </cfRule>
  </conditionalFormatting>
  <conditionalFormatting sqref="E174">
    <cfRule type="expression" dxfId="520" priority="153">
      <formula>$B174="Fin Liberación"</formula>
    </cfRule>
    <cfRule type="expression" dxfId="519" priority="154">
      <formula>$B174="Inicio Liberación"</formula>
    </cfRule>
  </conditionalFormatting>
  <conditionalFormatting sqref="F174">
    <cfRule type="expression" dxfId="518" priority="151">
      <formula>$B174="Fin Liberación"</formula>
    </cfRule>
    <cfRule type="expression" dxfId="517" priority="152">
      <formula>$B174="Inicio Liberación"</formula>
    </cfRule>
  </conditionalFormatting>
  <conditionalFormatting sqref="E175:E177">
    <cfRule type="expression" dxfId="516" priority="149">
      <formula>$B175="Fin Liberación"</formula>
    </cfRule>
    <cfRule type="expression" dxfId="515" priority="150">
      <formula>$B175="Inicio Liberación"</formula>
    </cfRule>
  </conditionalFormatting>
  <conditionalFormatting sqref="F175:F177">
    <cfRule type="expression" dxfId="514" priority="147">
      <formula>$B175="Fin Liberación"</formula>
    </cfRule>
    <cfRule type="expression" dxfId="513" priority="148">
      <formula>$B175="Inicio Liberación"</formula>
    </cfRule>
  </conditionalFormatting>
  <conditionalFormatting sqref="E178">
    <cfRule type="expression" dxfId="512" priority="145">
      <formula>$B178="Fin Liberación"</formula>
    </cfRule>
    <cfRule type="expression" dxfId="511" priority="146">
      <formula>$B178="Inicio Liberación"</formula>
    </cfRule>
  </conditionalFormatting>
  <conditionalFormatting sqref="F178">
    <cfRule type="expression" dxfId="510" priority="143">
      <formula>$B178="Fin Liberación"</formula>
    </cfRule>
    <cfRule type="expression" dxfId="509" priority="144">
      <formula>$B178="Inicio Liberación"</formula>
    </cfRule>
  </conditionalFormatting>
  <conditionalFormatting sqref="E179:E181">
    <cfRule type="expression" dxfId="508" priority="141">
      <formula>$B179="Fin Liberación"</formula>
    </cfRule>
    <cfRule type="expression" dxfId="507" priority="142">
      <formula>$B179="Inicio Liberación"</formula>
    </cfRule>
  </conditionalFormatting>
  <conditionalFormatting sqref="F179:F181">
    <cfRule type="expression" dxfId="506" priority="139">
      <formula>$B179="Fin Liberación"</formula>
    </cfRule>
    <cfRule type="expression" dxfId="505" priority="140">
      <formula>$B179="Inicio Liberación"</formula>
    </cfRule>
  </conditionalFormatting>
  <conditionalFormatting sqref="E182">
    <cfRule type="expression" dxfId="504" priority="137">
      <formula>$B182="Fin Liberación"</formula>
    </cfRule>
    <cfRule type="expression" dxfId="503" priority="138">
      <formula>$B182="Inicio Liberación"</formula>
    </cfRule>
  </conditionalFormatting>
  <conditionalFormatting sqref="F182">
    <cfRule type="expression" dxfId="502" priority="135">
      <formula>$B182="Fin Liberación"</formula>
    </cfRule>
    <cfRule type="expression" dxfId="501" priority="136">
      <formula>$B182="Inicio Liberación"</formula>
    </cfRule>
  </conditionalFormatting>
  <conditionalFormatting sqref="E183:E185">
    <cfRule type="expression" dxfId="500" priority="133">
      <formula>$B183="Fin Liberación"</formula>
    </cfRule>
    <cfRule type="expression" dxfId="499" priority="134">
      <formula>$B183="Inicio Liberación"</formula>
    </cfRule>
  </conditionalFormatting>
  <conditionalFormatting sqref="F183:F185">
    <cfRule type="expression" dxfId="498" priority="131">
      <formula>$B183="Fin Liberación"</formula>
    </cfRule>
    <cfRule type="expression" dxfId="497" priority="132">
      <formula>$B183="Inicio Liberación"</formula>
    </cfRule>
  </conditionalFormatting>
  <conditionalFormatting sqref="E186">
    <cfRule type="expression" dxfId="496" priority="129">
      <formula>$B186="Fin Liberación"</formula>
    </cfRule>
    <cfRule type="expression" dxfId="495" priority="130">
      <formula>$B186="Inicio Liberación"</formula>
    </cfRule>
  </conditionalFormatting>
  <conditionalFormatting sqref="F186">
    <cfRule type="expression" dxfId="494" priority="127">
      <formula>$B186="Fin Liberación"</formula>
    </cfRule>
    <cfRule type="expression" dxfId="493" priority="128">
      <formula>$B186="Inicio Liberación"</formula>
    </cfRule>
  </conditionalFormatting>
  <conditionalFormatting sqref="C10">
    <cfRule type="expression" dxfId="492" priority="125">
      <formula>$B13="Inicio Liberación"</formula>
    </cfRule>
  </conditionalFormatting>
  <conditionalFormatting sqref="C10">
    <cfRule type="expression" dxfId="491" priority="126">
      <formula>$B13="Fin Liberación"</formula>
    </cfRule>
  </conditionalFormatting>
  <conditionalFormatting sqref="C10">
    <cfRule type="containsText" dxfId="490" priority="123" operator="containsText" text="VTF">
      <formula>NOT(ISERROR(SEARCH("VTF",C10)))</formula>
    </cfRule>
    <cfRule type="containsText" dxfId="489" priority="124" operator="containsText" text="VTI">
      <formula>NOT(ISERROR(SEARCH("VTI",C10)))</formula>
    </cfRule>
  </conditionalFormatting>
  <conditionalFormatting sqref="C11">
    <cfRule type="expression" dxfId="488" priority="121">
      <formula>$B14="Inicio Liberación"</formula>
    </cfRule>
  </conditionalFormatting>
  <conditionalFormatting sqref="C11">
    <cfRule type="expression" dxfId="487" priority="122">
      <formula>$B14="Fin Liberación"</formula>
    </cfRule>
  </conditionalFormatting>
  <conditionalFormatting sqref="C11">
    <cfRule type="containsText" dxfId="486" priority="119" operator="containsText" text="VTF">
      <formula>NOT(ISERROR(SEARCH("VTF",C11)))</formula>
    </cfRule>
    <cfRule type="containsText" dxfId="485" priority="120" operator="containsText" text="VTI">
      <formula>NOT(ISERROR(SEARCH("VTI",C11)))</formula>
    </cfRule>
  </conditionalFormatting>
  <conditionalFormatting sqref="C12">
    <cfRule type="expression" dxfId="484" priority="117">
      <formula>$B15="Inicio Liberación"</formula>
    </cfRule>
  </conditionalFormatting>
  <conditionalFormatting sqref="C12">
    <cfRule type="expression" dxfId="483" priority="118">
      <formula>$B15="Fin Liberación"</formula>
    </cfRule>
  </conditionalFormatting>
  <conditionalFormatting sqref="C12">
    <cfRule type="containsText" dxfId="482" priority="115" operator="containsText" text="VTF">
      <formula>NOT(ISERROR(SEARCH("VTF",C12)))</formula>
    </cfRule>
    <cfRule type="containsText" dxfId="481" priority="116" operator="containsText" text="VTI">
      <formula>NOT(ISERROR(SEARCH("VTI",C12)))</formula>
    </cfRule>
  </conditionalFormatting>
  <conditionalFormatting sqref="C13">
    <cfRule type="expression" dxfId="480" priority="113">
      <formula>$B16="Inicio Liberación"</formula>
    </cfRule>
  </conditionalFormatting>
  <conditionalFormatting sqref="C13">
    <cfRule type="expression" dxfId="479" priority="114">
      <formula>$B16="Fin Liberación"</formula>
    </cfRule>
  </conditionalFormatting>
  <conditionalFormatting sqref="C13">
    <cfRule type="containsText" dxfId="478" priority="111" operator="containsText" text="VTF">
      <formula>NOT(ISERROR(SEARCH("VTF",C13)))</formula>
    </cfRule>
    <cfRule type="containsText" dxfId="477" priority="112" operator="containsText" text="VTI">
      <formula>NOT(ISERROR(SEARCH("VTI",C13)))</formula>
    </cfRule>
  </conditionalFormatting>
  <conditionalFormatting sqref="D6">
    <cfRule type="expression" dxfId="476" priority="2022">
      <formula>$B8="Fin Liberación"</formula>
    </cfRule>
    <cfRule type="expression" dxfId="475" priority="2023">
      <formula>$B8="Inicio Liberación"</formula>
    </cfRule>
  </conditionalFormatting>
  <conditionalFormatting sqref="D7">
    <cfRule type="expression" dxfId="474" priority="109">
      <formula>$B9="Fin Liberación"</formula>
    </cfRule>
    <cfRule type="expression" dxfId="473" priority="110">
      <formula>$B9="Inicio Liberación"</formula>
    </cfRule>
  </conditionalFormatting>
  <conditionalFormatting sqref="D13">
    <cfRule type="expression" dxfId="468" priority="97">
      <formula>$B15="Fin Liberación"</formula>
    </cfRule>
    <cfRule type="expression" dxfId="467" priority="98">
      <formula>$B15="Inicio Liberación"</formula>
    </cfRule>
  </conditionalFormatting>
  <conditionalFormatting sqref="D14">
    <cfRule type="expression" dxfId="466" priority="95">
      <formula>$B16="Fin Liberación"</formula>
    </cfRule>
    <cfRule type="expression" dxfId="465" priority="96">
      <formula>$B16="Inicio Liberación"</formula>
    </cfRule>
  </conditionalFormatting>
  <conditionalFormatting sqref="D15:D17">
    <cfRule type="expression" dxfId="464" priority="93">
      <formula>$B17="Fin Liberación"</formula>
    </cfRule>
    <cfRule type="expression" dxfId="463" priority="94">
      <formula>$B17="Inicio Liberación"</formula>
    </cfRule>
  </conditionalFormatting>
  <conditionalFormatting sqref="D18:D20">
    <cfRule type="expression" dxfId="462" priority="91">
      <formula>$B20="Fin Liberación"</formula>
    </cfRule>
    <cfRule type="expression" dxfId="461" priority="92">
      <formula>$B20="Inicio Liberación"</formula>
    </cfRule>
  </conditionalFormatting>
  <conditionalFormatting sqref="D21">
    <cfRule type="expression" dxfId="460" priority="89">
      <formula>$B23="Fin Liberación"</formula>
    </cfRule>
    <cfRule type="expression" dxfId="459" priority="90">
      <formula>$B23="Inicio Liberación"</formula>
    </cfRule>
  </conditionalFormatting>
  <conditionalFormatting sqref="D22">
    <cfRule type="expression" dxfId="458" priority="87">
      <formula>$B24="Fin Liberación"</formula>
    </cfRule>
    <cfRule type="expression" dxfId="457" priority="88">
      <formula>$B24="Inicio Liberación"</formula>
    </cfRule>
  </conditionalFormatting>
  <conditionalFormatting sqref="D23">
    <cfRule type="expression" dxfId="456" priority="85">
      <formula>$B25="Fin Liberación"</formula>
    </cfRule>
    <cfRule type="expression" dxfId="455" priority="86">
      <formula>$B25="Inicio Liberación"</formula>
    </cfRule>
  </conditionalFormatting>
  <conditionalFormatting sqref="D24">
    <cfRule type="expression" dxfId="454" priority="83">
      <formula>$B26="Fin Liberación"</formula>
    </cfRule>
    <cfRule type="expression" dxfId="453" priority="84">
      <formula>$B26="Inicio Liberación"</formula>
    </cfRule>
  </conditionalFormatting>
  <conditionalFormatting sqref="D25">
    <cfRule type="expression" dxfId="452" priority="81">
      <formula>$B27="Fin Liberación"</formula>
    </cfRule>
    <cfRule type="expression" dxfId="451" priority="82">
      <formula>$B27="Inicio Liberación"</formula>
    </cfRule>
  </conditionalFormatting>
  <conditionalFormatting sqref="D26">
    <cfRule type="expression" dxfId="450" priority="79">
      <formula>$B28="Fin Liberación"</formula>
    </cfRule>
    <cfRule type="expression" dxfId="449" priority="80">
      <formula>$B28="Inicio Liberación"</formula>
    </cfRule>
  </conditionalFormatting>
  <conditionalFormatting sqref="D27">
    <cfRule type="expression" dxfId="448" priority="77">
      <formula>$B29="Fin Liberación"</formula>
    </cfRule>
    <cfRule type="expression" dxfId="447" priority="78">
      <formula>$B29="Inicio Liberación"</formula>
    </cfRule>
  </conditionalFormatting>
  <conditionalFormatting sqref="D28">
    <cfRule type="expression" dxfId="446" priority="75">
      <formula>$B30="Fin Liberación"</formula>
    </cfRule>
    <cfRule type="expression" dxfId="445" priority="76">
      <formula>$B30="Inicio Liberación"</formula>
    </cfRule>
  </conditionalFormatting>
  <conditionalFormatting sqref="D29">
    <cfRule type="expression" dxfId="444" priority="73">
      <formula>$B31="Fin Liberación"</formula>
    </cfRule>
    <cfRule type="expression" dxfId="443" priority="74">
      <formula>$B31="Inicio Liberación"</formula>
    </cfRule>
  </conditionalFormatting>
  <conditionalFormatting sqref="D30:D32">
    <cfRule type="expression" dxfId="442" priority="71">
      <formula>$B32="Fin Liberación"</formula>
    </cfRule>
    <cfRule type="expression" dxfId="441" priority="72">
      <formula>$B32="Inicio Liberación"</formula>
    </cfRule>
  </conditionalFormatting>
  <conditionalFormatting sqref="D33:D35">
    <cfRule type="expression" dxfId="440" priority="69">
      <formula>$B35="Fin Liberación"</formula>
    </cfRule>
    <cfRule type="expression" dxfId="439" priority="70">
      <formula>$B35="Inicio Liberación"</formula>
    </cfRule>
  </conditionalFormatting>
  <conditionalFormatting sqref="D8">
    <cfRule type="expression" dxfId="438" priority="67">
      <formula>$B10="Fin Liberación"</formula>
    </cfRule>
    <cfRule type="expression" dxfId="437" priority="68">
      <formula>$B10="Inicio Liberación"</formula>
    </cfRule>
  </conditionalFormatting>
  <conditionalFormatting sqref="F7">
    <cfRule type="expression" dxfId="436" priority="21">
      <formula>$B7="Fin Liberación"</formula>
    </cfRule>
    <cfRule type="expression" dxfId="435" priority="22">
      <formula>$B7="Inicio Liberación"</formula>
    </cfRule>
  </conditionalFormatting>
  <conditionalFormatting sqref="E8">
    <cfRule type="expression" dxfId="434" priority="19">
      <formula>$B8="Fin Liberación"</formula>
    </cfRule>
    <cfRule type="expression" dxfId="433" priority="20">
      <formula>$B8="Inicio Liberación"</formula>
    </cfRule>
  </conditionalFormatting>
  <conditionalFormatting sqref="F8">
    <cfRule type="expression" dxfId="432" priority="17">
      <formula>$B8="Fin Liberación"</formula>
    </cfRule>
    <cfRule type="expression" dxfId="431" priority="18">
      <formula>$B8="Inicio Liberación"</formula>
    </cfRule>
  </conditionalFormatting>
  <conditionalFormatting sqref="E9">
    <cfRule type="expression" dxfId="430" priority="15">
      <formula>$B9="Fin Liberación"</formula>
    </cfRule>
    <cfRule type="expression" dxfId="429" priority="16">
      <formula>$B9="Inicio Liberación"</formula>
    </cfRule>
  </conditionalFormatting>
  <conditionalFormatting sqref="F9">
    <cfRule type="expression" dxfId="428" priority="13">
      <formula>$B9="Fin Liberación"</formula>
    </cfRule>
    <cfRule type="expression" dxfId="427" priority="14">
      <formula>$B9="Inicio Liberación"</formula>
    </cfRule>
  </conditionalFormatting>
  <conditionalFormatting sqref="E10">
    <cfRule type="expression" dxfId="426" priority="11">
      <formula>$B10="Fin Liberación"</formula>
    </cfRule>
    <cfRule type="expression" dxfId="425" priority="12">
      <formula>$B10="Inicio Liberación"</formula>
    </cfRule>
  </conditionalFormatting>
  <conditionalFormatting sqref="F10">
    <cfRule type="expression" dxfId="424" priority="9">
      <formula>$B10="Fin Liberación"</formula>
    </cfRule>
    <cfRule type="expression" dxfId="423" priority="10">
      <formula>$B10="Inicio Liberación"</formula>
    </cfRule>
  </conditionalFormatting>
  <conditionalFormatting sqref="E11">
    <cfRule type="expression" dxfId="422" priority="7">
      <formula>$B11="Fin Liberación"</formula>
    </cfRule>
    <cfRule type="expression" dxfId="421" priority="8">
      <formula>$B11="Inicio Liberación"</formula>
    </cfRule>
  </conditionalFormatting>
  <conditionalFormatting sqref="F11">
    <cfRule type="expression" dxfId="420" priority="5">
      <formula>$B11="Fin Liberación"</formula>
    </cfRule>
    <cfRule type="expression" dxfId="419" priority="6">
      <formula>$B11="Inicio Liberación"</formula>
    </cfRule>
  </conditionalFormatting>
  <conditionalFormatting sqref="D10">
    <cfRule type="expression" dxfId="3" priority="3">
      <formula>$B14="Fin Liberación"</formula>
    </cfRule>
    <cfRule type="expression" dxfId="2" priority="4">
      <formula>$B14="Inicio Liberación"</formula>
    </cfRule>
  </conditionalFormatting>
  <conditionalFormatting sqref="D9">
    <cfRule type="expression" dxfId="1" priority="1">
      <formula>$B11="Fin Liberación"</formula>
    </cfRule>
    <cfRule type="expression" dxfId="0" priority="2">
      <formula>$B11="Inicio Liberación"</formula>
    </cfRule>
  </conditionalFormatting>
  <dataValidations xWindow="450" yWindow="252" count="7">
    <dataValidation type="list" allowBlank="1" showInputMessage="1" showErrorMessage="1" sqref="K5:K202">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2">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1">
      <formula1>"PRE,IMP,VAL,BCK,VTI,VTF,FIN"</formula1>
    </dataValidation>
    <dataValidation type="list" allowBlank="1" showInputMessage="1" showErrorMessage="1" sqref="H202">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43"/>
  <sheetViews>
    <sheetView showGridLines="0" zoomScaleNormal="100" workbookViewId="0">
      <selection activeCell="C13" sqref="C13:E13"/>
    </sheetView>
  </sheetViews>
  <sheetFormatPr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21" t="s">
        <v>359</v>
      </c>
      <c r="C2" s="221"/>
      <c r="D2" s="221"/>
      <c r="E2" s="221"/>
    </row>
    <row r="3" spans="2:35" ht="15" customHeight="1">
      <c r="B3" s="216" t="s">
        <v>209</v>
      </c>
      <c r="C3" s="217"/>
      <c r="D3" s="217"/>
      <c r="E3" s="218"/>
    </row>
    <row r="4" spans="2:35" ht="15" customHeight="1">
      <c r="B4" s="213" t="s">
        <v>385</v>
      </c>
      <c r="C4" s="214"/>
      <c r="D4" s="214"/>
      <c r="E4" s="215"/>
    </row>
    <row r="5" spans="2:35" ht="16.5" customHeight="1">
      <c r="B5" s="44"/>
      <c r="C5" s="44"/>
      <c r="D5" s="44"/>
      <c r="E5" s="44"/>
    </row>
    <row r="6" spans="2:35" ht="16.5" customHeight="1">
      <c r="B6" s="221" t="s">
        <v>207</v>
      </c>
      <c r="C6" s="221"/>
      <c r="D6" s="221"/>
      <c r="E6" s="221"/>
    </row>
    <row r="7" spans="2:35" ht="16.5" customHeight="1">
      <c r="B7" s="47" t="s">
        <v>208</v>
      </c>
      <c r="C7" s="48" t="s">
        <v>136</v>
      </c>
      <c r="D7" s="47" t="s">
        <v>134</v>
      </c>
      <c r="E7" s="48" t="s">
        <v>135</v>
      </c>
    </row>
    <row r="8" spans="2:35" ht="15" customHeight="1">
      <c r="B8" s="45" t="s">
        <v>370</v>
      </c>
      <c r="C8" s="45">
        <v>58090212</v>
      </c>
      <c r="D8" s="45" t="s">
        <v>385</v>
      </c>
      <c r="E8" s="45" t="s">
        <v>384</v>
      </c>
    </row>
    <row r="10" spans="2:35">
      <c r="B10" s="220" t="s">
        <v>358</v>
      </c>
      <c r="C10" s="220"/>
      <c r="D10" s="220"/>
      <c r="E10" s="220"/>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2" t="s">
        <v>210</v>
      </c>
      <c r="D11" s="222"/>
      <c r="E11" s="222"/>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375</v>
      </c>
      <c r="C12" s="219" t="s">
        <v>376</v>
      </c>
      <c r="D12" s="219"/>
      <c r="E12" s="219"/>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t="s">
        <v>375</v>
      </c>
      <c r="C13" s="219" t="s">
        <v>377</v>
      </c>
      <c r="D13" s="219"/>
      <c r="E13" s="219"/>
      <c r="F13" s="38"/>
      <c r="G13" s="38">
        <f t="shared" ref="G13:G21" si="0">IFERROR(SEARCH("/",C13,1)-2,"")</f>
        <v>25</v>
      </c>
      <c r="H13" s="38" t="str">
        <f t="shared" ref="H13:H21" si="1">IFERROR(LEFT(C13,G13),"")</f>
        <v xml:space="preserve">Adriana Miranda Figueroa </v>
      </c>
      <c r="I13" s="39" t="str">
        <f t="shared" ref="I13:I21" si="2">IF(H13="","",CONCATENATE(H13,";"))</f>
        <v>Adriana Miranda Figueroa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9"/>
      <c r="D14" s="219"/>
      <c r="E14" s="219"/>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9"/>
      <c r="D15" s="219"/>
      <c r="E15" s="219"/>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9"/>
      <c r="D16" s="219"/>
      <c r="E16" s="219"/>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9"/>
      <c r="D17" s="219"/>
      <c r="E17" s="219"/>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9"/>
      <c r="D18" s="219"/>
      <c r="E18" s="219"/>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9"/>
      <c r="D19" s="219"/>
      <c r="E19" s="219"/>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13"/>
      <c r="D20" s="214"/>
      <c r="E20" s="215"/>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9"/>
      <c r="D21" s="219"/>
      <c r="E21" s="219"/>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0" t="s">
        <v>360</v>
      </c>
      <c r="C23" s="220"/>
      <c r="D23" s="220"/>
      <c r="E23" s="220"/>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6" t="s">
        <v>209</v>
      </c>
      <c r="C24" s="217"/>
      <c r="D24" s="217"/>
      <c r="E24" s="218"/>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13"/>
      <c r="C25" s="214"/>
      <c r="D25" s="214"/>
      <c r="E25" s="215"/>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13"/>
      <c r="C26" s="214"/>
      <c r="D26" s="214"/>
      <c r="E26" s="215"/>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13"/>
      <c r="C27" s="214"/>
      <c r="D27" s="214"/>
      <c r="E27" s="215"/>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13"/>
      <c r="C28" s="214"/>
      <c r="D28" s="214"/>
      <c r="E28" s="215"/>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13"/>
      <c r="C29" s="214"/>
      <c r="D29" s="214"/>
      <c r="E29" s="215"/>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13"/>
      <c r="C30" s="214"/>
      <c r="D30" s="214"/>
      <c r="E30" s="215"/>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13"/>
      <c r="C31" s="214"/>
      <c r="D31" s="214"/>
      <c r="E31" s="215"/>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13"/>
      <c r="C32" s="214"/>
      <c r="D32" s="214"/>
      <c r="E32" s="215"/>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13"/>
      <c r="C33" s="214"/>
      <c r="D33" s="214"/>
      <c r="E33" s="215"/>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13"/>
      <c r="C34" s="214"/>
      <c r="D34" s="214"/>
      <c r="E34" s="215"/>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13"/>
      <c r="C35" s="214"/>
      <c r="D35" s="214"/>
      <c r="E35" s="215"/>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3:E3"/>
    <mergeCell ref="B6:E6"/>
    <mergeCell ref="C18:E18"/>
    <mergeCell ref="C17:E17"/>
    <mergeCell ref="B10:E10"/>
    <mergeCell ref="C11:E11"/>
    <mergeCell ref="C12:E12"/>
    <mergeCell ref="C13:E13"/>
    <mergeCell ref="C15:E15"/>
    <mergeCell ref="C14:E14"/>
    <mergeCell ref="C16:E16"/>
    <mergeCell ref="B4:E4"/>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election activeCell="G12" sqref="G12"/>
    </sheetView>
  </sheetViews>
  <sheetFormatPr defaultColWidth="11.4257812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D1:AB244"/>
  <sheetViews>
    <sheetView zoomScale="80" zoomScaleNormal="80" workbookViewId="0">
      <selection activeCell="D15" sqref="D15:D36"/>
    </sheetView>
  </sheetViews>
  <sheetFormatPr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A122"/>
  <sheetViews>
    <sheetView topLeftCell="A53" zoomScaleNormal="100" zoomScaleSheetLayoutView="100" workbookViewId="0">
      <selection activeCell="A28" sqref="A28:XFD28"/>
    </sheetView>
  </sheetViews>
  <sheetFormatPr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5" t="s">
        <v>325</v>
      </c>
      <c r="C2" s="226"/>
      <c r="D2" s="226"/>
      <c r="E2" s="227"/>
    </row>
    <row r="3" spans="1:27" s="51" customFormat="1" ht="12" customHeight="1">
      <c r="B3" s="228" t="s">
        <v>332</v>
      </c>
      <c r="C3" s="229"/>
      <c r="D3" s="229"/>
      <c r="E3" s="230"/>
    </row>
    <row r="4" spans="1:27" s="51" customFormat="1" ht="7.5" customHeight="1">
      <c r="B4" s="231"/>
      <c r="C4" s="232"/>
      <c r="D4" s="232"/>
      <c r="E4" s="233"/>
    </row>
    <row r="5" spans="1:27" s="51" customFormat="1" ht="10.5" customHeight="1">
      <c r="B5" s="231"/>
      <c r="C5" s="232"/>
      <c r="D5" s="232"/>
      <c r="E5" s="233"/>
    </row>
    <row r="6" spans="1:27" s="51" customFormat="1" ht="62.25" customHeight="1">
      <c r="B6" s="234"/>
      <c r="C6" s="235"/>
      <c r="D6" s="235"/>
      <c r="E6" s="236"/>
    </row>
    <row r="7" spans="1:27" s="51" customFormat="1" ht="12" customHeight="1">
      <c r="B7" s="237"/>
      <c r="C7" s="238"/>
      <c r="D7" s="238"/>
      <c r="E7" s="239"/>
    </row>
    <row r="8" spans="1:27" s="51" customFormat="1" ht="15" customHeight="1">
      <c r="B8" s="225" t="s">
        <v>27</v>
      </c>
      <c r="C8" s="226"/>
      <c r="D8" s="226"/>
      <c r="E8" s="227"/>
    </row>
    <row r="9" spans="1:27" s="51" customFormat="1" ht="14.25" thickBot="1">
      <c r="B9" s="240" t="s">
        <v>211</v>
      </c>
      <c r="C9" s="240"/>
      <c r="D9" s="240"/>
      <c r="E9" s="240"/>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3" t="s">
        <v>45</v>
      </c>
      <c r="C54" s="223"/>
      <c r="D54" s="223"/>
      <c r="E54" s="223"/>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3" t="s">
        <v>49</v>
      </c>
      <c r="C62" s="223"/>
      <c r="D62" s="223"/>
      <c r="E62" s="223"/>
      <c r="F62" s="51"/>
      <c r="G62" s="51"/>
      <c r="H62" s="51"/>
      <c r="I62" s="51"/>
      <c r="J62" s="51"/>
      <c r="K62" s="51"/>
      <c r="L62" s="51"/>
      <c r="M62" s="51"/>
      <c r="N62" s="51"/>
      <c r="O62" s="51"/>
      <c r="P62" s="55"/>
      <c r="Q62" s="55"/>
    </row>
    <row r="63" spans="1:17" ht="14.25" thickBot="1">
      <c r="A63" s="59"/>
      <c r="B63" s="223" t="s">
        <v>50</v>
      </c>
      <c r="C63" s="223"/>
      <c r="D63" s="223"/>
      <c r="E63" s="223"/>
      <c r="F63" s="51"/>
      <c r="G63" s="51"/>
      <c r="H63" s="51"/>
      <c r="I63" s="51"/>
      <c r="J63" s="51"/>
      <c r="K63" s="51"/>
      <c r="L63" s="51"/>
      <c r="M63" s="51"/>
      <c r="N63" s="51"/>
      <c r="O63" s="51"/>
      <c r="P63" s="55"/>
      <c r="Q63" s="55"/>
    </row>
    <row r="64" spans="1:17" ht="327" customHeight="1" thickBot="1">
      <c r="A64" s="59"/>
      <c r="B64" s="224" t="s">
        <v>321</v>
      </c>
      <c r="C64" s="224"/>
      <c r="D64" s="224"/>
      <c r="E64" s="224"/>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1" t="s">
        <v>233</v>
      </c>
      <c r="D73" s="58" t="s">
        <v>248</v>
      </c>
      <c r="E73" s="54" t="s">
        <v>33</v>
      </c>
      <c r="F73" s="51"/>
      <c r="G73" s="51"/>
      <c r="H73" s="51"/>
      <c r="I73" s="51"/>
      <c r="J73" s="51"/>
      <c r="K73" s="51"/>
      <c r="L73" s="51"/>
      <c r="M73" s="51"/>
      <c r="N73" s="51"/>
      <c r="O73" s="51"/>
      <c r="P73" s="55"/>
      <c r="Q73" s="55"/>
    </row>
    <row r="74" spans="1:17" ht="40.5">
      <c r="A74" s="59"/>
      <c r="B74" s="67" t="s">
        <v>234</v>
      </c>
      <c r="C74" s="242"/>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3" t="s">
        <v>55</v>
      </c>
      <c r="C81" s="223"/>
      <c r="D81" s="223"/>
      <c r="E81" s="223"/>
      <c r="F81" s="51"/>
      <c r="G81" s="51"/>
      <c r="H81" s="51"/>
      <c r="I81" s="51"/>
      <c r="J81" s="51"/>
      <c r="K81" s="51"/>
      <c r="L81" s="51"/>
      <c r="M81" s="51"/>
      <c r="N81" s="51"/>
      <c r="O81" s="51"/>
      <c r="P81" s="55"/>
      <c r="Q81" s="55"/>
    </row>
    <row r="82" spans="1:17" ht="14.25" thickBot="1">
      <c r="A82" s="59"/>
      <c r="B82" s="223" t="s">
        <v>50</v>
      </c>
      <c r="C82" s="223"/>
      <c r="D82" s="223"/>
      <c r="E82" s="223"/>
      <c r="F82" s="51"/>
      <c r="G82" s="51"/>
      <c r="H82" s="51"/>
      <c r="I82" s="51"/>
      <c r="J82" s="51"/>
      <c r="K82" s="51"/>
      <c r="L82" s="51"/>
      <c r="M82" s="51"/>
      <c r="N82" s="51"/>
      <c r="O82" s="51"/>
      <c r="P82" s="55"/>
      <c r="Q82" s="55"/>
    </row>
    <row r="83" spans="1:17" ht="62.25" customHeight="1" thickBot="1">
      <c r="A83" s="59"/>
      <c r="B83" s="224" t="s">
        <v>338</v>
      </c>
      <c r="C83" s="224"/>
      <c r="D83" s="224"/>
      <c r="E83" s="224"/>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3" t="s">
        <v>361</v>
      </c>
      <c r="C88" s="223"/>
      <c r="D88" s="223"/>
      <c r="E88" s="223"/>
      <c r="F88" s="51"/>
      <c r="G88" s="51"/>
      <c r="H88" s="51"/>
      <c r="I88" s="51"/>
      <c r="J88" s="51"/>
      <c r="K88" s="51"/>
      <c r="L88" s="51"/>
      <c r="M88" s="51"/>
      <c r="N88" s="51"/>
      <c r="O88" s="51"/>
    </row>
    <row r="89" spans="1:17" ht="30.75" customHeight="1" thickBot="1">
      <c r="A89" s="51"/>
      <c r="B89" s="224" t="s">
        <v>363</v>
      </c>
      <c r="C89" s="224"/>
      <c r="D89" s="224"/>
      <c r="E89" s="224"/>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E6" sqref="E6"/>
    </sheetView>
  </sheetViews>
  <sheetFormatPr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Modificar un usuario de dominio para IDE-WEB
Antecedentes: El aplicativo de IDE-WEB utiliza seguridad integrada.
Descripción: Se solicita que el área de seguridad de T-System genere el usuario de dominio para el aplicativo de IDE-WEB.</v>
      </c>
      <c r="F2" s="14" t="str">
        <f>IGC!C23</f>
        <v>Captura F/H Primer Actividad pestaña Plan</v>
      </c>
      <c r="G2" s="14">
        <f>IGC!E23</f>
        <v>43777.673611111109</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cpidwuatnete01
</v>
      </c>
      <c r="S2" s="18"/>
      <c r="T2" s="14" t="str">
        <f>IGC!C10</f>
        <v>El aplicativo de IDE-WEB utiliza seguridad integrada.</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Raul Nieto Lopez</v>
      </c>
      <c r="AD2" s="18" t="str">
        <f>'Matriz de comunicación'!D8</f>
        <v>Raul Nieto Lopez</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ESTÁNDAR</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8" priority="418" stopIfTrue="1" operator="equal">
      <formula>"Authorized"</formula>
    </cfRule>
    <cfRule type="cellIs" dxfId="417" priority="419" stopIfTrue="1" operator="equal">
      <formula>"Rejected"</formula>
    </cfRule>
    <cfRule type="cellIs" dxfId="416" priority="420" stopIfTrue="1" operator="equal">
      <formula>"Conditioned"</formula>
    </cfRule>
  </conditionalFormatting>
  <conditionalFormatting sqref="AO2:AT2 B2 D2 F2:G2 I2:S2 U2:AM2">
    <cfRule type="cellIs" dxfId="415" priority="415" stopIfTrue="1" operator="equal">
      <formula>"Authorized"</formula>
    </cfRule>
    <cfRule type="cellIs" dxfId="414" priority="416" stopIfTrue="1" operator="equal">
      <formula>"Rejected"</formula>
    </cfRule>
    <cfRule type="cellIs" dxfId="413" priority="417" stopIfTrue="1" operator="equal">
      <formula>"Conditioned"</formula>
    </cfRule>
  </conditionalFormatting>
  <conditionalFormatting sqref="I2:M2">
    <cfRule type="cellIs" dxfId="412" priority="412" stopIfTrue="1" operator="equal">
      <formula>"Authorized"</formula>
    </cfRule>
    <cfRule type="cellIs" dxfId="411" priority="413" stopIfTrue="1" operator="equal">
      <formula>"Rejected"</formula>
    </cfRule>
    <cfRule type="cellIs" dxfId="410" priority="414" stopIfTrue="1" operator="equal">
      <formula>"Conditioned"</formula>
    </cfRule>
  </conditionalFormatting>
  <conditionalFormatting sqref="I2:M2">
    <cfRule type="cellIs" dxfId="409" priority="409" stopIfTrue="1" operator="equal">
      <formula>"Authorized"</formula>
    </cfRule>
    <cfRule type="cellIs" dxfId="408" priority="410" stopIfTrue="1" operator="equal">
      <formula>"Rejected"</formula>
    </cfRule>
    <cfRule type="cellIs" dxfId="407" priority="411" stopIfTrue="1" operator="equal">
      <formula>"Conditioned"</formula>
    </cfRule>
  </conditionalFormatting>
  <conditionalFormatting sqref="AO2 AH2:AK2 J2:L2 AS2:AT2 N2:S2 U2:AF2">
    <cfRule type="cellIs" dxfId="406" priority="406" stopIfTrue="1" operator="equal">
      <formula>"Finished"</formula>
    </cfRule>
    <cfRule type="cellIs" dxfId="405" priority="407" stopIfTrue="1" operator="equal">
      <formula>"Cancell"</formula>
    </cfRule>
    <cfRule type="cellIs" dxfId="404" priority="408" stopIfTrue="1" operator="equal">
      <formula>"Reschedule"</formula>
    </cfRule>
  </conditionalFormatting>
  <conditionalFormatting sqref="AO2 AH2:AK2 J2:L2 AS2:AT2 N2:S2 U2:AF2">
    <cfRule type="cellIs" dxfId="403" priority="403" stopIfTrue="1" operator="equal">
      <formula>"Finished"</formula>
    </cfRule>
    <cfRule type="cellIs" dxfId="402" priority="404" stopIfTrue="1" operator="equal">
      <formula>"Canceled"</formula>
    </cfRule>
    <cfRule type="cellIs" dxfId="401" priority="405" stopIfTrue="1" operator="equal">
      <formula>"Rescheduled"</formula>
    </cfRule>
  </conditionalFormatting>
  <conditionalFormatting sqref="AO2 J2:L2 AR2:AT2 N2:S2 U2:AK2">
    <cfRule type="cellIs" dxfId="400" priority="400" stopIfTrue="1" operator="equal">
      <formula>"Finished"</formula>
    </cfRule>
    <cfRule type="cellIs" dxfId="399" priority="401" stopIfTrue="1" operator="equal">
      <formula>"Canceled"</formula>
    </cfRule>
    <cfRule type="cellIs" dxfId="398" priority="402" stopIfTrue="1" operator="equal">
      <formula>"Rescheduled"</formula>
    </cfRule>
  </conditionalFormatting>
  <conditionalFormatting sqref="AH2:AK2 AO2 J2:L2 AB2:AF2 AS2:AT2 P2:S2 U2:Z2">
    <cfRule type="cellIs" dxfId="397" priority="391" stopIfTrue="1" operator="equal">
      <formula>"Finished"</formula>
    </cfRule>
    <cfRule type="cellIs" dxfId="396" priority="392" stopIfTrue="1" operator="equal">
      <formula>"Cancell"</formula>
    </cfRule>
    <cfRule type="cellIs" dxfId="395" priority="393" stopIfTrue="1" operator="equal">
      <formula>"Reschedule"</formula>
    </cfRule>
    <cfRule type="cellIs" dxfId="394" priority="394" stopIfTrue="1" operator="equal">
      <formula>"Finished"</formula>
    </cfRule>
    <cfRule type="cellIs" dxfId="393" priority="395" stopIfTrue="1" operator="equal">
      <formula>"Canceled"</formula>
    </cfRule>
    <cfRule type="cellIs" dxfId="392" priority="396" stopIfTrue="1" operator="equal">
      <formula>"Rescheduled"</formula>
    </cfRule>
    <cfRule type="cellIs" dxfId="391" priority="397" stopIfTrue="1" operator="equal">
      <formula>"Finished"</formula>
    </cfRule>
    <cfRule type="cellIs" dxfId="390" priority="398" stopIfTrue="1" operator="equal">
      <formula>"Canceled"</formula>
    </cfRule>
    <cfRule type="cellIs" dxfId="389" priority="399" stopIfTrue="1" operator="equal">
      <formula>"Rescheduled"</formula>
    </cfRule>
  </conditionalFormatting>
  <conditionalFormatting sqref="AH2:AK2 AO2 J2:L2 AB2:AF2 R2:S2 U2:Z2">
    <cfRule type="cellIs" dxfId="388" priority="388" stopIfTrue="1" operator="equal">
      <formula>"Finished"</formula>
    </cfRule>
    <cfRule type="cellIs" dxfId="387" priority="389" stopIfTrue="1" operator="equal">
      <formula>"Canceled"</formula>
    </cfRule>
    <cfRule type="cellIs" dxfId="386" priority="390" stopIfTrue="1" operator="equal">
      <formula>"Rescheduled"</formula>
    </cfRule>
  </conditionalFormatting>
  <conditionalFormatting sqref="J2:L2 AE2:AF2 R2:S2 U2:Z2">
    <cfRule type="cellIs" dxfId="385" priority="379" stopIfTrue="1" operator="equal">
      <formula>"Finished"</formula>
    </cfRule>
    <cfRule type="cellIs" dxfId="384" priority="380" stopIfTrue="1" operator="equal">
      <formula>"Cancell"</formula>
    </cfRule>
    <cfRule type="cellIs" dxfId="383" priority="381" stopIfTrue="1" operator="equal">
      <formula>"Reschedule"</formula>
    </cfRule>
    <cfRule type="cellIs" dxfId="382" priority="382" stopIfTrue="1" operator="equal">
      <formula>"Finished"</formula>
    </cfRule>
    <cfRule type="cellIs" dxfId="381" priority="383" stopIfTrue="1" operator="equal">
      <formula>"Canceled"</formula>
    </cfRule>
    <cfRule type="cellIs" dxfId="380" priority="384" stopIfTrue="1" operator="equal">
      <formula>"Rescheduled"</formula>
    </cfRule>
    <cfRule type="cellIs" dxfId="379" priority="385" stopIfTrue="1" operator="equal">
      <formula>"Finished"</formula>
    </cfRule>
    <cfRule type="cellIs" dxfId="378" priority="386" stopIfTrue="1" operator="equal">
      <formula>"Canceled"</formula>
    </cfRule>
    <cfRule type="cellIs" dxfId="377" priority="387" stopIfTrue="1" operator="equal">
      <formula>"Rescheduled"</formula>
    </cfRule>
  </conditionalFormatting>
  <conditionalFormatting sqref="J2:L2 W2:Z2 AE2:AF2">
    <cfRule type="cellIs" dxfId="376" priority="376" stopIfTrue="1" operator="equal">
      <formula>"Finished"</formula>
    </cfRule>
    <cfRule type="cellIs" dxfId="375" priority="377" stopIfTrue="1" operator="equal">
      <formula>"Cancell"</formula>
    </cfRule>
    <cfRule type="cellIs" dxfId="374" priority="378" stopIfTrue="1" operator="equal">
      <formula>"Reschedule"</formula>
    </cfRule>
  </conditionalFormatting>
  <conditionalFormatting sqref="J2:L2 AE2:AF2">
    <cfRule type="cellIs" dxfId="373" priority="374" operator="equal">
      <formula>"Exitoso en su Totalidad"</formula>
    </cfRule>
    <cfRule type="cellIs" dxfId="372" priority="375" operator="equal">
      <formula>"Fallido en su Totalidad"</formula>
    </cfRule>
  </conditionalFormatting>
  <conditionalFormatting sqref="W2:Z2 AE2:AF2">
    <cfRule type="containsText" dxfId="371" priority="372" operator="containsText" text="Fuera de Tiempo">
      <formula>NOT(ISERROR(SEARCH("Fuera de Tiempo",W2)))</formula>
    </cfRule>
    <cfRule type="containsText" dxfId="370" priority="373" operator="containsText" text="En Tiempo">
      <formula>NOT(ISERROR(SEARCH("En Tiempo",W2)))</formula>
    </cfRule>
  </conditionalFormatting>
  <conditionalFormatting sqref="Y2 AH2:AK2 V2:W2 AO2 AB2:AD2">
    <cfRule type="cellIs" dxfId="369" priority="360" stopIfTrue="1" operator="equal">
      <formula>"Finished"</formula>
    </cfRule>
    <cfRule type="cellIs" dxfId="368" priority="361" stopIfTrue="1" operator="equal">
      <formula>"Cancell"</formula>
    </cfRule>
    <cfRule type="cellIs" dxfId="367" priority="362" stopIfTrue="1" operator="equal">
      <formula>"Reschedule"</formula>
    </cfRule>
    <cfRule type="cellIs" dxfId="366" priority="363" stopIfTrue="1" operator="equal">
      <formula>"Finished"</formula>
    </cfRule>
    <cfRule type="cellIs" dxfId="365" priority="364" stopIfTrue="1" operator="equal">
      <formula>"Canceled"</formula>
    </cfRule>
    <cfRule type="cellIs" dxfId="364" priority="365" stopIfTrue="1" operator="equal">
      <formula>"Rescheduled"</formula>
    </cfRule>
    <cfRule type="cellIs" dxfId="363" priority="366" stopIfTrue="1" operator="equal">
      <formula>"Finished"</formula>
    </cfRule>
    <cfRule type="cellIs" dxfId="362" priority="367" stopIfTrue="1" operator="equal">
      <formula>"Canceled"</formula>
    </cfRule>
    <cfRule type="cellIs" dxfId="361" priority="368" stopIfTrue="1" operator="equal">
      <formula>"Rescheduled"</formula>
    </cfRule>
    <cfRule type="cellIs" dxfId="360" priority="369" stopIfTrue="1" operator="equal">
      <formula>"Finished"</formula>
    </cfRule>
    <cfRule type="cellIs" dxfId="359" priority="370" stopIfTrue="1" operator="equal">
      <formula>"Canceled"</formula>
    </cfRule>
    <cfRule type="cellIs" dxfId="358" priority="371" stopIfTrue="1" operator="equal">
      <formula>"Rescheduled"</formula>
    </cfRule>
  </conditionalFormatting>
  <conditionalFormatting sqref="J2:L2 AE2:AF2">
    <cfRule type="cellIs" dxfId="357" priority="358" operator="equal">
      <formula>"Exitoso"</formula>
    </cfRule>
    <cfRule type="cellIs" dxfId="356" priority="359" operator="equal">
      <formula>"Fallido"</formula>
    </cfRule>
  </conditionalFormatting>
  <conditionalFormatting sqref="Y2 U2:V2">
    <cfRule type="cellIs" dxfId="355" priority="352" stopIfTrue="1" operator="equal">
      <formula>"Finished"</formula>
    </cfRule>
    <cfRule type="cellIs" dxfId="354" priority="353" stopIfTrue="1" operator="equal">
      <formula>"Cancell"</formula>
    </cfRule>
    <cfRule type="cellIs" dxfId="353" priority="354" stopIfTrue="1" operator="equal">
      <formula>"Reschedule"</formula>
    </cfRule>
    <cfRule type="cellIs" dxfId="352" priority="355" stopIfTrue="1" operator="equal">
      <formula>"Finished"</formula>
    </cfRule>
    <cfRule type="cellIs" dxfId="351" priority="356" stopIfTrue="1" operator="equal">
      <formula>"Canceled"</formula>
    </cfRule>
    <cfRule type="cellIs" dxfId="350" priority="357" stopIfTrue="1" operator="equal">
      <formula>"Rescheduled"</formula>
    </cfRule>
  </conditionalFormatting>
  <conditionalFormatting sqref="Y2 U2:V2">
    <cfRule type="cellIs" dxfId="349" priority="346" stopIfTrue="1" operator="equal">
      <formula>"Finished"</formula>
    </cfRule>
    <cfRule type="cellIs" dxfId="348" priority="347" stopIfTrue="1" operator="equal">
      <formula>"Cancell"</formula>
    </cfRule>
    <cfRule type="cellIs" dxfId="347" priority="348" stopIfTrue="1" operator="equal">
      <formula>"Reschedule"</formula>
    </cfRule>
    <cfRule type="cellIs" dxfId="346" priority="349" stopIfTrue="1" operator="equal">
      <formula>"Finished"</formula>
    </cfRule>
    <cfRule type="cellIs" dxfId="345" priority="350" stopIfTrue="1" operator="equal">
      <formula>"Canceled"</formula>
    </cfRule>
    <cfRule type="cellIs" dxfId="344" priority="351" stopIfTrue="1" operator="equal">
      <formula>"Rescheduled"</formula>
    </cfRule>
  </conditionalFormatting>
  <conditionalFormatting sqref="B2">
    <cfRule type="expression" dxfId="343" priority="345">
      <formula>$Y2="En Proceso"</formula>
    </cfRule>
  </conditionalFormatting>
  <conditionalFormatting sqref="X2">
    <cfRule type="cellIs" dxfId="342" priority="343" operator="equal">
      <formula>"En Tiempo"</formula>
    </cfRule>
    <cfRule type="cellIs" dxfId="341" priority="344" operator="equal">
      <formula>"Fuera de Tiempo"</formula>
    </cfRule>
  </conditionalFormatting>
  <conditionalFormatting sqref="AF2">
    <cfRule type="cellIs" dxfId="340" priority="341" operator="equal">
      <formula>"Fallido"</formula>
    </cfRule>
    <cfRule type="cellIs" dxfId="339" priority="342" operator="equal">
      <formula>"Exitoso"</formula>
    </cfRule>
  </conditionalFormatting>
  <conditionalFormatting sqref="J2 L2">
    <cfRule type="cellIs" dxfId="338" priority="339" operator="equal">
      <formula>"Condicionado"</formula>
    </cfRule>
    <cfRule type="cellIs" dxfId="337" priority="340" operator="equal">
      <formula>"Rechazado"</formula>
    </cfRule>
  </conditionalFormatting>
  <conditionalFormatting sqref="B2">
    <cfRule type="expression" dxfId="336"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5" priority="336"/>
  </conditionalFormatting>
  <conditionalFormatting sqref="B2">
    <cfRule type="expression" dxfId="334" priority="335">
      <formula>$Y2="En Proceso"</formula>
    </cfRule>
  </conditionalFormatting>
  <conditionalFormatting sqref="B2">
    <cfRule type="expression" dxfId="333" priority="334">
      <formula>$Y2="En Proceso"</formula>
    </cfRule>
  </conditionalFormatting>
  <conditionalFormatting sqref="B2">
    <cfRule type="expression" dxfId="332" priority="333">
      <formula>$Y2="En Proceso"</formula>
    </cfRule>
  </conditionalFormatting>
  <conditionalFormatting sqref="B2">
    <cfRule type="expression" dxfId="331" priority="332">
      <formula>$Y2="En Proceso"</formula>
    </cfRule>
  </conditionalFormatting>
  <conditionalFormatting sqref="B2">
    <cfRule type="expression" dxfId="330" priority="331">
      <formula>$Y2="En Proceso"</formula>
    </cfRule>
  </conditionalFormatting>
  <conditionalFormatting sqref="B2">
    <cfRule type="expression" dxfId="329" priority="330">
      <formula>$Y2="En Proceso"</formula>
    </cfRule>
  </conditionalFormatting>
  <conditionalFormatting sqref="B2">
    <cfRule type="expression" dxfId="328" priority="329">
      <formula>$Y2="En Proceso"</formula>
    </cfRule>
  </conditionalFormatting>
  <conditionalFormatting sqref="B2">
    <cfRule type="expression" dxfId="327" priority="328">
      <formula>$Y2="En Proceso"</formula>
    </cfRule>
  </conditionalFormatting>
  <conditionalFormatting sqref="B2">
    <cfRule type="expression" dxfId="326" priority="327">
      <formula>$Y2="En Proceso"</formula>
    </cfRule>
  </conditionalFormatting>
  <conditionalFormatting sqref="B2">
    <cfRule type="expression" dxfId="325" priority="326">
      <formula>$Y2="En Proceso"</formula>
    </cfRule>
  </conditionalFormatting>
  <conditionalFormatting sqref="B2">
    <cfRule type="expression" dxfId="324" priority="325">
      <formula>$Y2="En Proceso"</formula>
    </cfRule>
  </conditionalFormatting>
  <conditionalFormatting sqref="B2">
    <cfRule type="expression" dxfId="323" priority="324">
      <formula>$Y2="En Proceso"</formula>
    </cfRule>
  </conditionalFormatting>
  <conditionalFormatting sqref="B2">
    <cfRule type="expression" dxfId="322" priority="323">
      <formula>$Y2="En Proceso"</formula>
    </cfRule>
  </conditionalFormatting>
  <conditionalFormatting sqref="B2">
    <cfRule type="expression" dxfId="321"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20" priority="319"/>
  </conditionalFormatting>
  <conditionalFormatting sqref="B2">
    <cfRule type="duplicateValues" dxfId="319" priority="318"/>
  </conditionalFormatting>
  <conditionalFormatting sqref="B2">
    <cfRule type="duplicateValues" dxfId="318" priority="317"/>
  </conditionalFormatting>
  <conditionalFormatting sqref="B2">
    <cfRule type="expression" dxfId="317" priority="316">
      <formula>$Y2="En Proceso"</formula>
    </cfRule>
  </conditionalFormatting>
  <conditionalFormatting sqref="B2">
    <cfRule type="expression" dxfId="316" priority="315">
      <formula>$Y2="En Proceso"</formula>
    </cfRule>
  </conditionalFormatting>
  <conditionalFormatting sqref="B2">
    <cfRule type="expression" dxfId="315" priority="314">
      <formula>$Y2="En Proceso"</formula>
    </cfRule>
  </conditionalFormatting>
  <conditionalFormatting sqref="B2">
    <cfRule type="expression" dxfId="314" priority="313">
      <formula>$Y2="En Proceso"</formula>
    </cfRule>
  </conditionalFormatting>
  <conditionalFormatting sqref="B2">
    <cfRule type="expression" dxfId="313" priority="312">
      <formula>$Y2="En Proceso"</formula>
    </cfRule>
  </conditionalFormatting>
  <conditionalFormatting sqref="B2">
    <cfRule type="expression" dxfId="312" priority="311">
      <formula>$Y2="En Proceso"</formula>
    </cfRule>
  </conditionalFormatting>
  <conditionalFormatting sqref="B2">
    <cfRule type="expression" dxfId="311" priority="310">
      <formula>$Y2="En Proceso"</formula>
    </cfRule>
  </conditionalFormatting>
  <conditionalFormatting sqref="B2">
    <cfRule type="expression" dxfId="310" priority="309">
      <formula>$Y2="En Proceso"</formula>
    </cfRule>
  </conditionalFormatting>
  <conditionalFormatting sqref="B2">
    <cfRule type="expression" dxfId="309" priority="308">
      <formula>$Y2="En Proceso"</formula>
    </cfRule>
  </conditionalFormatting>
  <conditionalFormatting sqref="B2">
    <cfRule type="expression" dxfId="308" priority="307">
      <formula>$Y2="En Proceso"</formula>
    </cfRule>
  </conditionalFormatting>
  <conditionalFormatting sqref="B2">
    <cfRule type="expression" dxfId="307" priority="306">
      <formula>$Y2="En Proceso"</formula>
    </cfRule>
  </conditionalFormatting>
  <conditionalFormatting sqref="B2">
    <cfRule type="expression" dxfId="306" priority="305">
      <formula>$Y2="En Proceso"</formula>
    </cfRule>
  </conditionalFormatting>
  <conditionalFormatting sqref="B2">
    <cfRule type="expression" dxfId="305" priority="304">
      <formula>$Y2="En Proceso"</formula>
    </cfRule>
  </conditionalFormatting>
  <conditionalFormatting sqref="B2">
    <cfRule type="expression" dxfId="304" priority="303">
      <formula>$Y2="En Proceso"</formula>
    </cfRule>
  </conditionalFormatting>
  <conditionalFormatting sqref="B2">
    <cfRule type="expression" dxfId="303" priority="302">
      <formula>$Y2="En Proceso"</formula>
    </cfRule>
  </conditionalFormatting>
  <conditionalFormatting sqref="B2">
    <cfRule type="expression" dxfId="302" priority="301">
      <formula>$Y2="En Proceso"</formula>
    </cfRule>
  </conditionalFormatting>
  <conditionalFormatting sqref="B2">
    <cfRule type="expression" dxfId="301" priority="300">
      <formula>$Y2="En Proceso"</formula>
    </cfRule>
  </conditionalFormatting>
  <conditionalFormatting sqref="B2">
    <cfRule type="expression" dxfId="300" priority="299">
      <formula>$Y2="En Proceso"</formula>
    </cfRule>
  </conditionalFormatting>
  <conditionalFormatting sqref="B2">
    <cfRule type="expression" dxfId="299" priority="298">
      <formula>$Y2="En Proceso"</formula>
    </cfRule>
  </conditionalFormatting>
  <conditionalFormatting sqref="B2">
    <cfRule type="expression" dxfId="298" priority="297">
      <formula>$Y2="En Proceso"</formula>
    </cfRule>
  </conditionalFormatting>
  <conditionalFormatting sqref="B2">
    <cfRule type="expression" dxfId="297" priority="296">
      <formula>$Y2="En Proceso"</formula>
    </cfRule>
  </conditionalFormatting>
  <conditionalFormatting sqref="B2">
    <cfRule type="expression" dxfId="296" priority="295">
      <formula>$Y2="En Proceso"</formula>
    </cfRule>
  </conditionalFormatting>
  <conditionalFormatting sqref="B2">
    <cfRule type="expression" dxfId="295" priority="294">
      <formula>$Y2="En Proceso"</formula>
    </cfRule>
  </conditionalFormatting>
  <conditionalFormatting sqref="B2">
    <cfRule type="expression" dxfId="294" priority="293">
      <formula>$Y2="En Proceso"</formula>
    </cfRule>
  </conditionalFormatting>
  <conditionalFormatting sqref="B2">
    <cfRule type="expression" dxfId="293" priority="292">
      <formula>$Y2="En Proceso"</formula>
    </cfRule>
  </conditionalFormatting>
  <conditionalFormatting sqref="B2">
    <cfRule type="expression" dxfId="292" priority="291">
      <formula>$Y2="En Proceso"</formula>
    </cfRule>
  </conditionalFormatting>
  <conditionalFormatting sqref="B2">
    <cfRule type="expression" dxfId="291" priority="290">
      <formula>$Y2="En Proceso"</formula>
    </cfRule>
  </conditionalFormatting>
  <conditionalFormatting sqref="B2">
    <cfRule type="expression" dxfId="290" priority="289">
      <formula>$Y2="En Proceso"</formula>
    </cfRule>
  </conditionalFormatting>
  <conditionalFormatting sqref="B2">
    <cfRule type="expression" dxfId="289" priority="288">
      <formula>$Y2="En Proceso"</formula>
    </cfRule>
  </conditionalFormatting>
  <conditionalFormatting sqref="B2">
    <cfRule type="expression" dxfId="288" priority="287">
      <formula>$Y2="En Proceso"</formula>
    </cfRule>
  </conditionalFormatting>
  <conditionalFormatting sqref="B2">
    <cfRule type="expression" dxfId="287" priority="286">
      <formula>$Y2="En Proceso"</formula>
    </cfRule>
  </conditionalFormatting>
  <conditionalFormatting sqref="B2">
    <cfRule type="expression" dxfId="286" priority="285">
      <formula>$Y2="En Proceso"</formula>
    </cfRule>
  </conditionalFormatting>
  <conditionalFormatting sqref="B2">
    <cfRule type="expression" dxfId="285" priority="284">
      <formula>$Y2="En Proceso"</formula>
    </cfRule>
  </conditionalFormatting>
  <conditionalFormatting sqref="B2">
    <cfRule type="expression" dxfId="284" priority="283">
      <formula>$Y2="En Proceso"</formula>
    </cfRule>
  </conditionalFormatting>
  <conditionalFormatting sqref="B2">
    <cfRule type="expression" dxfId="283" priority="282">
      <formula>$Y2="En Proceso"</formula>
    </cfRule>
  </conditionalFormatting>
  <conditionalFormatting sqref="B2">
    <cfRule type="expression" dxfId="282" priority="281">
      <formula>$Y2="En Proceso"</formula>
    </cfRule>
  </conditionalFormatting>
  <conditionalFormatting sqref="B2">
    <cfRule type="expression" dxfId="281" priority="280">
      <formula>$Y2="En Proceso"</formula>
    </cfRule>
  </conditionalFormatting>
  <conditionalFormatting sqref="B2">
    <cfRule type="expression" dxfId="280" priority="279">
      <formula>$Y2="En Proceso"</formula>
    </cfRule>
  </conditionalFormatting>
  <conditionalFormatting sqref="B2">
    <cfRule type="expression" dxfId="279" priority="278">
      <formula>$Y2="En Proceso"</formula>
    </cfRule>
  </conditionalFormatting>
  <conditionalFormatting sqref="B2">
    <cfRule type="expression" dxfId="278" priority="277">
      <formula>$Y2="En Proceso"</formula>
    </cfRule>
  </conditionalFormatting>
  <conditionalFormatting sqref="B2">
    <cfRule type="expression" dxfId="277" priority="276">
      <formula>$Y2="En Proceso"</formula>
    </cfRule>
  </conditionalFormatting>
  <conditionalFormatting sqref="B2">
    <cfRule type="expression" dxfId="276" priority="275">
      <formula>$Y2="En Proceso"</formula>
    </cfRule>
  </conditionalFormatting>
  <conditionalFormatting sqref="B2">
    <cfRule type="expression" dxfId="275" priority="274">
      <formula>$Y2="En Proceso"</formula>
    </cfRule>
  </conditionalFormatting>
  <conditionalFormatting sqref="B2">
    <cfRule type="expression" dxfId="274" priority="273">
      <formula>$Y2="En Proceso"</formula>
    </cfRule>
  </conditionalFormatting>
  <conditionalFormatting sqref="B2">
    <cfRule type="expression" dxfId="273" priority="272">
      <formula>$Y2="En Proceso"</formula>
    </cfRule>
  </conditionalFormatting>
  <conditionalFormatting sqref="B2">
    <cfRule type="expression" dxfId="272" priority="271">
      <formula>$Y2="En Proceso"</formula>
    </cfRule>
  </conditionalFormatting>
  <conditionalFormatting sqref="B2">
    <cfRule type="expression" dxfId="271" priority="270">
      <formula>$Y2="En Proceso"</formula>
    </cfRule>
  </conditionalFormatting>
  <conditionalFormatting sqref="B2">
    <cfRule type="expression" dxfId="270" priority="269">
      <formula>$Y2="En Proceso"</formula>
    </cfRule>
  </conditionalFormatting>
  <conditionalFormatting sqref="B2">
    <cfRule type="expression" dxfId="269" priority="268">
      <formula>$Y2="En Proceso"</formula>
    </cfRule>
  </conditionalFormatting>
  <conditionalFormatting sqref="B2">
    <cfRule type="expression" dxfId="268" priority="267">
      <formula>$Y2="En Proceso"</formula>
    </cfRule>
  </conditionalFormatting>
  <conditionalFormatting sqref="B2">
    <cfRule type="expression" dxfId="267" priority="266">
      <formula>$Y2="En Proceso"</formula>
    </cfRule>
  </conditionalFormatting>
  <conditionalFormatting sqref="B2">
    <cfRule type="expression" dxfId="266" priority="265">
      <formula>$Y2="En Proceso"</formula>
    </cfRule>
  </conditionalFormatting>
  <conditionalFormatting sqref="B2">
    <cfRule type="expression" dxfId="265" priority="264">
      <formula>$Y2="En Proceso"</formula>
    </cfRule>
  </conditionalFormatting>
  <conditionalFormatting sqref="B2">
    <cfRule type="expression" dxfId="264" priority="263">
      <formula>$Y2="En Proceso"</formula>
    </cfRule>
  </conditionalFormatting>
  <conditionalFormatting sqref="B2">
    <cfRule type="expression" dxfId="263" priority="262">
      <formula>$Y2="En Proceso"</formula>
    </cfRule>
  </conditionalFormatting>
  <conditionalFormatting sqref="B2">
    <cfRule type="expression" dxfId="262" priority="261">
      <formula>$Y2="En Proceso"</formula>
    </cfRule>
  </conditionalFormatting>
  <conditionalFormatting sqref="B2">
    <cfRule type="expression" dxfId="261" priority="260">
      <formula>$Y2="En Proceso"</formula>
    </cfRule>
  </conditionalFormatting>
  <conditionalFormatting sqref="B2">
    <cfRule type="expression" dxfId="260" priority="259">
      <formula>$Y2="En Proceso"</formula>
    </cfRule>
  </conditionalFormatting>
  <conditionalFormatting sqref="B2">
    <cfRule type="expression" dxfId="259" priority="258">
      <formula>$Y2="En Proceso"</formula>
    </cfRule>
  </conditionalFormatting>
  <conditionalFormatting sqref="B2">
    <cfRule type="expression" dxfId="258" priority="257">
      <formula>$Y2="En Proceso"</formula>
    </cfRule>
  </conditionalFormatting>
  <conditionalFormatting sqref="B2">
    <cfRule type="expression" dxfId="257" priority="256">
      <formula>$Y2="En Proceso"</formula>
    </cfRule>
  </conditionalFormatting>
  <conditionalFormatting sqref="B2">
    <cfRule type="expression" dxfId="256" priority="255">
      <formula>$Y2="En Proceso"</formula>
    </cfRule>
  </conditionalFormatting>
  <conditionalFormatting sqref="B2">
    <cfRule type="expression" dxfId="255" priority="254">
      <formula>$Y2="En Proceso"</formula>
    </cfRule>
  </conditionalFormatting>
  <conditionalFormatting sqref="B2">
    <cfRule type="expression" dxfId="254" priority="253">
      <formula>$Y2="En Proceso"</formula>
    </cfRule>
  </conditionalFormatting>
  <conditionalFormatting sqref="B2">
    <cfRule type="expression" dxfId="253" priority="252">
      <formula>$Y2="En Proceso"</formula>
    </cfRule>
  </conditionalFormatting>
  <conditionalFormatting sqref="B2">
    <cfRule type="expression" dxfId="252" priority="251">
      <formula>$Y2="En Proceso"</formula>
    </cfRule>
  </conditionalFormatting>
  <conditionalFormatting sqref="B2">
    <cfRule type="expression" dxfId="251" priority="250">
      <formula>$Y2="En Proceso"</formula>
    </cfRule>
  </conditionalFormatting>
  <conditionalFormatting sqref="B2">
    <cfRule type="expression" dxfId="250" priority="249">
      <formula>$Y2="En Proceso"</formula>
    </cfRule>
  </conditionalFormatting>
  <conditionalFormatting sqref="B2">
    <cfRule type="expression" dxfId="249" priority="248">
      <formula>$Y2="En Proceso"</formula>
    </cfRule>
  </conditionalFormatting>
  <conditionalFormatting sqref="B2">
    <cfRule type="expression" dxfId="248" priority="247">
      <formula>$Y2="En Proceso"</formula>
    </cfRule>
  </conditionalFormatting>
  <conditionalFormatting sqref="B2">
    <cfRule type="expression" dxfId="247" priority="246">
      <formula>$Y2="En Proceso"</formula>
    </cfRule>
  </conditionalFormatting>
  <conditionalFormatting sqref="B2">
    <cfRule type="expression" dxfId="246" priority="245">
      <formula>$Y2="En Proceso"</formula>
    </cfRule>
  </conditionalFormatting>
  <conditionalFormatting sqref="B2">
    <cfRule type="expression" dxfId="245" priority="244">
      <formula>$Y2="En Proceso"</formula>
    </cfRule>
  </conditionalFormatting>
  <conditionalFormatting sqref="B2">
    <cfRule type="expression" dxfId="244" priority="243">
      <formula>$Y2="En Proceso"</formula>
    </cfRule>
  </conditionalFormatting>
  <conditionalFormatting sqref="B2">
    <cfRule type="expression" dxfId="243" priority="242">
      <formula>$Y2="En Proceso"</formula>
    </cfRule>
  </conditionalFormatting>
  <conditionalFormatting sqref="B2">
    <cfRule type="expression" dxfId="242" priority="241">
      <formula>$Y2="En Proceso"</formula>
    </cfRule>
  </conditionalFormatting>
  <conditionalFormatting sqref="B2">
    <cfRule type="expression" dxfId="241" priority="240">
      <formula>$Y2="En Proceso"</formula>
    </cfRule>
  </conditionalFormatting>
  <conditionalFormatting sqref="B2">
    <cfRule type="expression" dxfId="240" priority="239">
      <formula>$Y2="En Proceso"</formula>
    </cfRule>
  </conditionalFormatting>
  <conditionalFormatting sqref="B2">
    <cfRule type="expression" dxfId="239" priority="238">
      <formula>$Y2="En Proceso"</formula>
    </cfRule>
  </conditionalFormatting>
  <conditionalFormatting sqref="B2">
    <cfRule type="expression" dxfId="238"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7" priority="234"/>
  </conditionalFormatting>
  <conditionalFormatting sqref="N2">
    <cfRule type="cellIs" dxfId="236" priority="231" stopIfTrue="1" operator="equal">
      <formula>"Authorized"</formula>
    </cfRule>
    <cfRule type="cellIs" dxfId="235" priority="232" stopIfTrue="1" operator="equal">
      <formula>"Rejected"</formula>
    </cfRule>
    <cfRule type="cellIs" dxfId="234" priority="233" stopIfTrue="1" operator="equal">
      <formula>"Conditioned"</formula>
    </cfRule>
  </conditionalFormatting>
  <conditionalFormatting sqref="N2">
    <cfRule type="cellIs" dxfId="233" priority="228" stopIfTrue="1" operator="equal">
      <formula>"Authorized"</formula>
    </cfRule>
    <cfRule type="cellIs" dxfId="232" priority="229" stopIfTrue="1" operator="equal">
      <formula>"Rejected"</formula>
    </cfRule>
    <cfRule type="cellIs" dxfId="231" priority="230" stopIfTrue="1" operator="equal">
      <formula>"Conditioned"</formula>
    </cfRule>
  </conditionalFormatting>
  <conditionalFormatting sqref="N2">
    <cfRule type="cellIs" dxfId="230" priority="225" stopIfTrue="1" operator="equal">
      <formula>"Finished"</formula>
    </cfRule>
    <cfRule type="cellIs" dxfId="229" priority="226" stopIfTrue="1" operator="equal">
      <formula>"Cancell"</formula>
    </cfRule>
    <cfRule type="cellIs" dxfId="228" priority="227" stopIfTrue="1" operator="equal">
      <formula>"Reschedule"</formula>
    </cfRule>
  </conditionalFormatting>
  <conditionalFormatting sqref="N2">
    <cfRule type="cellIs" dxfId="227" priority="222" stopIfTrue="1" operator="equal">
      <formula>"Finished"</formula>
    </cfRule>
    <cfRule type="cellIs" dxfId="226" priority="223" stopIfTrue="1" operator="equal">
      <formula>"Canceled"</formula>
    </cfRule>
    <cfRule type="cellIs" dxfId="225" priority="224" stopIfTrue="1" operator="equal">
      <formula>"Rescheduled"</formula>
    </cfRule>
  </conditionalFormatting>
  <conditionalFormatting sqref="N2">
    <cfRule type="cellIs" dxfId="224" priority="219" stopIfTrue="1" operator="equal">
      <formula>"Finished"</formula>
    </cfRule>
    <cfRule type="cellIs" dxfId="223" priority="220" stopIfTrue="1" operator="equal">
      <formula>"Canceled"</formula>
    </cfRule>
    <cfRule type="cellIs" dxfId="222" priority="221" stopIfTrue="1" operator="equal">
      <formula>"Rescheduled"</formula>
    </cfRule>
  </conditionalFormatting>
  <conditionalFormatting sqref="N2">
    <cfRule type="cellIs" dxfId="221" priority="216" stopIfTrue="1" operator="equal">
      <formula>"Authorized"</formula>
    </cfRule>
    <cfRule type="cellIs" dxfId="220" priority="217" stopIfTrue="1" operator="equal">
      <formula>"Rejected"</formula>
    </cfRule>
    <cfRule type="cellIs" dxfId="219" priority="218" stopIfTrue="1" operator="equal">
      <formula>"Conditioned"</formula>
    </cfRule>
  </conditionalFormatting>
  <conditionalFormatting sqref="N2">
    <cfRule type="cellIs" dxfId="218" priority="213" stopIfTrue="1" operator="equal">
      <formula>"Authorized"</formula>
    </cfRule>
    <cfRule type="cellIs" dxfId="217" priority="214" stopIfTrue="1" operator="equal">
      <formula>"Rejected"</formula>
    </cfRule>
    <cfRule type="cellIs" dxfId="216" priority="215" stopIfTrue="1" operator="equal">
      <formula>"Conditioned"</formula>
    </cfRule>
  </conditionalFormatting>
  <conditionalFormatting sqref="N2">
    <cfRule type="cellIs" dxfId="215" priority="210" stopIfTrue="1" operator="equal">
      <formula>"Finished"</formula>
    </cfRule>
    <cfRule type="cellIs" dxfId="214" priority="211" stopIfTrue="1" operator="equal">
      <formula>"Cancell"</formula>
    </cfRule>
    <cfRule type="cellIs" dxfId="213" priority="212" stopIfTrue="1" operator="equal">
      <formula>"Reschedule"</formula>
    </cfRule>
  </conditionalFormatting>
  <conditionalFormatting sqref="N2">
    <cfRule type="cellIs" dxfId="212" priority="207" stopIfTrue="1" operator="equal">
      <formula>"Finished"</formula>
    </cfRule>
    <cfRule type="cellIs" dxfId="211" priority="208" stopIfTrue="1" operator="equal">
      <formula>"Canceled"</formula>
    </cfRule>
    <cfRule type="cellIs" dxfId="210" priority="209" stopIfTrue="1" operator="equal">
      <formula>"Rescheduled"</formula>
    </cfRule>
  </conditionalFormatting>
  <conditionalFormatting sqref="N2">
    <cfRule type="cellIs" dxfId="209" priority="204" stopIfTrue="1" operator="equal">
      <formula>"Finished"</formula>
    </cfRule>
    <cfRule type="cellIs" dxfId="208" priority="205" stopIfTrue="1" operator="equal">
      <formula>"Canceled"</formula>
    </cfRule>
    <cfRule type="cellIs" dxfId="207" priority="206" stopIfTrue="1" operator="equal">
      <formula>"Rescheduled"</formula>
    </cfRule>
  </conditionalFormatting>
  <conditionalFormatting sqref="A2">
    <cfRule type="cellIs" dxfId="206" priority="201" stopIfTrue="1" operator="equal">
      <formula>"Authorized"</formula>
    </cfRule>
    <cfRule type="cellIs" dxfId="205" priority="202" stopIfTrue="1" operator="equal">
      <formula>"Rejected"</formula>
    </cfRule>
    <cfRule type="cellIs" dxfId="204" priority="203" stopIfTrue="1" operator="equal">
      <formula>"Conditioned"</formula>
    </cfRule>
  </conditionalFormatting>
  <conditionalFormatting sqref="A2">
    <cfRule type="cellIs" dxfId="203" priority="198" stopIfTrue="1" operator="equal">
      <formula>"Authorized"</formula>
    </cfRule>
    <cfRule type="cellIs" dxfId="202" priority="199" stopIfTrue="1" operator="equal">
      <formula>"Rejected"</formula>
    </cfRule>
    <cfRule type="cellIs" dxfId="201" priority="200" stopIfTrue="1" operator="equal">
      <formula>"Conditioned"</formula>
    </cfRule>
  </conditionalFormatting>
  <conditionalFormatting sqref="A2">
    <cfRule type="expression" dxfId="200" priority="197">
      <formula>$Y2="En Proceso"</formula>
    </cfRule>
  </conditionalFormatting>
  <conditionalFormatting sqref="A2">
    <cfRule type="expression" dxfId="199" priority="196">
      <formula>$Y2="En Proceso"</formula>
    </cfRule>
  </conditionalFormatting>
  <conditionalFormatting sqref="A2">
    <cfRule type="duplicateValues" dxfId="198" priority="195"/>
  </conditionalFormatting>
  <conditionalFormatting sqref="A2">
    <cfRule type="expression" dxfId="197" priority="194">
      <formula>$Y2="En Proceso"</formula>
    </cfRule>
  </conditionalFormatting>
  <conditionalFormatting sqref="A2">
    <cfRule type="expression" dxfId="196" priority="193">
      <formula>$Y2="En Proceso"</formula>
    </cfRule>
  </conditionalFormatting>
  <conditionalFormatting sqref="A2">
    <cfRule type="expression" dxfId="195" priority="192">
      <formula>$Y2="En Proceso"</formula>
    </cfRule>
  </conditionalFormatting>
  <conditionalFormatting sqref="A2">
    <cfRule type="expression" dxfId="194" priority="191">
      <formula>$Y2="En Proceso"</formula>
    </cfRule>
  </conditionalFormatting>
  <conditionalFormatting sqref="A2">
    <cfRule type="expression" dxfId="193" priority="190">
      <formula>$Y2="En Proceso"</formula>
    </cfRule>
  </conditionalFormatting>
  <conditionalFormatting sqref="A2">
    <cfRule type="expression" dxfId="192" priority="189">
      <formula>$Y2="En Proceso"</formula>
    </cfRule>
  </conditionalFormatting>
  <conditionalFormatting sqref="A2">
    <cfRule type="expression" dxfId="191" priority="188">
      <formula>$Y2="En Proceso"</formula>
    </cfRule>
  </conditionalFormatting>
  <conditionalFormatting sqref="A2">
    <cfRule type="expression" dxfId="190" priority="187">
      <formula>$Y2="En Proceso"</formula>
    </cfRule>
  </conditionalFormatting>
  <conditionalFormatting sqref="A2">
    <cfRule type="expression" dxfId="189" priority="186">
      <formula>$Y2="En Proceso"</formula>
    </cfRule>
  </conditionalFormatting>
  <conditionalFormatting sqref="A2">
    <cfRule type="expression" dxfId="188" priority="185">
      <formula>$Y2="En Proceso"</formula>
    </cfRule>
  </conditionalFormatting>
  <conditionalFormatting sqref="A2">
    <cfRule type="expression" dxfId="187" priority="184">
      <formula>$Y2="En Proceso"</formula>
    </cfRule>
  </conditionalFormatting>
  <conditionalFormatting sqref="A2">
    <cfRule type="expression" dxfId="186" priority="183">
      <formula>$Y2="En Proceso"</formula>
    </cfRule>
  </conditionalFormatting>
  <conditionalFormatting sqref="A2">
    <cfRule type="expression" dxfId="185" priority="182">
      <formula>$Y2="En Proceso"</formula>
    </cfRule>
  </conditionalFormatting>
  <conditionalFormatting sqref="A2">
    <cfRule type="expression" dxfId="184" priority="181">
      <formula>$Y2="En Proceso"</formula>
    </cfRule>
  </conditionalFormatting>
  <conditionalFormatting sqref="A2">
    <cfRule type="duplicateValues" dxfId="183" priority="180"/>
  </conditionalFormatting>
  <conditionalFormatting sqref="A2">
    <cfRule type="duplicateValues" dxfId="182" priority="179"/>
  </conditionalFormatting>
  <conditionalFormatting sqref="A2">
    <cfRule type="duplicateValues" dxfId="181" priority="178"/>
  </conditionalFormatting>
  <conditionalFormatting sqref="A2">
    <cfRule type="expression" dxfId="180" priority="177">
      <formula>$Y2="En Proceso"</formula>
    </cfRule>
  </conditionalFormatting>
  <conditionalFormatting sqref="A2">
    <cfRule type="expression" dxfId="179" priority="176">
      <formula>$Y2="En Proceso"</formula>
    </cfRule>
  </conditionalFormatting>
  <conditionalFormatting sqref="A2">
    <cfRule type="expression" dxfId="178" priority="175">
      <formula>$Y2="En Proceso"</formula>
    </cfRule>
  </conditionalFormatting>
  <conditionalFormatting sqref="A2">
    <cfRule type="expression" dxfId="177" priority="174">
      <formula>$Y2="En Proceso"</formula>
    </cfRule>
  </conditionalFormatting>
  <conditionalFormatting sqref="A2">
    <cfRule type="expression" dxfId="176" priority="173">
      <formula>$Y2="En Proceso"</formula>
    </cfRule>
  </conditionalFormatting>
  <conditionalFormatting sqref="A2">
    <cfRule type="expression" dxfId="175" priority="172">
      <formula>$Y2="En Proceso"</formula>
    </cfRule>
  </conditionalFormatting>
  <conditionalFormatting sqref="A2">
    <cfRule type="expression" dxfId="174" priority="171">
      <formula>$Y2="En Proceso"</formula>
    </cfRule>
  </conditionalFormatting>
  <conditionalFormatting sqref="A2">
    <cfRule type="expression" dxfId="173" priority="170">
      <formula>$Y2="En Proceso"</formula>
    </cfRule>
  </conditionalFormatting>
  <conditionalFormatting sqref="A2">
    <cfRule type="expression" dxfId="172" priority="169">
      <formula>$Y2="En Proceso"</formula>
    </cfRule>
  </conditionalFormatting>
  <conditionalFormatting sqref="A2">
    <cfRule type="expression" dxfId="171" priority="168">
      <formula>$Y2="En Proceso"</formula>
    </cfRule>
  </conditionalFormatting>
  <conditionalFormatting sqref="A2">
    <cfRule type="expression" dxfId="170" priority="167">
      <formula>$Y2="En Proceso"</formula>
    </cfRule>
  </conditionalFormatting>
  <conditionalFormatting sqref="A2">
    <cfRule type="expression" dxfId="169" priority="166">
      <formula>$Y2="En Proceso"</formula>
    </cfRule>
  </conditionalFormatting>
  <conditionalFormatting sqref="A2">
    <cfRule type="expression" dxfId="168" priority="165">
      <formula>$Y2="En Proceso"</formula>
    </cfRule>
  </conditionalFormatting>
  <conditionalFormatting sqref="A2">
    <cfRule type="expression" dxfId="167" priority="164">
      <formula>$Y2="En Proceso"</formula>
    </cfRule>
  </conditionalFormatting>
  <conditionalFormatting sqref="A2">
    <cfRule type="expression" dxfId="166" priority="163">
      <formula>$Y2="En Proceso"</formula>
    </cfRule>
  </conditionalFormatting>
  <conditionalFormatting sqref="A2">
    <cfRule type="expression" dxfId="165" priority="162">
      <formula>$Y2="En Proceso"</formula>
    </cfRule>
  </conditionalFormatting>
  <conditionalFormatting sqref="A2">
    <cfRule type="expression" dxfId="164" priority="161">
      <formula>$Y2="En Proceso"</formula>
    </cfRule>
  </conditionalFormatting>
  <conditionalFormatting sqref="A2">
    <cfRule type="expression" dxfId="163" priority="160">
      <formula>$Y2="En Proceso"</formula>
    </cfRule>
  </conditionalFormatting>
  <conditionalFormatting sqref="A2">
    <cfRule type="expression" dxfId="162" priority="159">
      <formula>$Y2="En Proceso"</formula>
    </cfRule>
  </conditionalFormatting>
  <conditionalFormatting sqref="A2">
    <cfRule type="expression" dxfId="161" priority="158">
      <formula>$Y2="En Proceso"</formula>
    </cfRule>
  </conditionalFormatting>
  <conditionalFormatting sqref="A2">
    <cfRule type="expression" dxfId="160" priority="157">
      <formula>$Y2="En Proceso"</formula>
    </cfRule>
  </conditionalFormatting>
  <conditionalFormatting sqref="A2">
    <cfRule type="expression" dxfId="159" priority="156">
      <formula>$Y2="En Proceso"</formula>
    </cfRule>
  </conditionalFormatting>
  <conditionalFormatting sqref="A2">
    <cfRule type="expression" dxfId="158" priority="155">
      <formula>$Y2="En Proceso"</formula>
    </cfRule>
  </conditionalFormatting>
  <conditionalFormatting sqref="A2">
    <cfRule type="expression" dxfId="157" priority="154">
      <formula>$Y2="En Proceso"</formula>
    </cfRule>
  </conditionalFormatting>
  <conditionalFormatting sqref="A2">
    <cfRule type="expression" dxfId="156" priority="153">
      <formula>$Y2="En Proceso"</formula>
    </cfRule>
  </conditionalFormatting>
  <conditionalFormatting sqref="A2">
    <cfRule type="expression" dxfId="155" priority="152">
      <formula>$Y2="En Proceso"</formula>
    </cfRule>
  </conditionalFormatting>
  <conditionalFormatting sqref="A2">
    <cfRule type="expression" dxfId="154" priority="151">
      <formula>$Y2="En Proceso"</formula>
    </cfRule>
  </conditionalFormatting>
  <conditionalFormatting sqref="A2">
    <cfRule type="expression" dxfId="153" priority="150">
      <formula>$Y2="En Proceso"</formula>
    </cfRule>
  </conditionalFormatting>
  <conditionalFormatting sqref="A2">
    <cfRule type="expression" dxfId="152" priority="149">
      <formula>$Y2="En Proceso"</formula>
    </cfRule>
  </conditionalFormatting>
  <conditionalFormatting sqref="A2">
    <cfRule type="expression" dxfId="151" priority="148">
      <formula>$Y2="En Proceso"</formula>
    </cfRule>
  </conditionalFormatting>
  <conditionalFormatting sqref="A2">
    <cfRule type="expression" dxfId="150" priority="147">
      <formula>$Y2="En Proceso"</formula>
    </cfRule>
  </conditionalFormatting>
  <conditionalFormatting sqref="A2">
    <cfRule type="expression" dxfId="149" priority="146">
      <formula>$Y2="En Proceso"</formula>
    </cfRule>
  </conditionalFormatting>
  <conditionalFormatting sqref="A2">
    <cfRule type="expression" dxfId="148" priority="145">
      <formula>$Y2="En Proceso"</formula>
    </cfRule>
  </conditionalFormatting>
  <conditionalFormatting sqref="A2">
    <cfRule type="expression" dxfId="147" priority="144">
      <formula>$Y2="En Proceso"</formula>
    </cfRule>
  </conditionalFormatting>
  <conditionalFormatting sqref="A2">
    <cfRule type="expression" dxfId="146" priority="143">
      <formula>$Y2="En Proceso"</formula>
    </cfRule>
  </conditionalFormatting>
  <conditionalFormatting sqref="A2">
    <cfRule type="expression" dxfId="145" priority="142">
      <formula>$Y2="En Proceso"</formula>
    </cfRule>
  </conditionalFormatting>
  <conditionalFormatting sqref="A2">
    <cfRule type="expression" dxfId="144" priority="141">
      <formula>$Y2="En Proceso"</formula>
    </cfRule>
  </conditionalFormatting>
  <conditionalFormatting sqref="A2">
    <cfRule type="expression" dxfId="143" priority="140">
      <formula>$Y2="En Proceso"</formula>
    </cfRule>
  </conditionalFormatting>
  <conditionalFormatting sqref="A2">
    <cfRule type="expression" dxfId="142" priority="139">
      <formula>$Y2="En Proceso"</formula>
    </cfRule>
  </conditionalFormatting>
  <conditionalFormatting sqref="A2">
    <cfRule type="expression" dxfId="141" priority="138">
      <formula>$Y2="En Proceso"</formula>
    </cfRule>
  </conditionalFormatting>
  <conditionalFormatting sqref="A2">
    <cfRule type="expression" dxfId="140" priority="137">
      <formula>$Y2="En Proceso"</formula>
    </cfRule>
  </conditionalFormatting>
  <conditionalFormatting sqref="A2">
    <cfRule type="expression" dxfId="139" priority="136">
      <formula>$Y2="En Proceso"</formula>
    </cfRule>
  </conditionalFormatting>
  <conditionalFormatting sqref="A2">
    <cfRule type="expression" dxfId="138" priority="135">
      <formula>$Y2="En Proceso"</formula>
    </cfRule>
  </conditionalFormatting>
  <conditionalFormatting sqref="A2">
    <cfRule type="expression" dxfId="137" priority="134">
      <formula>$Y2="En Proceso"</formula>
    </cfRule>
  </conditionalFormatting>
  <conditionalFormatting sqref="A2">
    <cfRule type="expression" dxfId="136" priority="133">
      <formula>$Y2="En Proceso"</formula>
    </cfRule>
  </conditionalFormatting>
  <conditionalFormatting sqref="A2">
    <cfRule type="expression" dxfId="135" priority="132">
      <formula>$Y2="En Proceso"</formula>
    </cfRule>
  </conditionalFormatting>
  <conditionalFormatting sqref="A2">
    <cfRule type="expression" dxfId="134" priority="131">
      <formula>$Y2="En Proceso"</formula>
    </cfRule>
  </conditionalFormatting>
  <conditionalFormatting sqref="A2">
    <cfRule type="expression" dxfId="133" priority="130">
      <formula>$Y2="En Proceso"</formula>
    </cfRule>
  </conditionalFormatting>
  <conditionalFormatting sqref="A2">
    <cfRule type="expression" dxfId="132" priority="129">
      <formula>$Y2="En Proceso"</formula>
    </cfRule>
  </conditionalFormatting>
  <conditionalFormatting sqref="A2">
    <cfRule type="expression" dxfId="131" priority="128">
      <formula>$Y2="En Proceso"</formula>
    </cfRule>
  </conditionalFormatting>
  <conditionalFormatting sqref="A2">
    <cfRule type="expression" dxfId="130" priority="127">
      <formula>$Y2="En Proceso"</formula>
    </cfRule>
  </conditionalFormatting>
  <conditionalFormatting sqref="A2">
    <cfRule type="expression" dxfId="129" priority="126">
      <formula>$Y2="En Proceso"</formula>
    </cfRule>
  </conditionalFormatting>
  <conditionalFormatting sqref="A2">
    <cfRule type="expression" dxfId="128" priority="125">
      <formula>$Y2="En Proceso"</formula>
    </cfRule>
  </conditionalFormatting>
  <conditionalFormatting sqref="A2">
    <cfRule type="expression" dxfId="127" priority="124">
      <formula>$Y2="En Proceso"</formula>
    </cfRule>
  </conditionalFormatting>
  <conditionalFormatting sqref="A2">
    <cfRule type="expression" dxfId="126" priority="123">
      <formula>$Y2="En Proceso"</formula>
    </cfRule>
  </conditionalFormatting>
  <conditionalFormatting sqref="A2">
    <cfRule type="expression" dxfId="125" priority="122">
      <formula>$Y2="En Proceso"</formula>
    </cfRule>
  </conditionalFormatting>
  <conditionalFormatting sqref="A2">
    <cfRule type="expression" dxfId="124" priority="121">
      <formula>$Y2="En Proceso"</formula>
    </cfRule>
  </conditionalFormatting>
  <conditionalFormatting sqref="A2">
    <cfRule type="expression" dxfId="123" priority="120">
      <formula>$Y2="En Proceso"</formula>
    </cfRule>
  </conditionalFormatting>
  <conditionalFormatting sqref="A2">
    <cfRule type="expression" dxfId="122" priority="119">
      <formula>$Y2="En Proceso"</formula>
    </cfRule>
  </conditionalFormatting>
  <conditionalFormatting sqref="A2">
    <cfRule type="expression" dxfId="121" priority="118">
      <formula>$Y2="En Proceso"</formula>
    </cfRule>
  </conditionalFormatting>
  <conditionalFormatting sqref="A2">
    <cfRule type="expression" dxfId="120" priority="117">
      <formula>$Y2="En Proceso"</formula>
    </cfRule>
  </conditionalFormatting>
  <conditionalFormatting sqref="A2">
    <cfRule type="expression" dxfId="119" priority="116">
      <formula>$Y2="En Proceso"</formula>
    </cfRule>
  </conditionalFormatting>
  <conditionalFormatting sqref="A2">
    <cfRule type="expression" dxfId="118" priority="115">
      <formula>$Y2="En Proceso"</formula>
    </cfRule>
  </conditionalFormatting>
  <conditionalFormatting sqref="A2">
    <cfRule type="expression" dxfId="117" priority="114">
      <formula>$Y2="En Proceso"</formula>
    </cfRule>
  </conditionalFormatting>
  <conditionalFormatting sqref="A2">
    <cfRule type="expression" dxfId="116" priority="113">
      <formula>$Y2="En Proceso"</formula>
    </cfRule>
  </conditionalFormatting>
  <conditionalFormatting sqref="A2">
    <cfRule type="expression" dxfId="115" priority="112">
      <formula>$Y2="En Proceso"</formula>
    </cfRule>
  </conditionalFormatting>
  <conditionalFormatting sqref="A2">
    <cfRule type="expression" dxfId="114" priority="111">
      <formula>$Y2="En Proceso"</formula>
    </cfRule>
  </conditionalFormatting>
  <conditionalFormatting sqref="A2">
    <cfRule type="expression" dxfId="113" priority="110">
      <formula>$Y2="En Proceso"</formula>
    </cfRule>
  </conditionalFormatting>
  <conditionalFormatting sqref="A2">
    <cfRule type="expression" dxfId="112" priority="109">
      <formula>$Y2="En Proceso"</formula>
    </cfRule>
  </conditionalFormatting>
  <conditionalFormatting sqref="A2">
    <cfRule type="expression" dxfId="111" priority="108">
      <formula>$Y2="En Proceso"</formula>
    </cfRule>
  </conditionalFormatting>
  <conditionalFormatting sqref="A2">
    <cfRule type="expression" dxfId="110" priority="107">
      <formula>$Y2="En Proceso"</formula>
    </cfRule>
  </conditionalFormatting>
  <conditionalFormatting sqref="A2">
    <cfRule type="expression" dxfId="109" priority="106">
      <formula>$Y2="En Proceso"</formula>
    </cfRule>
  </conditionalFormatting>
  <conditionalFormatting sqref="A2">
    <cfRule type="expression" dxfId="108" priority="105">
      <formula>$Y2="En Proceso"</formula>
    </cfRule>
  </conditionalFormatting>
  <conditionalFormatting sqref="A2">
    <cfRule type="expression" dxfId="107" priority="104">
      <formula>$Y2="En Proceso"</formula>
    </cfRule>
  </conditionalFormatting>
  <conditionalFormatting sqref="A2">
    <cfRule type="expression" dxfId="106" priority="103">
      <formula>$Y2="En Proceso"</formula>
    </cfRule>
  </conditionalFormatting>
  <conditionalFormatting sqref="A2">
    <cfRule type="expression" dxfId="105" priority="102">
      <formula>$Y2="En Proceso"</formula>
    </cfRule>
  </conditionalFormatting>
  <conditionalFormatting sqref="A2">
    <cfRule type="expression" dxfId="104" priority="101">
      <formula>$Y2="En Proceso"</formula>
    </cfRule>
  </conditionalFormatting>
  <conditionalFormatting sqref="A2">
    <cfRule type="expression" dxfId="103" priority="100">
      <formula>$Y2="En Proceso"</formula>
    </cfRule>
  </conditionalFormatting>
  <conditionalFormatting sqref="A2">
    <cfRule type="expression" dxfId="102" priority="99">
      <formula>$Y2="En Proceso"</formula>
    </cfRule>
  </conditionalFormatting>
  <conditionalFormatting sqref="A2">
    <cfRule type="expression" dxfId="101" priority="98">
      <formula>$Y2="En Proceso"</formula>
    </cfRule>
  </conditionalFormatting>
  <conditionalFormatting sqref="A2">
    <cfRule type="duplicateValues" dxfId="100" priority="97"/>
  </conditionalFormatting>
  <conditionalFormatting sqref="AN2">
    <cfRule type="cellIs" dxfId="99" priority="94" stopIfTrue="1" operator="equal">
      <formula>"Authorized"</formula>
    </cfRule>
    <cfRule type="cellIs" dxfId="98" priority="95" stopIfTrue="1" operator="equal">
      <formula>"Rejected"</formula>
    </cfRule>
    <cfRule type="cellIs" dxfId="97" priority="96" stopIfTrue="1" operator="equal">
      <formula>"Conditioned"</formula>
    </cfRule>
  </conditionalFormatting>
  <conditionalFormatting sqref="AN2">
    <cfRule type="cellIs" dxfId="96" priority="91" stopIfTrue="1" operator="equal">
      <formula>"Authorized"</formula>
    </cfRule>
    <cfRule type="cellIs" dxfId="95" priority="92" stopIfTrue="1" operator="equal">
      <formula>"Rejected"</formula>
    </cfRule>
    <cfRule type="cellIs" dxfId="94" priority="93" stopIfTrue="1" operator="equal">
      <formula>"Conditioned"</formula>
    </cfRule>
  </conditionalFormatting>
  <conditionalFormatting sqref="P2">
    <cfRule type="cellIs" dxfId="93" priority="88" stopIfTrue="1" operator="equal">
      <formula>"Authorized"</formula>
    </cfRule>
    <cfRule type="cellIs" dxfId="92" priority="89" stopIfTrue="1" operator="equal">
      <formula>"Rejected"</formula>
    </cfRule>
    <cfRule type="cellIs" dxfId="91" priority="90" stopIfTrue="1" operator="equal">
      <formula>"Conditioned"</formula>
    </cfRule>
  </conditionalFormatting>
  <conditionalFormatting sqref="P2">
    <cfRule type="cellIs" dxfId="90" priority="85" stopIfTrue="1" operator="equal">
      <formula>"Authorized"</formula>
    </cfRule>
    <cfRule type="cellIs" dxfId="89" priority="86" stopIfTrue="1" operator="equal">
      <formula>"Rejected"</formula>
    </cfRule>
    <cfRule type="cellIs" dxfId="88" priority="87" stopIfTrue="1" operator="equal">
      <formula>"Conditioned"</formula>
    </cfRule>
  </conditionalFormatting>
  <conditionalFormatting sqref="P2">
    <cfRule type="cellIs" dxfId="87" priority="82" stopIfTrue="1" operator="equal">
      <formula>"Finished"</formula>
    </cfRule>
    <cfRule type="cellIs" dxfId="86" priority="83" stopIfTrue="1" operator="equal">
      <formula>"Cancell"</formula>
    </cfRule>
    <cfRule type="cellIs" dxfId="85" priority="84" stopIfTrue="1" operator="equal">
      <formula>"Reschedule"</formula>
    </cfRule>
  </conditionalFormatting>
  <conditionalFormatting sqref="P2">
    <cfRule type="cellIs" dxfId="84" priority="79" stopIfTrue="1" operator="equal">
      <formula>"Finished"</formula>
    </cfRule>
    <cfRule type="cellIs" dxfId="83" priority="80" stopIfTrue="1" operator="equal">
      <formula>"Canceled"</formula>
    </cfRule>
    <cfRule type="cellIs" dxfId="82" priority="81" stopIfTrue="1" operator="equal">
      <formula>"Rescheduled"</formula>
    </cfRule>
  </conditionalFormatting>
  <conditionalFormatting sqref="P2">
    <cfRule type="cellIs" dxfId="81" priority="76" stopIfTrue="1" operator="equal">
      <formula>"Finished"</formula>
    </cfRule>
    <cfRule type="cellIs" dxfId="80" priority="77" stopIfTrue="1" operator="equal">
      <formula>"Canceled"</formula>
    </cfRule>
    <cfRule type="cellIs" dxfId="79" priority="78" stopIfTrue="1" operator="equal">
      <formula>"Rescheduled"</formula>
    </cfRule>
  </conditionalFormatting>
  <conditionalFormatting sqref="P2">
    <cfRule type="cellIs" dxfId="78" priority="73" stopIfTrue="1" operator="equal">
      <formula>"Authorized"</formula>
    </cfRule>
    <cfRule type="cellIs" dxfId="77" priority="74" stopIfTrue="1" operator="equal">
      <formula>"Rejected"</formula>
    </cfRule>
    <cfRule type="cellIs" dxfId="76" priority="75" stopIfTrue="1" operator="equal">
      <formula>"Conditioned"</formula>
    </cfRule>
  </conditionalFormatting>
  <conditionalFormatting sqref="P2">
    <cfRule type="cellIs" dxfId="75" priority="70" stopIfTrue="1" operator="equal">
      <formula>"Authorized"</formula>
    </cfRule>
    <cfRule type="cellIs" dxfId="74" priority="71" stopIfTrue="1" operator="equal">
      <formula>"Rejected"</formula>
    </cfRule>
    <cfRule type="cellIs" dxfId="73" priority="72" stopIfTrue="1" operator="equal">
      <formula>"Conditioned"</formula>
    </cfRule>
  </conditionalFormatting>
  <conditionalFormatting sqref="P2">
    <cfRule type="cellIs" dxfId="72" priority="67" stopIfTrue="1" operator="equal">
      <formula>"Finished"</formula>
    </cfRule>
    <cfRule type="cellIs" dxfId="71" priority="68" stopIfTrue="1" operator="equal">
      <formula>"Cancell"</formula>
    </cfRule>
    <cfRule type="cellIs" dxfId="70" priority="69" stopIfTrue="1" operator="equal">
      <formula>"Reschedule"</formula>
    </cfRule>
  </conditionalFormatting>
  <conditionalFormatting sqref="P2">
    <cfRule type="cellIs" dxfId="69" priority="64" stopIfTrue="1" operator="equal">
      <formula>"Finished"</formula>
    </cfRule>
    <cfRule type="cellIs" dxfId="68" priority="65" stopIfTrue="1" operator="equal">
      <formula>"Canceled"</formula>
    </cfRule>
    <cfRule type="cellIs" dxfId="67" priority="66" stopIfTrue="1" operator="equal">
      <formula>"Rescheduled"</formula>
    </cfRule>
  </conditionalFormatting>
  <conditionalFormatting sqref="P2">
    <cfRule type="cellIs" dxfId="66" priority="61" stopIfTrue="1" operator="equal">
      <formula>"Finished"</formula>
    </cfRule>
    <cfRule type="cellIs" dxfId="65" priority="62" stopIfTrue="1" operator="equal">
      <formula>"Canceled"</formula>
    </cfRule>
    <cfRule type="cellIs" dxfId="64" priority="63" stopIfTrue="1" operator="equal">
      <formula>"Rescheduled"</formula>
    </cfRule>
  </conditionalFormatting>
  <conditionalFormatting sqref="Q2">
    <cfRule type="cellIs" dxfId="63" priority="58" stopIfTrue="1" operator="equal">
      <formula>"Authorized"</formula>
    </cfRule>
    <cfRule type="cellIs" dxfId="62" priority="59" stopIfTrue="1" operator="equal">
      <formula>"Rejected"</formula>
    </cfRule>
    <cfRule type="cellIs" dxfId="61" priority="60" stopIfTrue="1" operator="equal">
      <formula>"Conditioned"</formula>
    </cfRule>
  </conditionalFormatting>
  <conditionalFormatting sqref="Q2">
    <cfRule type="cellIs" dxfId="60" priority="55" stopIfTrue="1" operator="equal">
      <formula>"Authorized"</formula>
    </cfRule>
    <cfRule type="cellIs" dxfId="59" priority="56" stopIfTrue="1" operator="equal">
      <formula>"Rejected"</formula>
    </cfRule>
    <cfRule type="cellIs" dxfId="58" priority="57" stopIfTrue="1" operator="equal">
      <formula>"Conditioned"</formula>
    </cfRule>
  </conditionalFormatting>
  <conditionalFormatting sqref="Q2">
    <cfRule type="cellIs" dxfId="57" priority="52" stopIfTrue="1" operator="equal">
      <formula>"Finished"</formula>
    </cfRule>
    <cfRule type="cellIs" dxfId="56" priority="53" stopIfTrue="1" operator="equal">
      <formula>"Cancell"</formula>
    </cfRule>
    <cfRule type="cellIs" dxfId="55" priority="54" stopIfTrue="1" operator="equal">
      <formula>"Reschedule"</formula>
    </cfRule>
  </conditionalFormatting>
  <conditionalFormatting sqref="Q2">
    <cfRule type="cellIs" dxfId="54" priority="49" stopIfTrue="1" operator="equal">
      <formula>"Finished"</formula>
    </cfRule>
    <cfRule type="cellIs" dxfId="53" priority="50" stopIfTrue="1" operator="equal">
      <formula>"Canceled"</formula>
    </cfRule>
    <cfRule type="cellIs" dxfId="52" priority="51" stopIfTrue="1" operator="equal">
      <formula>"Rescheduled"</formula>
    </cfRule>
  </conditionalFormatting>
  <conditionalFormatting sqref="Q2">
    <cfRule type="cellIs" dxfId="51" priority="46" stopIfTrue="1" operator="equal">
      <formula>"Finished"</formula>
    </cfRule>
    <cfRule type="cellIs" dxfId="50" priority="47" stopIfTrue="1" operator="equal">
      <formula>"Canceled"</formula>
    </cfRule>
    <cfRule type="cellIs" dxfId="49" priority="48" stopIfTrue="1" operator="equal">
      <formula>"Rescheduled"</formula>
    </cfRule>
  </conditionalFormatting>
  <conditionalFormatting sqref="Q2">
    <cfRule type="cellIs" dxfId="48" priority="43" stopIfTrue="1" operator="equal">
      <formula>"Authorized"</formula>
    </cfRule>
    <cfRule type="cellIs" dxfId="47" priority="44" stopIfTrue="1" operator="equal">
      <formula>"Rejected"</formula>
    </cfRule>
    <cfRule type="cellIs" dxfId="46" priority="45" stopIfTrue="1" operator="equal">
      <formula>"Conditioned"</formula>
    </cfRule>
  </conditionalFormatting>
  <conditionalFormatting sqref="Q2">
    <cfRule type="cellIs" dxfId="45" priority="40" stopIfTrue="1" operator="equal">
      <formula>"Authorized"</formula>
    </cfRule>
    <cfRule type="cellIs" dxfId="44" priority="41" stopIfTrue="1" operator="equal">
      <formula>"Rejected"</formula>
    </cfRule>
    <cfRule type="cellIs" dxfId="43" priority="42" stopIfTrue="1" operator="equal">
      <formula>"Conditioned"</formula>
    </cfRule>
  </conditionalFormatting>
  <conditionalFormatting sqref="Q2">
    <cfRule type="cellIs" dxfId="42" priority="37" stopIfTrue="1" operator="equal">
      <formula>"Finished"</formula>
    </cfRule>
    <cfRule type="cellIs" dxfId="41" priority="38" stopIfTrue="1" operator="equal">
      <formula>"Cancell"</formula>
    </cfRule>
    <cfRule type="cellIs" dxfId="40" priority="39" stopIfTrue="1" operator="equal">
      <formula>"Reschedule"</formula>
    </cfRule>
  </conditionalFormatting>
  <conditionalFormatting sqref="Q2">
    <cfRule type="cellIs" dxfId="39" priority="34" stopIfTrue="1" operator="equal">
      <formula>"Finished"</formula>
    </cfRule>
    <cfRule type="cellIs" dxfId="38" priority="35" stopIfTrue="1" operator="equal">
      <formula>"Canceled"</formula>
    </cfRule>
    <cfRule type="cellIs" dxfId="37" priority="36" stopIfTrue="1" operator="equal">
      <formula>"Rescheduled"</formula>
    </cfRule>
  </conditionalFormatting>
  <conditionalFormatting sqref="Q2">
    <cfRule type="cellIs" dxfId="36" priority="31" stopIfTrue="1" operator="equal">
      <formula>"Finished"</formula>
    </cfRule>
    <cfRule type="cellIs" dxfId="35" priority="32" stopIfTrue="1" operator="equal">
      <formula>"Canceled"</formula>
    </cfRule>
    <cfRule type="cellIs" dxfId="34" priority="33" stopIfTrue="1" operator="equal">
      <formula>"Rescheduled"</formula>
    </cfRule>
  </conditionalFormatting>
  <conditionalFormatting sqref="T2">
    <cfRule type="cellIs" dxfId="33" priority="28" stopIfTrue="1" operator="equal">
      <formula>"Authorized"</formula>
    </cfRule>
    <cfRule type="cellIs" dxfId="32" priority="29" stopIfTrue="1" operator="equal">
      <formula>"Rejected"</formula>
    </cfRule>
    <cfRule type="cellIs" dxfId="31" priority="30" stopIfTrue="1" operator="equal">
      <formula>"Conditioned"</formula>
    </cfRule>
  </conditionalFormatting>
  <conditionalFormatting sqref="T2">
    <cfRule type="cellIs" dxfId="30" priority="25" stopIfTrue="1" operator="equal">
      <formula>"Authorized"</formula>
    </cfRule>
    <cfRule type="cellIs" dxfId="29" priority="26" stopIfTrue="1" operator="equal">
      <formula>"Rejected"</formula>
    </cfRule>
    <cfRule type="cellIs" dxfId="28" priority="27" stopIfTrue="1" operator="equal">
      <formula>"Conditioned"</formula>
    </cfRule>
  </conditionalFormatting>
  <conditionalFormatting sqref="BA2 AV2:AY2">
    <cfRule type="cellIs" dxfId="27" priority="22" stopIfTrue="1" operator="equal">
      <formula>"Authorized"</formula>
    </cfRule>
    <cfRule type="cellIs" dxfId="26" priority="23" stopIfTrue="1" operator="equal">
      <formula>"Rejected"</formula>
    </cfRule>
    <cfRule type="cellIs" dxfId="25" priority="24" stopIfTrue="1" operator="equal">
      <formula>"Conditioned"</formula>
    </cfRule>
  </conditionalFormatting>
  <conditionalFormatting sqref="BA2 AV2:AY2">
    <cfRule type="cellIs" dxfId="24" priority="19" stopIfTrue="1" operator="equal">
      <formula>"Authorized"</formula>
    </cfRule>
    <cfRule type="cellIs" dxfId="23" priority="20" stopIfTrue="1" operator="equal">
      <formula>"Rejected"</formula>
    </cfRule>
    <cfRule type="cellIs" dxfId="22" priority="21" stopIfTrue="1" operator="equal">
      <formula>"Conditioned"</formula>
    </cfRule>
  </conditionalFormatting>
  <conditionalFormatting sqref="AV2:AY2">
    <cfRule type="cellIs" dxfId="21" priority="16" stopIfTrue="1" operator="equal">
      <formula>"Finished"</formula>
    </cfRule>
    <cfRule type="cellIs" dxfId="20" priority="17" stopIfTrue="1" operator="equal">
      <formula>"Cancell"</formula>
    </cfRule>
    <cfRule type="cellIs" dxfId="19" priority="18" stopIfTrue="1" operator="equal">
      <formula>"Reschedule"</formula>
    </cfRule>
  </conditionalFormatting>
  <conditionalFormatting sqref="AV2:AY2">
    <cfRule type="cellIs" dxfId="18" priority="13" stopIfTrue="1" operator="equal">
      <formula>"Finished"</formula>
    </cfRule>
    <cfRule type="cellIs" dxfId="17" priority="14" stopIfTrue="1" operator="equal">
      <formula>"Canceled"</formula>
    </cfRule>
    <cfRule type="cellIs" dxfId="16" priority="15" stopIfTrue="1" operator="equal">
      <formula>"Rescheduled"</formula>
    </cfRule>
  </conditionalFormatting>
  <conditionalFormatting sqref="AV2:AY2">
    <cfRule type="cellIs" dxfId="15" priority="10" stopIfTrue="1" operator="equal">
      <formula>"Finished"</formula>
    </cfRule>
    <cfRule type="cellIs" dxfId="14" priority="11" stopIfTrue="1" operator="equal">
      <formula>"Canceled"</formula>
    </cfRule>
    <cfRule type="cellIs" dxfId="13" priority="12" stopIfTrue="1" operator="equal">
      <formula>"Rescheduled"</formula>
    </cfRule>
  </conditionalFormatting>
  <conditionalFormatting sqref="AV2:AY2">
    <cfRule type="cellIs" dxfId="12" priority="1" stopIfTrue="1" operator="equal">
      <formula>"Finished"</formula>
    </cfRule>
    <cfRule type="cellIs" dxfId="11" priority="2" stopIfTrue="1" operator="equal">
      <formula>"Cancell"</formula>
    </cfRule>
    <cfRule type="cellIs" dxfId="10" priority="3" stopIfTrue="1" operator="equal">
      <formula>"Reschedule"</formula>
    </cfRule>
    <cfRule type="cellIs" dxfId="9" priority="4" stopIfTrue="1" operator="equal">
      <formula>"Finished"</formula>
    </cfRule>
    <cfRule type="cellIs" dxfId="8" priority="5" stopIfTrue="1" operator="equal">
      <formula>"Canceled"</formula>
    </cfRule>
    <cfRule type="cellIs" dxfId="7" priority="6" stopIfTrue="1" operator="equal">
      <formula>"Rescheduled"</formula>
    </cfRule>
    <cfRule type="cellIs" dxfId="6" priority="7" stopIfTrue="1" operator="equal">
      <formula>"Finished"</formula>
    </cfRule>
    <cfRule type="cellIs" dxfId="5" priority="8" stopIfTrue="1" operator="equal">
      <formula>"Canceled"</formula>
    </cfRule>
    <cfRule type="cellIs" dxfId="4"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CIs!Print_Area</vt:lpstr>
      <vt:lpstr>'Guia de llenado'!Print_Area</vt:lpstr>
      <vt:lpstr>IGC!Print_Area</vt:lpstr>
      <vt:lpstr>'Matriz de comunicación'!Print_Area</vt:lpstr>
      <vt:lpstr>Plan!Print_Area</vt:lpstr>
      <vt:lpstr>IGC!Print_Titles</vt:lpstr>
      <vt:lpstr>Plan!Print_Titles</vt:lpstr>
      <vt:lpstr>SELECCION1</vt:lpstr>
      <vt:lpstr>SELECCION10</vt:lpstr>
      <vt:lpstr>SELECCION11</vt:lpstr>
      <vt:lpstr>SELECCION2</vt:lpstr>
      <vt:lpstr>SELECCION4</vt:lpstr>
      <vt:lpstr>SELECCION5</vt:lpstr>
      <vt:lpstr>SELECCION6</vt:lpstr>
      <vt:lpstr>SELECCION7</vt:lpstr>
      <vt:lpstr>SELECCION8</vt:lpstr>
      <vt:lpstr>SELECCION9</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ADIEL JACOB GARCIA GARCIA</cp:lastModifiedBy>
  <cp:lastPrinted>2017-12-20T00:11:08Z</cp:lastPrinted>
  <dcterms:created xsi:type="dcterms:W3CDTF">2015-10-24T16:41:04Z</dcterms:created>
  <dcterms:modified xsi:type="dcterms:W3CDTF">2020-07-12T02:55:16Z</dcterms:modified>
</cp:coreProperties>
</file>