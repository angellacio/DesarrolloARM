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99.90.24.220\LibretaFolios\RFCs\Instalar Cliente Informix\"/>
    </mc:Choice>
  </mc:AlternateContent>
  <bookViews>
    <workbookView xWindow="0" yWindow="0" windowWidth="20355" windowHeight="4845" activeTab="1"/>
  </bookViews>
  <sheets>
    <sheet name="IGC" sheetId="1" r:id="rId1"/>
    <sheet name="CIs" sheetId="2" r:id="rId2"/>
    <sheet name="Plan" sheetId="3" r:id="rId3"/>
    <sheet name="Matriz de comunicación" sheetId="4" r:id="rId4"/>
    <sheet name="Anexos" sheetId="8" r:id="rId5"/>
    <sheet name="Guia de llenado" sheetId="6" r:id="rId6"/>
    <sheet name="FSC" sheetId="7" state="hidden" r:id="rId7"/>
  </sheets>
  <externalReferences>
    <externalReference r:id="rId8"/>
  </externalReferences>
  <definedNames>
    <definedName name="_xlnm._FilterDatabase" localSheetId="3" hidden="1">'Matriz de comunicación'!#REF!</definedName>
    <definedName name="BGOB" localSheetId="5">'[1]Matriz de comunicación'!$K$17:$K$40</definedName>
    <definedName name="BGOB">'Matriz de comunicación'!$K$10:$K$33</definedName>
    <definedName name="BPlan" localSheetId="5">[1]Plan!$C$6:$F$201</definedName>
    <definedName name="BPlan">Plan!$C$6:$F$201</definedName>
    <definedName name="BTEAMS" localSheetId="5">[1]Plan!$Q$4:$Q$50</definedName>
    <definedName name="BTEAMS">Plan!$Q$4:$Q$23</definedName>
    <definedName name="BVT" localSheetId="5">[1]Plan!$C$6:$F$201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5">[1]IGC!#REF!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5">'Guia de llenado'!$B$11:$C$86</definedName>
    <definedName name="_xlnm.Print_Area" localSheetId="0">IGC!$B$2:$E$33</definedName>
    <definedName name="_xlnm.Print_Area" localSheetId="3">'Matriz de comunicación'!$B$2:$E$35</definedName>
    <definedName name="_xlnm.Print_Area" localSheetId="2">Plan!$A$1:$M$204</definedName>
    <definedName name="_xlnm.Print_Titles" localSheetId="1">CIs!#REF!</definedName>
    <definedName name="_xlnm.Print_Titles" localSheetId="5">'Guia de llenado'!#REF!</definedName>
    <definedName name="_xlnm.Print_Titles" localSheetId="0">IGC!$2:$4</definedName>
    <definedName name="_xlnm.Print_Titles" localSheetId="2">Plan!$2:$3</definedName>
    <definedName name="SELECCION1" localSheetId="5">'[1]Matriz de comunicación'!$B$19</definedName>
    <definedName name="SELECCION1">'Matriz de comunicación'!$B$12</definedName>
    <definedName name="SELECCION10" localSheetId="5">'[1]Matriz de comunicación'!$B$28</definedName>
    <definedName name="SELECCION10">'Matriz de comunicación'!$B$21</definedName>
    <definedName name="SELECCION11">'Matriz de comunicación'!$B$4</definedName>
    <definedName name="SELECCION12" localSheetId="5">'[1]Matriz de comunicación'!$B$8</definedName>
    <definedName name="SELECCION12">'Matriz de comunicación'!#REF!</definedName>
    <definedName name="SELECCION13" localSheetId="5">'[1]Matriz de comunicación'!$B$9</definedName>
    <definedName name="SELECCION13">'Matriz de comunicación'!#REF!</definedName>
    <definedName name="SELECCION14" localSheetId="5">'[1]Matriz de comunicación'!$B$10</definedName>
    <definedName name="SELECCION14">'Matriz de comunicación'!#REF!</definedName>
    <definedName name="SELECCION15" localSheetId="5">'[1]Matriz de comunicación'!$B$11</definedName>
    <definedName name="SELECCION15">'Matriz de comunicación'!#REF!</definedName>
    <definedName name="SELECCION16" localSheetId="5">'[1]Matriz de comunicación'!$B$12</definedName>
    <definedName name="SELECCION16">'Matriz de comunicación'!#REF!</definedName>
    <definedName name="SELECCION2" localSheetId="5">'[1]Matriz de comunicación'!$B$20</definedName>
    <definedName name="SELECCION2">'Matriz de comunicación'!$B$13</definedName>
    <definedName name="SELECCION3" localSheetId="5">'[1]Matriz de comunicación'!$B$21</definedName>
    <definedName name="SELECCION3">'Matriz de comunicación'!$B$14</definedName>
    <definedName name="SELECCION4" localSheetId="5">'[1]Matriz de comunicación'!$B$22</definedName>
    <definedName name="SELECCION4">'Matriz de comunicación'!$B$15</definedName>
    <definedName name="SELECCION5" localSheetId="5">'[1]Matriz de comunicación'!$B$23</definedName>
    <definedName name="SELECCION5">'Matriz de comunicación'!$B$16</definedName>
    <definedName name="SELECCION6" localSheetId="5">'[1]Matriz de comunicación'!$B$24</definedName>
    <definedName name="SELECCION6">'Matriz de comunicación'!$B$17</definedName>
    <definedName name="SELECCION7" localSheetId="5">'[1]Matriz de comunicación'!$B$25</definedName>
    <definedName name="SELECCION7">'Matriz de comunicación'!$B$18</definedName>
    <definedName name="SELECCION8" localSheetId="5">'[1]Matriz de comunicación'!$B$26</definedName>
    <definedName name="SELECCION8">'Matriz de comunicación'!$B$19</definedName>
    <definedName name="SELECCION9" localSheetId="5">'[1]Matriz de comunicación'!$B$27</definedName>
    <definedName name="SELECCION9">'Matriz de comunicación'!$B$20</definedName>
    <definedName name="SELECION3">'Matriz de comunicación'!$B$14</definedName>
    <definedName name="TPARTICIPA" localSheetId="5">[1]Plan!$R$4:$S$202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5"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V2" i="7" l="1"/>
  <c r="AP2" i="7"/>
  <c r="AI2" i="7"/>
  <c r="AD2" i="7"/>
  <c r="AC2" i="7"/>
  <c r="V2" i="7"/>
  <c r="T2" i="7"/>
  <c r="R2" i="7"/>
  <c r="Q2" i="7"/>
  <c r="P2" i="7"/>
  <c r="N2" i="7"/>
  <c r="K2" i="7"/>
  <c r="E2" i="7"/>
  <c r="A2" i="7"/>
  <c r="AI33" i="4"/>
  <c r="AH33" i="4"/>
  <c r="AG33" i="4"/>
  <c r="AF33" i="4"/>
  <c r="AE33" i="4"/>
  <c r="AD33" i="4"/>
  <c r="AC33" i="4"/>
  <c r="AB33" i="4"/>
  <c r="AA33" i="4"/>
  <c r="Z33" i="4"/>
  <c r="Y33" i="4"/>
  <c r="X33" i="4"/>
  <c r="W33" i="4"/>
  <c r="V33" i="4"/>
  <c r="U33" i="4"/>
  <c r="T33" i="4"/>
  <c r="S33" i="4"/>
  <c r="R33" i="4"/>
  <c r="Q33" i="4"/>
  <c r="P33" i="4"/>
  <c r="O33" i="4"/>
  <c r="N33" i="4"/>
  <c r="M33" i="4"/>
  <c r="L33" i="4"/>
  <c r="K33" i="4"/>
  <c r="AI32" i="4"/>
  <c r="AH32" i="4"/>
  <c r="AG32" i="4"/>
  <c r="AF32" i="4"/>
  <c r="AE32" i="4"/>
  <c r="AD32" i="4"/>
  <c r="AC32" i="4"/>
  <c r="AB32" i="4"/>
  <c r="AA32" i="4"/>
  <c r="Z32" i="4"/>
  <c r="Y32" i="4"/>
  <c r="X32" i="4"/>
  <c r="W32" i="4"/>
  <c r="V32" i="4"/>
  <c r="U32" i="4"/>
  <c r="T32" i="4"/>
  <c r="S32" i="4"/>
  <c r="R32" i="4"/>
  <c r="Q32" i="4"/>
  <c r="P32" i="4"/>
  <c r="O32" i="4"/>
  <c r="N32" i="4"/>
  <c r="M32" i="4"/>
  <c r="L32" i="4"/>
  <c r="K32" i="4"/>
  <c r="AI31" i="4"/>
  <c r="AH31" i="4"/>
  <c r="AG31" i="4"/>
  <c r="AF31" i="4"/>
  <c r="AE31" i="4"/>
  <c r="AD31" i="4"/>
  <c r="AC31" i="4"/>
  <c r="AB31" i="4"/>
  <c r="AA31" i="4"/>
  <c r="Z31" i="4"/>
  <c r="Y31" i="4"/>
  <c r="X31" i="4"/>
  <c r="W31" i="4"/>
  <c r="V31" i="4"/>
  <c r="U31" i="4"/>
  <c r="T31" i="4"/>
  <c r="S31" i="4"/>
  <c r="R31" i="4"/>
  <c r="Q31" i="4"/>
  <c r="P31" i="4"/>
  <c r="O31" i="4"/>
  <c r="N31" i="4"/>
  <c r="M31" i="4"/>
  <c r="L31" i="4"/>
  <c r="K31" i="4"/>
  <c r="AI30" i="4"/>
  <c r="AH30" i="4"/>
  <c r="AG30" i="4"/>
  <c r="AF30" i="4"/>
  <c r="AE30" i="4"/>
  <c r="AD30" i="4"/>
  <c r="AC30" i="4"/>
  <c r="AB30" i="4"/>
  <c r="AA30" i="4"/>
  <c r="Z30" i="4"/>
  <c r="Y30" i="4"/>
  <c r="X30" i="4"/>
  <c r="W30" i="4"/>
  <c r="V30" i="4"/>
  <c r="U30" i="4"/>
  <c r="T30" i="4"/>
  <c r="S30" i="4"/>
  <c r="R30" i="4"/>
  <c r="Q30" i="4"/>
  <c r="P30" i="4"/>
  <c r="O30" i="4"/>
  <c r="N30" i="4"/>
  <c r="M30" i="4"/>
  <c r="L30" i="4"/>
  <c r="K30" i="4"/>
  <c r="AI29" i="4"/>
  <c r="AH29" i="4"/>
  <c r="AG29" i="4"/>
  <c r="AF29" i="4"/>
  <c r="AE29" i="4"/>
  <c r="AD29" i="4"/>
  <c r="AC29" i="4"/>
  <c r="AB29" i="4"/>
  <c r="AA29" i="4"/>
  <c r="Z29" i="4"/>
  <c r="Y29" i="4"/>
  <c r="X29" i="4"/>
  <c r="W29" i="4"/>
  <c r="V29" i="4"/>
  <c r="U29" i="4"/>
  <c r="T29" i="4"/>
  <c r="S29" i="4"/>
  <c r="R29" i="4"/>
  <c r="Q29" i="4"/>
  <c r="P29" i="4"/>
  <c r="O29" i="4"/>
  <c r="N29" i="4"/>
  <c r="M29" i="4"/>
  <c r="L29" i="4"/>
  <c r="K29" i="4"/>
  <c r="AI28" i="4"/>
  <c r="AH28" i="4"/>
  <c r="AG28" i="4"/>
  <c r="AF28" i="4"/>
  <c r="AE28" i="4"/>
  <c r="AD28" i="4"/>
  <c r="AC28" i="4"/>
  <c r="AB28" i="4"/>
  <c r="AA28" i="4"/>
  <c r="Z28" i="4"/>
  <c r="Y28" i="4"/>
  <c r="X28" i="4"/>
  <c r="W28" i="4"/>
  <c r="V28" i="4"/>
  <c r="U28" i="4"/>
  <c r="T28" i="4"/>
  <c r="S28" i="4"/>
  <c r="R28" i="4"/>
  <c r="Q28" i="4"/>
  <c r="P28" i="4"/>
  <c r="O28" i="4"/>
  <c r="N28" i="4"/>
  <c r="M28" i="4"/>
  <c r="L28" i="4"/>
  <c r="K28" i="4"/>
  <c r="AI27" i="4"/>
  <c r="AH27" i="4"/>
  <c r="AG27" i="4"/>
  <c r="AF27" i="4"/>
  <c r="AE27" i="4"/>
  <c r="AD27" i="4"/>
  <c r="AC27" i="4"/>
  <c r="AB27" i="4"/>
  <c r="AA27" i="4"/>
  <c r="Z27" i="4"/>
  <c r="Y27" i="4"/>
  <c r="X27" i="4"/>
  <c r="W27" i="4"/>
  <c r="V27" i="4"/>
  <c r="U27" i="4"/>
  <c r="T27" i="4"/>
  <c r="S27" i="4"/>
  <c r="R27" i="4"/>
  <c r="Q27" i="4"/>
  <c r="P27" i="4"/>
  <c r="O27" i="4"/>
  <c r="N27" i="4"/>
  <c r="M27" i="4"/>
  <c r="L27" i="4"/>
  <c r="K27" i="4"/>
  <c r="AI26" i="4"/>
  <c r="AH26" i="4"/>
  <c r="AG26" i="4"/>
  <c r="AF26" i="4"/>
  <c r="AE26" i="4"/>
  <c r="AD26" i="4"/>
  <c r="AC26" i="4"/>
  <c r="AB26" i="4"/>
  <c r="AA26" i="4"/>
  <c r="Z26" i="4"/>
  <c r="Y26" i="4"/>
  <c r="X26" i="4"/>
  <c r="W26" i="4"/>
  <c r="V26" i="4"/>
  <c r="U26" i="4"/>
  <c r="T26" i="4"/>
  <c r="S26" i="4"/>
  <c r="R26" i="4"/>
  <c r="Q26" i="4"/>
  <c r="P26" i="4"/>
  <c r="O26" i="4"/>
  <c r="N26" i="4"/>
  <c r="M26" i="4"/>
  <c r="L26" i="4"/>
  <c r="K26" i="4"/>
  <c r="AI25" i="4"/>
  <c r="AH25" i="4"/>
  <c r="AG25" i="4"/>
  <c r="AF25" i="4"/>
  <c r="AE25" i="4"/>
  <c r="AD25" i="4"/>
  <c r="AC25" i="4"/>
  <c r="AB25" i="4"/>
  <c r="AA25" i="4"/>
  <c r="Z25" i="4"/>
  <c r="Y25" i="4"/>
  <c r="X25" i="4"/>
  <c r="W25" i="4"/>
  <c r="V25" i="4"/>
  <c r="U25" i="4"/>
  <c r="T25" i="4"/>
  <c r="S25" i="4"/>
  <c r="R25" i="4"/>
  <c r="Q25" i="4"/>
  <c r="P25" i="4"/>
  <c r="O25" i="4"/>
  <c r="N25" i="4"/>
  <c r="M25" i="4"/>
  <c r="L25" i="4"/>
  <c r="K25" i="4"/>
  <c r="AI24" i="4"/>
  <c r="AH24" i="4"/>
  <c r="AG24" i="4"/>
  <c r="AF24" i="4"/>
  <c r="AE24" i="4"/>
  <c r="AD24" i="4"/>
  <c r="AC24" i="4"/>
  <c r="AB24" i="4"/>
  <c r="AA24" i="4"/>
  <c r="Z24" i="4"/>
  <c r="Y24" i="4"/>
  <c r="X24" i="4"/>
  <c r="W24" i="4"/>
  <c r="V24" i="4"/>
  <c r="U24" i="4"/>
  <c r="T24" i="4"/>
  <c r="S24" i="4"/>
  <c r="R24" i="4"/>
  <c r="Q24" i="4"/>
  <c r="P24" i="4"/>
  <c r="O24" i="4"/>
  <c r="N24" i="4"/>
  <c r="M24" i="4"/>
  <c r="L24" i="4"/>
  <c r="K24" i="4"/>
  <c r="AI23" i="4"/>
  <c r="AH23" i="4"/>
  <c r="AG23" i="4"/>
  <c r="AF23" i="4"/>
  <c r="AE23" i="4"/>
  <c r="AD23" i="4"/>
  <c r="AC23" i="4"/>
  <c r="AB23" i="4"/>
  <c r="AA23" i="4"/>
  <c r="Z23" i="4"/>
  <c r="Y23" i="4"/>
  <c r="X23" i="4"/>
  <c r="W23" i="4"/>
  <c r="V23" i="4"/>
  <c r="U23" i="4"/>
  <c r="T23" i="4"/>
  <c r="S23" i="4"/>
  <c r="R23" i="4"/>
  <c r="Q23" i="4"/>
  <c r="P23" i="4"/>
  <c r="O23" i="4"/>
  <c r="N23" i="4"/>
  <c r="M23" i="4"/>
  <c r="L23" i="4"/>
  <c r="K23" i="4"/>
  <c r="AI22" i="4"/>
  <c r="AH22" i="4"/>
  <c r="AG22" i="4"/>
  <c r="AF22" i="4"/>
  <c r="AE22" i="4"/>
  <c r="AD22" i="4"/>
  <c r="AC22" i="4"/>
  <c r="AB22" i="4"/>
  <c r="AA22" i="4"/>
  <c r="Z22" i="4"/>
  <c r="Y22" i="4"/>
  <c r="X22" i="4"/>
  <c r="W22" i="4"/>
  <c r="V22" i="4"/>
  <c r="U22" i="4"/>
  <c r="T22" i="4"/>
  <c r="S22" i="4"/>
  <c r="R22" i="4"/>
  <c r="Q22" i="4"/>
  <c r="P22" i="4"/>
  <c r="O22" i="4"/>
  <c r="N22" i="4"/>
  <c r="M22" i="4"/>
  <c r="L22" i="4"/>
  <c r="K22" i="4"/>
  <c r="AI21" i="4"/>
  <c r="AH21" i="4"/>
  <c r="AG21" i="4"/>
  <c r="AF21" i="4"/>
  <c r="AE21" i="4"/>
  <c r="AD21" i="4"/>
  <c r="AC21" i="4"/>
  <c r="AB21" i="4"/>
  <c r="AA21" i="4"/>
  <c r="Z21" i="4"/>
  <c r="Y21" i="4"/>
  <c r="X21" i="4"/>
  <c r="W21" i="4"/>
  <c r="V21" i="4"/>
  <c r="U21" i="4"/>
  <c r="T21" i="4"/>
  <c r="S21" i="4"/>
  <c r="R21" i="4"/>
  <c r="Q21" i="4"/>
  <c r="P21" i="4"/>
  <c r="O21" i="4"/>
  <c r="N21" i="4"/>
  <c r="M21" i="4"/>
  <c r="L21" i="4"/>
  <c r="K21" i="4"/>
  <c r="G21" i="4"/>
  <c r="H21" i="4" s="1"/>
  <c r="I21" i="4" s="1"/>
  <c r="AI20" i="4"/>
  <c r="AH20" i="4"/>
  <c r="AG20" i="4"/>
  <c r="AF20" i="4"/>
  <c r="AE20" i="4"/>
  <c r="AD20" i="4"/>
  <c r="AC20" i="4"/>
  <c r="AB20" i="4"/>
  <c r="AA20" i="4"/>
  <c r="Z20" i="4"/>
  <c r="Y20" i="4"/>
  <c r="X20" i="4"/>
  <c r="W20" i="4"/>
  <c r="V20" i="4"/>
  <c r="U20" i="4"/>
  <c r="T20" i="4"/>
  <c r="S20" i="4"/>
  <c r="R20" i="4"/>
  <c r="Q20" i="4"/>
  <c r="P20" i="4"/>
  <c r="O20" i="4"/>
  <c r="N20" i="4"/>
  <c r="M20" i="4"/>
  <c r="L20" i="4"/>
  <c r="K20" i="4"/>
  <c r="G20" i="4"/>
  <c r="H20" i="4" s="1"/>
  <c r="I20" i="4" s="1"/>
  <c r="AI19" i="4"/>
  <c r="AH19" i="4"/>
  <c r="AG19" i="4"/>
  <c r="AF19" i="4"/>
  <c r="AE19" i="4"/>
  <c r="AD19" i="4"/>
  <c r="AC19" i="4"/>
  <c r="AB19" i="4"/>
  <c r="AA19" i="4"/>
  <c r="Z19" i="4"/>
  <c r="Y19" i="4"/>
  <c r="X19" i="4"/>
  <c r="W19" i="4"/>
  <c r="V19" i="4"/>
  <c r="U19" i="4"/>
  <c r="T19" i="4"/>
  <c r="S19" i="4"/>
  <c r="R19" i="4"/>
  <c r="Q19" i="4"/>
  <c r="P19" i="4"/>
  <c r="O19" i="4"/>
  <c r="N19" i="4"/>
  <c r="M19" i="4"/>
  <c r="L19" i="4"/>
  <c r="K19" i="4"/>
  <c r="G19" i="4"/>
  <c r="H19" i="4" s="1"/>
  <c r="I19" i="4" s="1"/>
  <c r="AI18" i="4"/>
  <c r="AH18" i="4"/>
  <c r="AG18" i="4"/>
  <c r="AF18" i="4"/>
  <c r="AE18" i="4"/>
  <c r="AD18" i="4"/>
  <c r="AC18" i="4"/>
  <c r="AB18" i="4"/>
  <c r="AA18" i="4"/>
  <c r="Z18" i="4"/>
  <c r="Y18" i="4"/>
  <c r="X18" i="4"/>
  <c r="W18" i="4"/>
  <c r="V18" i="4"/>
  <c r="U18" i="4"/>
  <c r="T18" i="4"/>
  <c r="S18" i="4"/>
  <c r="R18" i="4"/>
  <c r="Q18" i="4"/>
  <c r="P18" i="4"/>
  <c r="O18" i="4"/>
  <c r="N18" i="4"/>
  <c r="M18" i="4"/>
  <c r="L18" i="4"/>
  <c r="K18" i="4"/>
  <c r="G18" i="4"/>
  <c r="H18" i="4" s="1"/>
  <c r="I18" i="4" s="1"/>
  <c r="AI17" i="4"/>
  <c r="AH17" i="4"/>
  <c r="AG17" i="4"/>
  <c r="AF17" i="4"/>
  <c r="AE17" i="4"/>
  <c r="AD17" i="4"/>
  <c r="AC17" i="4"/>
  <c r="AB17" i="4"/>
  <c r="AA17" i="4"/>
  <c r="Z17" i="4"/>
  <c r="Y17" i="4"/>
  <c r="X17" i="4"/>
  <c r="W17" i="4"/>
  <c r="V17" i="4"/>
  <c r="U17" i="4"/>
  <c r="T17" i="4"/>
  <c r="S17" i="4"/>
  <c r="R17" i="4"/>
  <c r="Q17" i="4"/>
  <c r="P17" i="4"/>
  <c r="O17" i="4"/>
  <c r="N17" i="4"/>
  <c r="M17" i="4"/>
  <c r="L17" i="4"/>
  <c r="K17" i="4"/>
  <c r="G17" i="4"/>
  <c r="H17" i="4" s="1"/>
  <c r="I17" i="4" s="1"/>
  <c r="AI16" i="4"/>
  <c r="AH16" i="4"/>
  <c r="AG16" i="4"/>
  <c r="AF16" i="4"/>
  <c r="AE16" i="4"/>
  <c r="AD16" i="4"/>
  <c r="AC16" i="4"/>
  <c r="AB16" i="4"/>
  <c r="AA16" i="4"/>
  <c r="Z16" i="4"/>
  <c r="Y16" i="4"/>
  <c r="X16" i="4"/>
  <c r="W16" i="4"/>
  <c r="V16" i="4"/>
  <c r="U16" i="4"/>
  <c r="T16" i="4"/>
  <c r="S16" i="4"/>
  <c r="R16" i="4"/>
  <c r="Q16" i="4"/>
  <c r="P16" i="4"/>
  <c r="O16" i="4"/>
  <c r="N16" i="4"/>
  <c r="M16" i="4"/>
  <c r="L16" i="4"/>
  <c r="K16" i="4"/>
  <c r="G16" i="4"/>
  <c r="H16" i="4" s="1"/>
  <c r="I16" i="4" s="1"/>
  <c r="AI15" i="4"/>
  <c r="AH15" i="4"/>
  <c r="AG15" i="4"/>
  <c r="AF15" i="4"/>
  <c r="AE15" i="4"/>
  <c r="AD15" i="4"/>
  <c r="AC15" i="4"/>
  <c r="AB15" i="4"/>
  <c r="AA15" i="4"/>
  <c r="Z15" i="4"/>
  <c r="Y15" i="4"/>
  <c r="X15" i="4"/>
  <c r="W15" i="4"/>
  <c r="V15" i="4"/>
  <c r="U15" i="4"/>
  <c r="T15" i="4"/>
  <c r="S15" i="4"/>
  <c r="R15" i="4"/>
  <c r="Q15" i="4"/>
  <c r="P15" i="4"/>
  <c r="O15" i="4"/>
  <c r="N15" i="4"/>
  <c r="M15" i="4"/>
  <c r="L15" i="4"/>
  <c r="K15" i="4"/>
  <c r="G15" i="4"/>
  <c r="H15" i="4" s="1"/>
  <c r="I15" i="4" s="1"/>
  <c r="AI14" i="4"/>
  <c r="AH14" i="4"/>
  <c r="AG14" i="4"/>
  <c r="AF14" i="4"/>
  <c r="AE14" i="4"/>
  <c r="AD14" i="4"/>
  <c r="AC14" i="4"/>
  <c r="AB14" i="4"/>
  <c r="AA14" i="4"/>
  <c r="Z14" i="4"/>
  <c r="Y14" i="4"/>
  <c r="X14" i="4"/>
  <c r="W14" i="4"/>
  <c r="V14" i="4"/>
  <c r="U14" i="4"/>
  <c r="T14" i="4"/>
  <c r="S14" i="4"/>
  <c r="R14" i="4"/>
  <c r="Q14" i="4"/>
  <c r="P14" i="4"/>
  <c r="O14" i="4"/>
  <c r="N14" i="4"/>
  <c r="M14" i="4"/>
  <c r="L14" i="4"/>
  <c r="K14" i="4"/>
  <c r="G14" i="4"/>
  <c r="H14" i="4" s="1"/>
  <c r="I14" i="4" s="1"/>
  <c r="AI13" i="4"/>
  <c r="AH13" i="4"/>
  <c r="AG13" i="4"/>
  <c r="AF13" i="4"/>
  <c r="AE13" i="4"/>
  <c r="AD13" i="4"/>
  <c r="AC13" i="4"/>
  <c r="AB13" i="4"/>
  <c r="AA13" i="4"/>
  <c r="Z13" i="4"/>
  <c r="Y13" i="4"/>
  <c r="X13" i="4"/>
  <c r="W13" i="4"/>
  <c r="V13" i="4"/>
  <c r="U13" i="4"/>
  <c r="T13" i="4"/>
  <c r="S13" i="4"/>
  <c r="R13" i="4"/>
  <c r="Q13" i="4"/>
  <c r="P13" i="4"/>
  <c r="O13" i="4"/>
  <c r="N13" i="4"/>
  <c r="M13" i="4"/>
  <c r="L13" i="4"/>
  <c r="K13" i="4"/>
  <c r="G13" i="4"/>
  <c r="H13" i="4" s="1"/>
  <c r="I13" i="4" s="1"/>
  <c r="AI12" i="4"/>
  <c r="AH12" i="4"/>
  <c r="AG12" i="4"/>
  <c r="AF12" i="4"/>
  <c r="AE12" i="4"/>
  <c r="AD12" i="4"/>
  <c r="AC12" i="4"/>
  <c r="AB12" i="4"/>
  <c r="AA12" i="4"/>
  <c r="Z12" i="4"/>
  <c r="Y12" i="4"/>
  <c r="X12" i="4"/>
  <c r="W12" i="4"/>
  <c r="V12" i="4"/>
  <c r="U12" i="4"/>
  <c r="T12" i="4"/>
  <c r="S12" i="4"/>
  <c r="R12" i="4"/>
  <c r="Q12" i="4"/>
  <c r="P12" i="4"/>
  <c r="O12" i="4"/>
  <c r="N12" i="4"/>
  <c r="M12" i="4"/>
  <c r="L12" i="4"/>
  <c r="K12" i="4"/>
  <c r="G12" i="4"/>
  <c r="H12" i="4" s="1"/>
  <c r="I12" i="4" s="1"/>
  <c r="AI11" i="4"/>
  <c r="AH11" i="4"/>
  <c r="AG11" i="4"/>
  <c r="AF11" i="4"/>
  <c r="AE11" i="4"/>
  <c r="AD11" i="4"/>
  <c r="AC11" i="4"/>
  <c r="AB11" i="4"/>
  <c r="AA11" i="4"/>
  <c r="Z11" i="4"/>
  <c r="Y11" i="4"/>
  <c r="X11" i="4"/>
  <c r="W11" i="4"/>
  <c r="V11" i="4"/>
  <c r="U11" i="4"/>
  <c r="T11" i="4"/>
  <c r="S11" i="4"/>
  <c r="R11" i="4"/>
  <c r="Q11" i="4"/>
  <c r="P11" i="4"/>
  <c r="O11" i="4"/>
  <c r="N11" i="4"/>
  <c r="M11" i="4"/>
  <c r="L11" i="4"/>
  <c r="K11" i="4"/>
  <c r="AI10" i="4"/>
  <c r="AH10" i="4"/>
  <c r="AG10" i="4"/>
  <c r="AF10" i="4"/>
  <c r="AE10" i="4"/>
  <c r="AD10" i="4"/>
  <c r="AC10" i="4"/>
  <c r="AB10" i="4"/>
  <c r="AA10" i="4"/>
  <c r="Z10" i="4"/>
  <c r="Y10" i="4"/>
  <c r="X10" i="4"/>
  <c r="W10" i="4"/>
  <c r="V10" i="4"/>
  <c r="U10" i="4"/>
  <c r="T10" i="4"/>
  <c r="S10" i="4"/>
  <c r="R10" i="4"/>
  <c r="Q10" i="4"/>
  <c r="P10" i="4"/>
  <c r="O10" i="4"/>
  <c r="N10" i="4"/>
  <c r="M10" i="4"/>
  <c r="L10" i="4"/>
  <c r="K10" i="4"/>
  <c r="R201" i="3"/>
  <c r="S201" i="3" s="1"/>
  <c r="G201" i="3"/>
  <c r="R200" i="3"/>
  <c r="S200" i="3" s="1"/>
  <c r="G200" i="3"/>
  <c r="R199" i="3"/>
  <c r="S199" i="3" s="1"/>
  <c r="G199" i="3"/>
  <c r="R198" i="3"/>
  <c r="S198" i="3" s="1"/>
  <c r="G198" i="3"/>
  <c r="R197" i="3"/>
  <c r="S197" i="3" s="1"/>
  <c r="G197" i="3"/>
  <c r="R196" i="3"/>
  <c r="S196" i="3" s="1"/>
  <c r="G196" i="3"/>
  <c r="R195" i="3"/>
  <c r="S195" i="3" s="1"/>
  <c r="G195" i="3"/>
  <c r="R194" i="3"/>
  <c r="S194" i="3" s="1"/>
  <c r="G194" i="3"/>
  <c r="R193" i="3"/>
  <c r="S193" i="3" s="1"/>
  <c r="G193" i="3"/>
  <c r="R192" i="3"/>
  <c r="S192" i="3" s="1"/>
  <c r="G192" i="3"/>
  <c r="R191" i="3"/>
  <c r="S191" i="3" s="1"/>
  <c r="G191" i="3"/>
  <c r="R190" i="3"/>
  <c r="S190" i="3" s="1"/>
  <c r="G190" i="3"/>
  <c r="S189" i="3"/>
  <c r="R189" i="3"/>
  <c r="G189" i="3"/>
  <c r="R188" i="3"/>
  <c r="S188" i="3" s="1"/>
  <c r="G188" i="3"/>
  <c r="R187" i="3"/>
  <c r="S187" i="3" s="1"/>
  <c r="G187" i="3"/>
  <c r="R186" i="3"/>
  <c r="S186" i="3" s="1"/>
  <c r="G186" i="3"/>
  <c r="R185" i="3"/>
  <c r="S185" i="3" s="1"/>
  <c r="G185" i="3"/>
  <c r="R184" i="3"/>
  <c r="S184" i="3" s="1"/>
  <c r="G184" i="3"/>
  <c r="R183" i="3"/>
  <c r="S183" i="3" s="1"/>
  <c r="G183" i="3"/>
  <c r="R182" i="3"/>
  <c r="S182" i="3" s="1"/>
  <c r="G182" i="3"/>
  <c r="R181" i="3"/>
  <c r="S181" i="3" s="1"/>
  <c r="G181" i="3"/>
  <c r="R180" i="3"/>
  <c r="S180" i="3" s="1"/>
  <c r="G180" i="3"/>
  <c r="R179" i="3"/>
  <c r="S179" i="3" s="1"/>
  <c r="G179" i="3"/>
  <c r="R178" i="3"/>
  <c r="S178" i="3" s="1"/>
  <c r="G178" i="3"/>
  <c r="R177" i="3"/>
  <c r="S177" i="3" s="1"/>
  <c r="G177" i="3"/>
  <c r="R176" i="3"/>
  <c r="S176" i="3" s="1"/>
  <c r="G176" i="3"/>
  <c r="R175" i="3"/>
  <c r="S175" i="3" s="1"/>
  <c r="G175" i="3"/>
  <c r="R174" i="3"/>
  <c r="S174" i="3" s="1"/>
  <c r="G174" i="3"/>
  <c r="R173" i="3"/>
  <c r="S173" i="3" s="1"/>
  <c r="G173" i="3"/>
  <c r="R172" i="3"/>
  <c r="S172" i="3" s="1"/>
  <c r="G172" i="3"/>
  <c r="R171" i="3"/>
  <c r="S171" i="3" s="1"/>
  <c r="G171" i="3"/>
  <c r="R170" i="3"/>
  <c r="S170" i="3" s="1"/>
  <c r="G170" i="3"/>
  <c r="R169" i="3"/>
  <c r="S169" i="3" s="1"/>
  <c r="G169" i="3"/>
  <c r="R168" i="3"/>
  <c r="S168" i="3" s="1"/>
  <c r="G168" i="3"/>
  <c r="R167" i="3"/>
  <c r="S167" i="3" s="1"/>
  <c r="G167" i="3"/>
  <c r="R166" i="3"/>
  <c r="S166" i="3" s="1"/>
  <c r="G166" i="3"/>
  <c r="R165" i="3"/>
  <c r="S165" i="3" s="1"/>
  <c r="G165" i="3"/>
  <c r="R164" i="3"/>
  <c r="S164" i="3" s="1"/>
  <c r="G164" i="3"/>
  <c r="R163" i="3"/>
  <c r="S163" i="3" s="1"/>
  <c r="G163" i="3"/>
  <c r="R162" i="3"/>
  <c r="S162" i="3" s="1"/>
  <c r="G162" i="3"/>
  <c r="R161" i="3"/>
  <c r="S161" i="3" s="1"/>
  <c r="G161" i="3"/>
  <c r="R160" i="3"/>
  <c r="S160" i="3" s="1"/>
  <c r="G160" i="3"/>
  <c r="R159" i="3"/>
  <c r="S159" i="3" s="1"/>
  <c r="G159" i="3"/>
  <c r="R158" i="3"/>
  <c r="S158" i="3" s="1"/>
  <c r="G158" i="3"/>
  <c r="R157" i="3"/>
  <c r="S157" i="3" s="1"/>
  <c r="G157" i="3"/>
  <c r="R156" i="3"/>
  <c r="S156" i="3" s="1"/>
  <c r="G156" i="3"/>
  <c r="R155" i="3"/>
  <c r="S155" i="3" s="1"/>
  <c r="G155" i="3"/>
  <c r="R154" i="3"/>
  <c r="S154" i="3" s="1"/>
  <c r="G154" i="3"/>
  <c r="R153" i="3"/>
  <c r="S153" i="3" s="1"/>
  <c r="G153" i="3"/>
  <c r="R152" i="3"/>
  <c r="S152" i="3" s="1"/>
  <c r="G152" i="3"/>
  <c r="R151" i="3"/>
  <c r="S151" i="3" s="1"/>
  <c r="G151" i="3"/>
  <c r="R150" i="3"/>
  <c r="S150" i="3" s="1"/>
  <c r="G150" i="3"/>
  <c r="S149" i="3"/>
  <c r="R149" i="3"/>
  <c r="G149" i="3"/>
  <c r="R148" i="3"/>
  <c r="S148" i="3" s="1"/>
  <c r="G148" i="3"/>
  <c r="R147" i="3"/>
  <c r="S147" i="3" s="1"/>
  <c r="G147" i="3"/>
  <c r="R146" i="3"/>
  <c r="S146" i="3" s="1"/>
  <c r="G146" i="3"/>
  <c r="R145" i="3"/>
  <c r="S145" i="3" s="1"/>
  <c r="G145" i="3"/>
  <c r="R144" i="3"/>
  <c r="S144" i="3" s="1"/>
  <c r="G144" i="3"/>
  <c r="R143" i="3"/>
  <c r="S143" i="3" s="1"/>
  <c r="G143" i="3"/>
  <c r="R142" i="3"/>
  <c r="S142" i="3" s="1"/>
  <c r="G142" i="3"/>
  <c r="R141" i="3"/>
  <c r="S141" i="3" s="1"/>
  <c r="G141" i="3"/>
  <c r="R140" i="3"/>
  <c r="S140" i="3" s="1"/>
  <c r="G140" i="3"/>
  <c r="R139" i="3"/>
  <c r="S139" i="3" s="1"/>
  <c r="G139" i="3"/>
  <c r="R138" i="3"/>
  <c r="S138" i="3" s="1"/>
  <c r="G138" i="3"/>
  <c r="R137" i="3"/>
  <c r="S137" i="3" s="1"/>
  <c r="G137" i="3"/>
  <c r="R136" i="3"/>
  <c r="S136" i="3" s="1"/>
  <c r="G136" i="3"/>
  <c r="R135" i="3"/>
  <c r="S135" i="3" s="1"/>
  <c r="G135" i="3"/>
  <c r="R134" i="3"/>
  <c r="S134" i="3" s="1"/>
  <c r="G134" i="3"/>
  <c r="R133" i="3"/>
  <c r="S133" i="3" s="1"/>
  <c r="G133" i="3"/>
  <c r="R132" i="3"/>
  <c r="S132" i="3" s="1"/>
  <c r="G132" i="3"/>
  <c r="R131" i="3"/>
  <c r="S131" i="3" s="1"/>
  <c r="G131" i="3"/>
  <c r="R130" i="3"/>
  <c r="S130" i="3" s="1"/>
  <c r="G130" i="3"/>
  <c r="R129" i="3"/>
  <c r="S129" i="3" s="1"/>
  <c r="G129" i="3"/>
  <c r="R128" i="3"/>
  <c r="S128" i="3" s="1"/>
  <c r="G128" i="3"/>
  <c r="R127" i="3"/>
  <c r="S127" i="3" s="1"/>
  <c r="G127" i="3"/>
  <c r="R126" i="3"/>
  <c r="S126" i="3" s="1"/>
  <c r="G126" i="3"/>
  <c r="S125" i="3"/>
  <c r="R125" i="3"/>
  <c r="G125" i="3"/>
  <c r="R124" i="3"/>
  <c r="S124" i="3" s="1"/>
  <c r="G124" i="3"/>
  <c r="R123" i="3"/>
  <c r="S123" i="3" s="1"/>
  <c r="G123" i="3"/>
  <c r="R122" i="3"/>
  <c r="S122" i="3" s="1"/>
  <c r="G122" i="3"/>
  <c r="R121" i="3"/>
  <c r="S121" i="3" s="1"/>
  <c r="G121" i="3"/>
  <c r="R120" i="3"/>
  <c r="S120" i="3" s="1"/>
  <c r="G120" i="3"/>
  <c r="R119" i="3"/>
  <c r="S119" i="3" s="1"/>
  <c r="G119" i="3"/>
  <c r="R118" i="3"/>
  <c r="S118" i="3" s="1"/>
  <c r="G118" i="3"/>
  <c r="R117" i="3"/>
  <c r="S117" i="3" s="1"/>
  <c r="G117" i="3"/>
  <c r="R116" i="3"/>
  <c r="S116" i="3" s="1"/>
  <c r="G116" i="3"/>
  <c r="R115" i="3"/>
  <c r="S115" i="3" s="1"/>
  <c r="G115" i="3"/>
  <c r="R114" i="3"/>
  <c r="S114" i="3" s="1"/>
  <c r="G114" i="3"/>
  <c r="R113" i="3"/>
  <c r="S113" i="3" s="1"/>
  <c r="G113" i="3"/>
  <c r="R112" i="3"/>
  <c r="S112" i="3" s="1"/>
  <c r="G112" i="3"/>
  <c r="R111" i="3"/>
  <c r="S111" i="3" s="1"/>
  <c r="G111" i="3"/>
  <c r="R110" i="3"/>
  <c r="S110" i="3" s="1"/>
  <c r="G110" i="3"/>
  <c r="R109" i="3"/>
  <c r="S109" i="3" s="1"/>
  <c r="G109" i="3"/>
  <c r="R108" i="3"/>
  <c r="S108" i="3" s="1"/>
  <c r="G108" i="3"/>
  <c r="R107" i="3"/>
  <c r="S107" i="3" s="1"/>
  <c r="G107" i="3"/>
  <c r="R106" i="3"/>
  <c r="S106" i="3" s="1"/>
  <c r="G106" i="3"/>
  <c r="R105" i="3"/>
  <c r="S105" i="3" s="1"/>
  <c r="G105" i="3"/>
  <c r="R104" i="3"/>
  <c r="S104" i="3" s="1"/>
  <c r="G104" i="3"/>
  <c r="R103" i="3"/>
  <c r="S103" i="3" s="1"/>
  <c r="G103" i="3"/>
  <c r="R102" i="3"/>
  <c r="S102" i="3" s="1"/>
  <c r="G102" i="3"/>
  <c r="R101" i="3"/>
  <c r="S101" i="3" s="1"/>
  <c r="G101" i="3"/>
  <c r="R100" i="3"/>
  <c r="S100" i="3" s="1"/>
  <c r="G100" i="3"/>
  <c r="R99" i="3"/>
  <c r="S99" i="3" s="1"/>
  <c r="G99" i="3"/>
  <c r="R98" i="3"/>
  <c r="S98" i="3" s="1"/>
  <c r="G98" i="3"/>
  <c r="R97" i="3"/>
  <c r="S97" i="3" s="1"/>
  <c r="G97" i="3"/>
  <c r="R96" i="3"/>
  <c r="S96" i="3" s="1"/>
  <c r="G96" i="3"/>
  <c r="R95" i="3"/>
  <c r="S95" i="3" s="1"/>
  <c r="G95" i="3"/>
  <c r="R94" i="3"/>
  <c r="S94" i="3" s="1"/>
  <c r="G94" i="3"/>
  <c r="R93" i="3"/>
  <c r="S93" i="3" s="1"/>
  <c r="G93" i="3"/>
  <c r="R92" i="3"/>
  <c r="S92" i="3" s="1"/>
  <c r="G92" i="3"/>
  <c r="R91" i="3"/>
  <c r="S91" i="3" s="1"/>
  <c r="G91" i="3"/>
  <c r="R90" i="3"/>
  <c r="S90" i="3" s="1"/>
  <c r="G90" i="3"/>
  <c r="R89" i="3"/>
  <c r="S89" i="3" s="1"/>
  <c r="G89" i="3"/>
  <c r="R88" i="3"/>
  <c r="S88" i="3" s="1"/>
  <c r="G88" i="3"/>
  <c r="R87" i="3"/>
  <c r="S87" i="3" s="1"/>
  <c r="G87" i="3"/>
  <c r="R86" i="3"/>
  <c r="S86" i="3" s="1"/>
  <c r="G86" i="3"/>
  <c r="S85" i="3"/>
  <c r="R85" i="3"/>
  <c r="G85" i="3"/>
  <c r="R84" i="3"/>
  <c r="S84" i="3" s="1"/>
  <c r="G84" i="3"/>
  <c r="R83" i="3"/>
  <c r="S83" i="3" s="1"/>
  <c r="G83" i="3"/>
  <c r="R82" i="3"/>
  <c r="S82" i="3" s="1"/>
  <c r="G82" i="3"/>
  <c r="R81" i="3"/>
  <c r="S81" i="3" s="1"/>
  <c r="G81" i="3"/>
  <c r="R80" i="3"/>
  <c r="S80" i="3" s="1"/>
  <c r="G80" i="3"/>
  <c r="R79" i="3"/>
  <c r="S79" i="3" s="1"/>
  <c r="G79" i="3"/>
  <c r="R78" i="3"/>
  <c r="S78" i="3" s="1"/>
  <c r="G78" i="3"/>
  <c r="R77" i="3"/>
  <c r="S77" i="3" s="1"/>
  <c r="G77" i="3"/>
  <c r="R76" i="3"/>
  <c r="S76" i="3" s="1"/>
  <c r="G76" i="3"/>
  <c r="R75" i="3"/>
  <c r="S75" i="3" s="1"/>
  <c r="G75" i="3"/>
  <c r="R74" i="3"/>
  <c r="S74" i="3" s="1"/>
  <c r="G74" i="3"/>
  <c r="R73" i="3"/>
  <c r="S73" i="3" s="1"/>
  <c r="G73" i="3"/>
  <c r="R72" i="3"/>
  <c r="S72" i="3" s="1"/>
  <c r="G72" i="3"/>
  <c r="R71" i="3"/>
  <c r="S71" i="3" s="1"/>
  <c r="G71" i="3"/>
  <c r="R70" i="3"/>
  <c r="S70" i="3" s="1"/>
  <c r="G70" i="3"/>
  <c r="R69" i="3"/>
  <c r="S69" i="3" s="1"/>
  <c r="G69" i="3"/>
  <c r="R68" i="3"/>
  <c r="S68" i="3" s="1"/>
  <c r="G68" i="3"/>
  <c r="R67" i="3"/>
  <c r="S67" i="3" s="1"/>
  <c r="G67" i="3"/>
  <c r="R66" i="3"/>
  <c r="S66" i="3" s="1"/>
  <c r="G66" i="3"/>
  <c r="R65" i="3"/>
  <c r="S65" i="3" s="1"/>
  <c r="G65" i="3"/>
  <c r="R64" i="3"/>
  <c r="S64" i="3" s="1"/>
  <c r="G64" i="3"/>
  <c r="R63" i="3"/>
  <c r="S63" i="3" s="1"/>
  <c r="G63" i="3"/>
  <c r="R62" i="3"/>
  <c r="S62" i="3" s="1"/>
  <c r="G62" i="3"/>
  <c r="S61" i="3"/>
  <c r="R61" i="3"/>
  <c r="G61" i="3"/>
  <c r="R60" i="3"/>
  <c r="S60" i="3" s="1"/>
  <c r="G60" i="3"/>
  <c r="R59" i="3"/>
  <c r="S59" i="3" s="1"/>
  <c r="G59" i="3"/>
  <c r="R58" i="3"/>
  <c r="S58" i="3" s="1"/>
  <c r="G58" i="3"/>
  <c r="R57" i="3"/>
  <c r="S57" i="3" s="1"/>
  <c r="G57" i="3"/>
  <c r="R56" i="3"/>
  <c r="S56" i="3" s="1"/>
  <c r="G56" i="3"/>
  <c r="R55" i="3"/>
  <c r="S55" i="3" s="1"/>
  <c r="G55" i="3"/>
  <c r="R54" i="3"/>
  <c r="S54" i="3" s="1"/>
  <c r="G54" i="3"/>
  <c r="R53" i="3"/>
  <c r="S53" i="3" s="1"/>
  <c r="Q53" i="3"/>
  <c r="T53" i="3" s="1"/>
  <c r="G53" i="3"/>
  <c r="R52" i="3"/>
  <c r="S52" i="3" s="1"/>
  <c r="Q52" i="3"/>
  <c r="T52" i="3" s="1"/>
  <c r="G52" i="3"/>
  <c r="R51" i="3"/>
  <c r="S51" i="3" s="1"/>
  <c r="Q51" i="3"/>
  <c r="T51" i="3" s="1"/>
  <c r="G51" i="3"/>
  <c r="R50" i="3"/>
  <c r="S50" i="3" s="1"/>
  <c r="Q50" i="3"/>
  <c r="T50" i="3" s="1"/>
  <c r="G50" i="3"/>
  <c r="R49" i="3"/>
  <c r="S49" i="3" s="1"/>
  <c r="Q49" i="3"/>
  <c r="T49" i="3" s="1"/>
  <c r="G49" i="3"/>
  <c r="R48" i="3"/>
  <c r="S48" i="3" s="1"/>
  <c r="Q48" i="3"/>
  <c r="T48" i="3" s="1"/>
  <c r="G48" i="3"/>
  <c r="R47" i="3"/>
  <c r="S47" i="3" s="1"/>
  <c r="Q47" i="3"/>
  <c r="T47" i="3" s="1"/>
  <c r="G47" i="3"/>
  <c r="R46" i="3"/>
  <c r="S46" i="3" s="1"/>
  <c r="Q46" i="3"/>
  <c r="T46" i="3" s="1"/>
  <c r="G46" i="3"/>
  <c r="R45" i="3"/>
  <c r="S45" i="3" s="1"/>
  <c r="Q45" i="3"/>
  <c r="T45" i="3" s="1"/>
  <c r="G45" i="3"/>
  <c r="R44" i="3"/>
  <c r="S44" i="3" s="1"/>
  <c r="Q44" i="3"/>
  <c r="T44" i="3" s="1"/>
  <c r="G44" i="3"/>
  <c r="R43" i="3"/>
  <c r="S43" i="3" s="1"/>
  <c r="Q43" i="3"/>
  <c r="T43" i="3" s="1"/>
  <c r="G43" i="3"/>
  <c r="R42" i="3"/>
  <c r="S42" i="3" s="1"/>
  <c r="Q42" i="3"/>
  <c r="T42" i="3" s="1"/>
  <c r="G42" i="3"/>
  <c r="R41" i="3"/>
  <c r="S41" i="3" s="1"/>
  <c r="Q41" i="3"/>
  <c r="T41" i="3" s="1"/>
  <c r="G41" i="3"/>
  <c r="R40" i="3"/>
  <c r="S40" i="3" s="1"/>
  <c r="Q40" i="3"/>
  <c r="T40" i="3" s="1"/>
  <c r="G40" i="3"/>
  <c r="R39" i="3"/>
  <c r="S39" i="3" s="1"/>
  <c r="Q39" i="3"/>
  <c r="T39" i="3" s="1"/>
  <c r="G39" i="3"/>
  <c r="R38" i="3"/>
  <c r="S38" i="3" s="1"/>
  <c r="Q38" i="3"/>
  <c r="T38" i="3" s="1"/>
  <c r="G38" i="3"/>
  <c r="R37" i="3"/>
  <c r="S37" i="3" s="1"/>
  <c r="Q37" i="3"/>
  <c r="T37" i="3" s="1"/>
  <c r="G37" i="3"/>
  <c r="R36" i="3"/>
  <c r="S36" i="3" s="1"/>
  <c r="Q36" i="3"/>
  <c r="T36" i="3" s="1"/>
  <c r="G36" i="3"/>
  <c r="T35" i="3"/>
  <c r="R35" i="3"/>
  <c r="S35" i="3" s="1"/>
  <c r="Q35" i="3"/>
  <c r="G35" i="3"/>
  <c r="T34" i="3"/>
  <c r="S34" i="3"/>
  <c r="R34" i="3"/>
  <c r="Q34" i="3"/>
  <c r="G34" i="3"/>
  <c r="R33" i="3"/>
  <c r="S33" i="3" s="1"/>
  <c r="Q33" i="3"/>
  <c r="T33" i="3" s="1"/>
  <c r="G33" i="3"/>
  <c r="R32" i="3"/>
  <c r="S32" i="3" s="1"/>
  <c r="Q32" i="3"/>
  <c r="T32" i="3" s="1"/>
  <c r="G32" i="3"/>
  <c r="R31" i="3"/>
  <c r="S31" i="3" s="1"/>
  <c r="Q31" i="3"/>
  <c r="T31" i="3" s="1"/>
  <c r="G31" i="3"/>
  <c r="R30" i="3"/>
  <c r="S30" i="3" s="1"/>
  <c r="Q30" i="3"/>
  <c r="T30" i="3" s="1"/>
  <c r="G30" i="3"/>
  <c r="R29" i="3"/>
  <c r="S29" i="3" s="1"/>
  <c r="Q29" i="3"/>
  <c r="T29" i="3" s="1"/>
  <c r="G29" i="3"/>
  <c r="R28" i="3"/>
  <c r="S28" i="3" s="1"/>
  <c r="Q28" i="3"/>
  <c r="T28" i="3" s="1"/>
  <c r="G28" i="3"/>
  <c r="T27" i="3"/>
  <c r="R27" i="3"/>
  <c r="S27" i="3" s="1"/>
  <c r="Q27" i="3"/>
  <c r="G27" i="3"/>
  <c r="T26" i="3"/>
  <c r="R26" i="3"/>
  <c r="S26" i="3" s="1"/>
  <c r="Q26" i="3"/>
  <c r="G26" i="3"/>
  <c r="T25" i="3"/>
  <c r="R25" i="3"/>
  <c r="S25" i="3" s="1"/>
  <c r="Q25" i="3"/>
  <c r="G25" i="3"/>
  <c r="R24" i="3"/>
  <c r="S24" i="3" s="1"/>
  <c r="Q24" i="3"/>
  <c r="T24" i="3" s="1"/>
  <c r="G24" i="3"/>
  <c r="R23" i="3"/>
  <c r="S23" i="3" s="1"/>
  <c r="Q23" i="3"/>
  <c r="T23" i="3" s="1"/>
  <c r="G23" i="3"/>
  <c r="R22" i="3"/>
  <c r="S22" i="3" s="1"/>
  <c r="Q22" i="3"/>
  <c r="T22" i="3" s="1"/>
  <c r="G22" i="3"/>
  <c r="R21" i="3"/>
  <c r="S21" i="3" s="1"/>
  <c r="Q21" i="3"/>
  <c r="T21" i="3" s="1"/>
  <c r="G21" i="3"/>
  <c r="R20" i="3"/>
  <c r="S20" i="3" s="1"/>
  <c r="Q20" i="3"/>
  <c r="T20" i="3" s="1"/>
  <c r="G20" i="3"/>
  <c r="R19" i="3"/>
  <c r="S19" i="3" s="1"/>
  <c r="Q19" i="3"/>
  <c r="T19" i="3" s="1"/>
  <c r="G19" i="3"/>
  <c r="R18" i="3"/>
  <c r="S18" i="3" s="1"/>
  <c r="Q18" i="3"/>
  <c r="T18" i="3" s="1"/>
  <c r="G18" i="3"/>
  <c r="R17" i="3"/>
  <c r="S17" i="3" s="1"/>
  <c r="Q17" i="3"/>
  <c r="T17" i="3" s="1"/>
  <c r="G17" i="3"/>
  <c r="R16" i="3"/>
  <c r="S16" i="3" s="1"/>
  <c r="Q16" i="3"/>
  <c r="T16" i="3" s="1"/>
  <c r="G16" i="3"/>
  <c r="R15" i="3"/>
  <c r="S15" i="3" s="1"/>
  <c r="Q15" i="3"/>
  <c r="T15" i="3" s="1"/>
  <c r="G15" i="3"/>
  <c r="R14" i="3"/>
  <c r="S14" i="3" s="1"/>
  <c r="Q14" i="3"/>
  <c r="T14" i="3" s="1"/>
  <c r="G14" i="3"/>
  <c r="R13" i="3"/>
  <c r="S13" i="3" s="1"/>
  <c r="Q13" i="3"/>
  <c r="T13" i="3" s="1"/>
  <c r="G13" i="3"/>
  <c r="R12" i="3"/>
  <c r="S12" i="3" s="1"/>
  <c r="Q12" i="3"/>
  <c r="T12" i="3" s="1"/>
  <c r="G12" i="3"/>
  <c r="R11" i="3"/>
  <c r="S11" i="3" s="1"/>
  <c r="Q11" i="3"/>
  <c r="T11" i="3" s="1"/>
  <c r="G11" i="3"/>
  <c r="R10" i="3"/>
  <c r="S10" i="3" s="1"/>
  <c r="Q10" i="3"/>
  <c r="T10" i="3" s="1"/>
  <c r="G10" i="3"/>
  <c r="R9" i="3"/>
  <c r="S9" i="3" s="1"/>
  <c r="Q9" i="3"/>
  <c r="T9" i="3" s="1"/>
  <c r="G9" i="3"/>
  <c r="R8" i="3"/>
  <c r="S8" i="3" s="1"/>
  <c r="Q8" i="3"/>
  <c r="T8" i="3" s="1"/>
  <c r="G8" i="3"/>
  <c r="R7" i="3"/>
  <c r="S7" i="3" s="1"/>
  <c r="Q7" i="3"/>
  <c r="T7" i="3" s="1"/>
  <c r="G7" i="3"/>
  <c r="R6" i="3"/>
  <c r="S6" i="3" s="1"/>
  <c r="Q6" i="3"/>
  <c r="T6" i="3" s="1"/>
  <c r="G6" i="3"/>
  <c r="R5" i="3"/>
  <c r="S5" i="3" s="1"/>
  <c r="Q5" i="3"/>
  <c r="T5" i="3" s="1"/>
  <c r="F5" i="3"/>
  <c r="E23" i="1" s="1"/>
  <c r="G2" i="7" s="1"/>
  <c r="E5" i="3"/>
  <c r="C23" i="1" s="1"/>
  <c r="F2" i="7" s="1"/>
  <c r="R4" i="3"/>
  <c r="S4" i="3" s="1"/>
  <c r="Q4" i="3"/>
  <c r="T4" i="3" s="1"/>
  <c r="F4" i="3"/>
  <c r="E25" i="1" s="1"/>
  <c r="E4" i="3"/>
  <c r="C25" i="1" s="1"/>
  <c r="F2" i="2"/>
  <c r="C3" i="2" s="1"/>
  <c r="C27" i="1"/>
  <c r="C24" i="1"/>
  <c r="D24" i="1" s="1"/>
  <c r="D18" i="1"/>
  <c r="D11" i="1"/>
  <c r="G5" i="3" l="1"/>
  <c r="U4" i="3"/>
  <c r="H2" i="7"/>
  <c r="U2" i="7"/>
  <c r="C2" i="7"/>
  <c r="I2" i="7"/>
  <c r="G4" i="3"/>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authors>
    <author>Jose Bernardino Gone Uribe</author>
  </authors>
  <commentList>
    <comment ref="B12"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<sst xmlns="http://schemas.openxmlformats.org/spreadsheetml/2006/main" count="498" uniqueCount="337">
  <si>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</si>
  <si>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</si>
  <si>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</si>
  <si>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</si>
  <si>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</si>
  <si>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</si>
  <si>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</si>
  <si>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</si>
  <si>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</si>
  <si>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</si>
  <si>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</si>
  <si>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</si>
  <si>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</si>
  <si>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</si>
  <si>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</si>
  <si>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</si>
  <si>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</si>
  <si>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</si>
  <si>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</si>
  <si>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</si>
  <si>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</si>
  <si>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</si>
  <si>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</si>
  <si>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</si>
  <si>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</si>
  <si>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</si>
  <si>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Para el llenado de los campos:</t>
  </si>
  <si>
    <t xml:space="preserve">Campo </t>
  </si>
  <si>
    <t>Descripción</t>
  </si>
  <si>
    <t>Tipo</t>
  </si>
  <si>
    <t>En este campo se le asignará un folio único por parte de la Mesa de control de Cambios del SAT.</t>
  </si>
  <si>
    <t>MCCTI</t>
  </si>
  <si>
    <t>Requerido</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</si>
  <si>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</si>
  <si>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</si>
  <si>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</si>
  <si>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</si>
  <si>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</si>
  <si>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</si>
  <si>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</si>
  <si>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</si>
  <si>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</si>
  <si>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</si>
  <si>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</si>
  <si>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</si>
  <si>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</si>
  <si>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</si>
  <si>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</si>
  <si>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</si>
  <si>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</si>
  <si>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</si>
  <si>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</si>
  <si>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</si>
  <si>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</si>
  <si>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</si>
  <si>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</si>
  <si>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</si>
  <si>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</si>
  <si>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</si>
  <si>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</si>
  <si>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</si>
  <si>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Dan Fin las Actividades del Plan</t>
  </si>
  <si>
    <t>Dan Inicio las Actividades del Plan</t>
  </si>
  <si>
    <t>BTEAMS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</si>
  <si>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</si>
  <si>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</si>
  <si>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Da inicio la Ventana de Tiempo</t>
  </si>
  <si>
    <t>Termina Ventana de Tiempo</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</si>
  <si>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</si>
  <si>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</si>
  <si>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</si>
  <si>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</si>
  <si>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</si>
  <si>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</si>
  <si>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</si>
  <si>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</si>
  <si>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</si>
  <si>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</si>
  <si>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</si>
  <si>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</si>
  <si>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</si>
  <si>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</si>
  <si>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</si>
  <si>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</si>
  <si>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</si>
  <si>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</si>
  <si>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</si>
  <si>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</si>
  <si>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</si>
  <si>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</si>
  <si>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</si>
  <si>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</si>
  <si>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</si>
  <si>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</si>
  <si>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</si>
  <si>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</si>
  <si>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</si>
  <si>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</si>
  <si>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</si>
  <si>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</si>
  <si>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</si>
  <si>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</si>
  <si>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</si>
  <si>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</si>
  <si>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</si>
  <si>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</si>
  <si>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</si>
  <si>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</si>
  <si>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</si>
  <si>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</si>
  <si>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</si>
  <si>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</si>
  <si>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</si>
  <si>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</si>
  <si>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</si>
  <si>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</si>
  <si>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</si>
  <si>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</si>
  <si>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</si>
  <si>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</si>
  <si>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</si>
  <si>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</si>
  <si>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</si>
  <si>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</si>
  <si>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</si>
  <si>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</si>
  <si>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</si>
  <si>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</si>
  <si>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</si>
  <si>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</si>
  <si>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</si>
  <si>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</si>
  <si>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</si>
  <si>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</si>
  <si>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</si>
  <si>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</si>
  <si>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</si>
  <si>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</si>
  <si>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</si>
  <si>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</si>
  <si>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</si>
  <si>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</si>
  <si>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</si>
  <si>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</si>
  <si>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</si>
  <si>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</si>
  <si>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</si>
  <si>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</si>
  <si>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</si>
  <si>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</si>
  <si>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</si>
  <si>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</si>
  <si>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</si>
  <si>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</si>
  <si>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</si>
  <si>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</si>
  <si>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</si>
  <si>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</si>
  <si>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</si>
  <si>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</si>
  <si>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</si>
  <si>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</si>
  <si>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</si>
  <si>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</si>
  <si>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</si>
  <si>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</si>
  <si>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</si>
  <si>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</si>
  <si>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</si>
  <si>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</si>
  <si>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</si>
  <si>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</si>
  <si>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</si>
  <si>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</si>
  <si>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</si>
  <si>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</si>
  <si>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</si>
  <si>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</si>
  <si>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</si>
  <si>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</si>
  <si>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</si>
  <si>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</si>
  <si>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</si>
  <si>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</si>
  <si>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</si>
  <si>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</si>
  <si>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</si>
  <si>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</si>
  <si>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</si>
  <si>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</si>
  <si>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</si>
  <si>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</si>
  <si>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</si>
  <si>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</si>
  <si>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</si>
  <si>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</si>
  <si>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</si>
  <si>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</si>
  <si>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</si>
  <si>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</si>
  <si>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</si>
  <si>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</si>
  <si>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</si>
  <si>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</si>
  <si>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</si>
  <si>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</si>
  <si>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</si>
  <si>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</si>
  <si>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</si>
  <si>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</si>
  <si>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</si>
  <si>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</si>
  <si>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</si>
  <si>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</si>
  <si>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</si>
  <si>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</si>
  <si>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</si>
  <si>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</si>
  <si>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</si>
  <si>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</si>
  <si>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</si>
  <si>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</si>
  <si>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</si>
  <si>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</si>
  <si>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</si>
  <si>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</si>
  <si>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</si>
  <si>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</si>
  <si>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</si>
  <si>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</si>
  <si>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</si>
  <si>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</si>
  <si>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</si>
  <si>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</si>
  <si>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</si>
  <si>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</si>
  <si>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</si>
  <si>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</si>
  <si>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</si>
  <si>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</si>
  <si>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</si>
  <si>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</si>
  <si>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</si>
  <si>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</si>
  <si>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</si>
  <si>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</si>
  <si>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</si>
  <si>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</si>
  <si>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</si>
  <si>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</si>
  <si>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</si>
  <si>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</si>
  <si>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</si>
  <si>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</si>
  <si>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</si>
  <si>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</si>
  <si>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</si>
  <si>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</si>
  <si>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</si>
  <si>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</si>
  <si>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</si>
  <si>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</si>
  <si>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</si>
  <si>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</si>
  <si>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</si>
  <si>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</si>
  <si>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</si>
  <si>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</si>
  <si>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</si>
  <si>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</si>
  <si>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</si>
  <si>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</si>
  <si>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</si>
  <si>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</si>
  <si>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</si>
  <si>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</si>
  <si>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</si>
  <si>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</si>
  <si>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</si>
  <si>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</si>
  <si>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</si>
  <si>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</si>
  <si>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</si>
  <si>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</si>
  <si>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</si>
  <si>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</si>
  <si>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</si>
  <si>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</si>
  <si>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</si>
  <si>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</si>
  <si>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</si>
  <si>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</si>
  <si>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</si>
  <si>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</si>
  <si>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</si>
  <si>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Estrés</t>
  </si>
  <si>
    <t>UAT/Pruebas</t>
  </si>
  <si>
    <t>Desarrollo</t>
  </si>
  <si>
    <t>Preproducción</t>
  </si>
  <si>
    <t>Integración</t>
  </si>
  <si>
    <t>Capacitación</t>
  </si>
  <si>
    <t>Detalle de la Solicitud de Cambio                                                                                                                                                                                                                                                                                                                                                                    Versión 2.0</t>
  </si>
  <si>
    <t>Normal</t>
  </si>
  <si>
    <t>No Requiere VT</t>
  </si>
  <si>
    <t>IMP</t>
  </si>
  <si>
    <t>N/A</t>
  </si>
  <si>
    <t>Exitoso</t>
  </si>
  <si>
    <t>PRE</t>
  </si>
  <si>
    <t>Ricardo Tejeda de la Cruz/MDG APE4/58090200/50249/ricardo.tejeda@sat.gob.mx</t>
  </si>
  <si>
    <t>No</t>
  </si>
  <si>
    <t xml:space="preserve">Comunicarse con DMA
</t>
  </si>
  <si>
    <t xml:space="preserve">T-Systems Seguridad SAT </t>
  </si>
  <si>
    <t xml:space="preserve"> Sistema Operativo (Afectación en Filesystem).</t>
  </si>
  <si>
    <t>VAL</t>
  </si>
  <si>
    <t>BCK</t>
  </si>
  <si>
    <t>eliminar los usuarios y directorios generados</t>
  </si>
  <si>
    <t>26/06/2019  14:12:00 p. m.</t>
  </si>
  <si>
    <t>Instalar cliente de informix</t>
  </si>
  <si>
    <t>Instlar el cliente de informix 4.1 en los servidores de procesamiento donde se ecnuentre instalado el servicio IDE WEB</t>
  </si>
  <si>
    <t>Se requiere el cliente para realziar la conexión correctamente al manejador de la base de datos</t>
  </si>
  <si>
    <t>El servicio no relizará la conexión a la base de datos</t>
  </si>
  <si>
    <t>Si</t>
  </si>
  <si>
    <t>Verificar el panel de control / Agregar o Quitar programas, que se encuentre instlado el cliente de Informix Client - SDK 4.10 FC8</t>
  </si>
  <si>
    <t>IDE WEB, RFC Ampliado</t>
  </si>
  <si>
    <t>RFC AMPLIADO</t>
  </si>
  <si>
    <t>Informix Client - SDK 4.10 FC8.zip</t>
  </si>
  <si>
    <t>Descompactar el archivo Cliente_Informix_410.zip en una carpeta temporal</t>
  </si>
  <si>
    <t>Contar con el archivo Cliente_Informix_410.zip</t>
  </si>
  <si>
    <t>Seguir instrucciones de isntalción, sin modificar datos sugeridos por default</t>
  </si>
  <si>
    <t>cpidwuatnete01</t>
  </si>
  <si>
    <t>cpidwuatnete02</t>
  </si>
  <si>
    <t>cpidwuatnetc01</t>
  </si>
  <si>
    <t>cpidwuatnetc02</t>
  </si>
  <si>
    <t>10.237.10.70</t>
  </si>
  <si>
    <t>10.237.10.71</t>
  </si>
  <si>
    <t>10.237.10.72</t>
  </si>
  <si>
    <t>10.237.10.73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</si>
</sst>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
      <sz val="8"/>
      <color rgb="FF000000"/>
      <name val="Constantia"/>
      <family val="1"/>
      <charset val="1"/>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3">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
      <left style="medium">
        <color rgb="FF558ED5"/>
      </left>
      <right style="medium">
        <color rgb="FF558ED5"/>
      </right>
      <top style="medium">
        <color rgb="FF558ED5"/>
      </top>
      <bottom style="medium">
        <color rgb="FF558ED5"/>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3"/>
    <xf numFmtId="0" fontId="19" fillId="0" borderId="0"/>
    <xf numFmtId="0" fontId="1" fillId="0" borderId="0"/>
  </cellStyleXfs>
  <cellXfs count="219">
    <xf numFmtId="0" fontId="0" fillId="0" borderId="0" xfId="0"/>
    <xf numFmtId="0" fontId="20" fillId="19" borderId="36" xfId="0" applyFont="1" applyFill="1" applyBorder="1" applyAlignment="1">
      <alignment horizontal="center" vertical="center" wrapText="1"/>
    </xf>
    <xf numFmtId="0" fontId="20" fillId="7" borderId="36" xfId="0" applyFont="1" applyFill="1" applyBorder="1" applyAlignment="1">
      <alignment horizontal="center" vertical="center" wrapText="1"/>
    </xf>
    <xf numFmtId="0" fontId="20" fillId="5" borderId="36" xfId="0" applyFont="1" applyFill="1" applyBorder="1" applyAlignment="1">
      <alignment horizontal="center" vertical="center" wrapText="1"/>
    </xf>
    <xf numFmtId="0" fontId="20" fillId="20" borderId="36" xfId="0" applyFont="1" applyFill="1" applyBorder="1" applyAlignment="1">
      <alignment horizontal="center" vertical="center" wrapText="1"/>
    </xf>
    <xf numFmtId="0" fontId="20" fillId="20" borderId="37" xfId="0" applyFont="1" applyFill="1" applyBorder="1" applyAlignment="1">
      <alignment horizontal="center" vertical="center" wrapText="1"/>
    </xf>
    <xf numFmtId="0" fontId="20" fillId="20" borderId="38" xfId="0" applyFont="1" applyFill="1" applyBorder="1" applyAlignment="1">
      <alignment horizontal="center" vertical="center" wrapText="1"/>
    </xf>
    <xf numFmtId="0" fontId="20" fillId="23" borderId="38" xfId="0" applyFont="1" applyFill="1" applyBorder="1" applyAlignment="1">
      <alignment horizontal="center" vertical="center" wrapText="1"/>
    </xf>
    <xf numFmtId="0" fontId="20" fillId="10" borderId="37" xfId="0" applyFont="1" applyFill="1" applyBorder="1" applyAlignment="1">
      <alignment horizontal="center" vertical="center" wrapText="1"/>
    </xf>
    <xf numFmtId="0" fontId="20" fillId="24" borderId="36" xfId="0" applyFont="1" applyFill="1" applyBorder="1" applyAlignment="1">
      <alignment horizontal="center" vertical="center" wrapText="1"/>
    </xf>
    <xf numFmtId="0" fontId="20" fillId="10" borderId="36" xfId="0" applyFont="1" applyFill="1" applyBorder="1" applyAlignment="1">
      <alignment horizontal="center" vertical="center" wrapText="1"/>
    </xf>
    <xf numFmtId="1" fontId="22" fillId="0" borderId="13" xfId="0" applyNumberFormat="1" applyFont="1" applyBorder="1" applyAlignment="1">
      <alignment horizontal="center" vertical="center" wrapText="1"/>
    </xf>
    <xf numFmtId="0" fontId="22" fillId="0" borderId="13" xfId="0" applyFont="1" applyBorder="1" applyAlignment="1">
      <alignment horizontal="center" vertical="center" wrapText="1"/>
    </xf>
    <xf numFmtId="0" fontId="8" fillId="0" borderId="13" xfId="0" applyFont="1" applyBorder="1" applyAlignment="1">
      <alignment horizontal="center" vertical="center" wrapText="1"/>
    </xf>
    <xf numFmtId="22" fontId="22" fillId="0" borderId="13" xfId="0" applyNumberFormat="1" applyFont="1" applyBorder="1" applyAlignment="1">
      <alignment horizontal="right" vertical="center" wrapText="1"/>
    </xf>
    <xf numFmtId="168" fontId="22" fillId="0" borderId="39" xfId="0" applyNumberFormat="1" applyFont="1" applyBorder="1" applyAlignment="1">
      <alignment horizontal="right" vertical="center" wrapText="1"/>
    </xf>
    <xf numFmtId="21" fontId="22" fillId="0" borderId="13" xfId="0" applyNumberFormat="1" applyFont="1" applyBorder="1" applyAlignment="1">
      <alignment horizontal="right" vertical="center" wrapText="1"/>
    </xf>
    <xf numFmtId="0" fontId="23" fillId="0" borderId="13" xfId="0" applyFont="1" applyBorder="1" applyAlignment="1">
      <alignment horizontal="center" vertical="center" wrapText="1"/>
    </xf>
    <xf numFmtId="0" fontId="22" fillId="0" borderId="13" xfId="0" applyFont="1" applyBorder="1" applyAlignment="1">
      <alignment vertical="center" wrapText="1"/>
    </xf>
    <xf numFmtId="0" fontId="21" fillId="0" borderId="13" xfId="0" applyFont="1" applyBorder="1" applyAlignment="1">
      <alignment vertical="center" wrapText="1"/>
    </xf>
    <xf numFmtId="0" fontId="8" fillId="0" borderId="13" xfId="0" applyFont="1" applyBorder="1" applyAlignment="1">
      <alignment horizontal="center" vertical="center"/>
    </xf>
    <xf numFmtId="22" fontId="22" fillId="0" borderId="13" xfId="0" applyNumberFormat="1" applyFont="1" applyBorder="1" applyAlignment="1">
      <alignment vertical="center" wrapText="1"/>
    </xf>
    <xf numFmtId="168" fontId="22" fillId="0" borderId="13" xfId="0" applyNumberFormat="1" applyFont="1" applyBorder="1" applyAlignment="1">
      <alignment horizontal="right" vertical="center" wrapText="1"/>
    </xf>
    <xf numFmtId="0" fontId="24" fillId="0" borderId="13" xfId="0" applyFont="1" applyBorder="1" applyAlignment="1">
      <alignment vertical="center" wrapText="1"/>
    </xf>
    <xf numFmtId="1" fontId="22" fillId="0" borderId="13" xfId="0" applyNumberFormat="1" applyFont="1" applyBorder="1" applyAlignment="1">
      <alignment vertical="center" wrapText="1"/>
    </xf>
    <xf numFmtId="0" fontId="21" fillId="0" borderId="13" xfId="0" applyFont="1" applyBorder="1" applyAlignment="1">
      <alignment horizontal="left" vertical="center" wrapText="1"/>
    </xf>
    <xf numFmtId="0" fontId="22" fillId="0" borderId="39" xfId="0" applyFont="1" applyBorder="1" applyAlignment="1">
      <alignment vertical="center" wrapText="1"/>
    </xf>
    <xf numFmtId="0" fontId="4" fillId="0" borderId="40" xfId="0" applyFont="1" applyBorder="1" applyAlignment="1">
      <alignment horizontal="center" vertical="center" wrapText="1"/>
    </xf>
    <xf numFmtId="0" fontId="22" fillId="0" borderId="13" xfId="0" applyFont="1" applyBorder="1" applyAlignment="1">
      <alignment vertical="top"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6" fillId="0" borderId="0" xfId="0" applyFont="1"/>
    <xf numFmtId="0" fontId="26" fillId="0" borderId="0" xfId="0" applyFont="1" applyAlignment="1">
      <alignment horizontal="center"/>
    </xf>
    <xf numFmtId="0" fontId="29" fillId="0" borderId="0" xfId="0" applyFont="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29" fillId="3" borderId="0" xfId="2" applyFont="1" applyFill="1"/>
    <xf numFmtId="0" fontId="26" fillId="0" borderId="0" xfId="2" applyFont="1"/>
    <xf numFmtId="0" fontId="29" fillId="0" borderId="0" xfId="2" applyFont="1"/>
    <xf numFmtId="0" fontId="26" fillId="3" borderId="0" xfId="2" applyFont="1" applyFill="1" applyAlignment="1">
      <alignment horizontal="center"/>
    </xf>
    <xf numFmtId="0" fontId="29" fillId="3" borderId="0" xfId="2" applyFont="1" applyFill="1" applyAlignment="1">
      <alignment wrapText="1"/>
    </xf>
    <xf numFmtId="0" fontId="29" fillId="0" borderId="0" xfId="2" applyFont="1" applyAlignment="1">
      <alignment wrapText="1"/>
    </xf>
    <xf numFmtId="0" fontId="29" fillId="3" borderId="0" xfId="2" applyFont="1" applyFill="1" applyAlignment="1" applyProtection="1">
      <alignment horizontal="center"/>
      <protection locked="0"/>
    </xf>
    <xf numFmtId="0" fontId="32"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3" fillId="12" borderId="0" xfId="2" applyFont="1" applyFill="1"/>
    <xf numFmtId="0" fontId="28" fillId="12" borderId="0" xfId="2" applyFont="1" applyFill="1"/>
    <xf numFmtId="0" fontId="28" fillId="12" borderId="0" xfId="2" applyFont="1" applyFill="1" applyProtection="1">
      <protection locked="0"/>
    </xf>
    <xf numFmtId="0" fontId="34" fillId="0" borderId="13" xfId="0" applyFont="1" applyBorder="1" applyAlignment="1">
      <alignment horizontal="center" vertical="center"/>
    </xf>
    <xf numFmtId="22" fontId="34" fillId="0" borderId="13" xfId="0" applyNumberFormat="1" applyFont="1" applyBorder="1" applyAlignment="1" applyProtection="1">
      <alignment horizontal="left"/>
      <protection hidden="1"/>
    </xf>
    <xf numFmtId="164" fontId="34" fillId="0" borderId="13" xfId="0" applyNumberFormat="1" applyFont="1" applyBorder="1" applyAlignment="1">
      <alignment horizontal="center" vertical="top"/>
    </xf>
    <xf numFmtId="0" fontId="34" fillId="0" borderId="13" xfId="2" applyFont="1" applyBorder="1"/>
    <xf numFmtId="22" fontId="35" fillId="0" borderId="13" xfId="0" applyNumberFormat="1" applyFont="1" applyBorder="1" applyAlignment="1" applyProtection="1">
      <alignment horizontal="left"/>
      <protection hidden="1"/>
    </xf>
    <xf numFmtId="0" fontId="35" fillId="0" borderId="13" xfId="0" applyFont="1" applyBorder="1" applyAlignment="1" applyProtection="1">
      <alignment horizontal="center" vertical="center"/>
      <protection locked="0"/>
    </xf>
    <xf numFmtId="22" fontId="36" fillId="0" borderId="13" xfId="0" applyNumberFormat="1" applyFont="1" applyBorder="1" applyAlignment="1" applyProtection="1">
      <alignment horizontal="left" vertical="top"/>
      <protection locked="0"/>
    </xf>
    <xf numFmtId="164" fontId="36" fillId="0" borderId="13" xfId="0" applyNumberFormat="1" applyFont="1" applyBorder="1" applyAlignment="1" applyProtection="1">
      <alignment horizontal="center" vertical="top"/>
      <protection hidden="1"/>
    </xf>
    <xf numFmtId="0" fontId="37" fillId="0" borderId="13" xfId="2" applyFont="1" applyBorder="1" applyAlignment="1" applyProtection="1">
      <alignment wrapText="1"/>
      <protection locked="0"/>
    </xf>
    <xf numFmtId="22" fontId="36" fillId="0" borderId="13" xfId="0" applyNumberFormat="1" applyFont="1" applyBorder="1" applyAlignment="1" applyProtection="1">
      <alignment horizontal="left"/>
      <protection locked="0"/>
    </xf>
    <xf numFmtId="0" fontId="35" fillId="0" borderId="32" xfId="0" applyFont="1" applyBorder="1" applyAlignment="1">
      <alignment horizontal="center" vertical="center"/>
    </xf>
    <xf numFmtId="22" fontId="36" fillId="0" borderId="0" xfId="0" applyNumberFormat="1" applyFont="1"/>
    <xf numFmtId="164" fontId="36" fillId="0" borderId="0" xfId="0" applyNumberFormat="1" applyFont="1"/>
    <xf numFmtId="0" fontId="35" fillId="0" borderId="13" xfId="0" applyFont="1" applyBorder="1" applyAlignment="1">
      <alignment horizontal="center" vertical="center"/>
    </xf>
    <xf numFmtId="0" fontId="32" fillId="3" borderId="0" xfId="2" applyFont="1" applyFill="1"/>
    <xf numFmtId="0" fontId="39" fillId="12" borderId="0" xfId="2" applyFont="1" applyFill="1" applyProtection="1">
      <protection hidden="1"/>
    </xf>
    <xf numFmtId="0" fontId="39" fillId="12" borderId="0" xfId="2" applyFont="1" applyFill="1"/>
    <xf numFmtId="0" fontId="38" fillId="14" borderId="13" xfId="0" applyFont="1" applyFill="1" applyBorder="1" applyAlignment="1">
      <alignment horizontal="center" vertical="center" wrapText="1"/>
    </xf>
    <xf numFmtId="0" fontId="40" fillId="2" borderId="13" xfId="1" applyFont="1" applyBorder="1" applyAlignment="1" applyProtection="1">
      <alignment vertical="center" wrapText="1"/>
      <protection locked="0"/>
    </xf>
    <xf numFmtId="0" fontId="38" fillId="12" borderId="13" xfId="0" applyFont="1" applyFill="1" applyBorder="1" applyAlignment="1" applyProtection="1">
      <alignment horizontal="center" vertical="center" wrapText="1"/>
      <protection locked="0"/>
    </xf>
    <xf numFmtId="0" fontId="36" fillId="0" borderId="13" xfId="0" applyFont="1" applyBorder="1" applyAlignment="1" applyProtection="1">
      <alignment horizontal="center" vertical="center"/>
      <protection locked="0"/>
    </xf>
    <xf numFmtId="0" fontId="37" fillId="15" borderId="0" xfId="0" applyFont="1" applyFill="1"/>
    <xf numFmtId="0" fontId="37" fillId="16" borderId="0" xfId="0" applyFont="1" applyFill="1"/>
    <xf numFmtId="0" fontId="36" fillId="0" borderId="13" xfId="2" applyFont="1" applyBorder="1" applyAlignment="1" applyProtection="1">
      <alignment horizontal="center" vertical="center" wrapText="1"/>
      <protection locked="0"/>
    </xf>
    <xf numFmtId="0" fontId="37" fillId="17" borderId="0" xfId="0" applyFont="1" applyFill="1"/>
    <xf numFmtId="0" fontId="36" fillId="0" borderId="0" xfId="0" applyFont="1"/>
    <xf numFmtId="0" fontId="38" fillId="13" borderId="13" xfId="0" applyFont="1" applyFill="1" applyBorder="1" applyAlignment="1">
      <alignment horizontal="center" vertical="center" wrapText="1"/>
    </xf>
    <xf numFmtId="0" fontId="36" fillId="0" borderId="13" xfId="0" applyFont="1" applyBorder="1" applyAlignment="1" applyProtection="1">
      <alignment vertical="center" wrapText="1"/>
      <protection locked="0"/>
    </xf>
    <xf numFmtId="0" fontId="37" fillId="0" borderId="13" xfId="0" applyFont="1" applyBorder="1" applyAlignment="1" applyProtection="1">
      <alignment vertical="center" wrapText="1"/>
      <protection locked="0"/>
    </xf>
    <xf numFmtId="0" fontId="36" fillId="3" borderId="0" xfId="2" applyFont="1" applyFill="1"/>
    <xf numFmtId="0" fontId="40" fillId="0" borderId="0" xfId="1" applyFont="1" applyFill="1" applyAlignment="1" applyProtection="1">
      <alignment vertical="center" wrapText="1"/>
      <protection locked="0"/>
    </xf>
    <xf numFmtId="0" fontId="40" fillId="0" borderId="0" xfId="1" applyFont="1" applyFill="1" applyAlignment="1">
      <alignment vertical="center" wrapText="1"/>
    </xf>
    <xf numFmtId="0" fontId="37" fillId="0" borderId="0" xfId="2" applyFont="1" applyAlignment="1">
      <alignment wrapText="1"/>
    </xf>
    <xf numFmtId="0" fontId="36" fillId="0" borderId="0" xfId="0" applyFont="1" applyAlignment="1">
      <alignment horizontal="center" vertical="center"/>
    </xf>
    <xf numFmtId="0" fontId="36" fillId="0" borderId="0" xfId="2" applyFont="1"/>
    <xf numFmtId="0" fontId="41" fillId="13" borderId="0" xfId="2" applyFont="1" applyFill="1" applyAlignment="1">
      <alignment horizontal="center" vertical="center"/>
    </xf>
    <xf numFmtId="0" fontId="41" fillId="13" borderId="0" xfId="2" applyFont="1" applyFill="1" applyAlignment="1">
      <alignment horizontal="center" vertical="center" wrapText="1" shrinkToFit="1"/>
    </xf>
    <xf numFmtId="0" fontId="37" fillId="0" borderId="13" xfId="2" applyFont="1" applyBorder="1" applyProtection="1">
      <protection locked="0"/>
    </xf>
    <xf numFmtId="0" fontId="36" fillId="0" borderId="13" xfId="2" applyFont="1" applyBorder="1" applyAlignment="1" applyProtection="1">
      <alignment wrapText="1"/>
      <protection locked="0"/>
    </xf>
    <xf numFmtId="0" fontId="36" fillId="0" borderId="13" xfId="0" applyFont="1" applyBorder="1" applyProtection="1">
      <protection locked="0"/>
    </xf>
    <xf numFmtId="0" fontId="34" fillId="7" borderId="2" xfId="2" applyFont="1" applyFill="1" applyBorder="1" applyAlignment="1">
      <alignment vertical="center" wrapText="1"/>
    </xf>
    <xf numFmtId="0" fontId="36" fillId="3" borderId="0" xfId="2" applyFont="1" applyFill="1" applyAlignment="1">
      <alignment wrapText="1"/>
    </xf>
    <xf numFmtId="0" fontId="43" fillId="0" borderId="1" xfId="2" applyFont="1" applyBorder="1" applyAlignment="1">
      <alignment horizontal="left" wrapText="1"/>
    </xf>
    <xf numFmtId="0" fontId="41" fillId="0" borderId="0" xfId="2" applyFont="1"/>
    <xf numFmtId="0" fontId="38" fillId="4" borderId="2" xfId="2" applyFont="1" applyFill="1" applyBorder="1" applyAlignment="1">
      <alignment wrapText="1"/>
    </xf>
    <xf numFmtId="0" fontId="41" fillId="4" borderId="2" xfId="2" applyFont="1" applyFill="1" applyBorder="1"/>
    <xf numFmtId="0" fontId="41" fillId="4" borderId="0" xfId="2" applyFont="1" applyFill="1"/>
    <xf numFmtId="0" fontId="41" fillId="3" borderId="0" xfId="2" applyFont="1" applyFill="1" applyAlignment="1">
      <alignment horizontal="center"/>
    </xf>
    <xf numFmtId="0" fontId="37" fillId="0" borderId="2" xfId="0" applyFont="1" applyBorder="1" applyAlignment="1" applyProtection="1">
      <alignment horizontal="left" vertical="center" wrapText="1"/>
      <protection locked="0"/>
    </xf>
    <xf numFmtId="165" fontId="37" fillId="0" borderId="2" xfId="0" applyNumberFormat="1" applyFont="1" applyBorder="1" applyAlignment="1" applyProtection="1">
      <alignment horizontal="left" vertical="center" wrapText="1"/>
      <protection locked="0"/>
    </xf>
    <xf numFmtId="0" fontId="34" fillId="6" borderId="3" xfId="2" applyFont="1" applyFill="1" applyBorder="1" applyAlignment="1">
      <alignment vertical="center" wrapText="1"/>
    </xf>
    <xf numFmtId="0" fontId="37" fillId="0" borderId="2" xfId="0" applyFont="1" applyBorder="1" applyAlignment="1" applyProtection="1">
      <alignment horizontal="left" vertical="top" wrapText="1"/>
      <protection locked="0"/>
    </xf>
    <xf numFmtId="0" fontId="35" fillId="3" borderId="0" xfId="2" applyFont="1" applyFill="1" applyAlignment="1">
      <alignment horizontal="left" vertical="center"/>
    </xf>
    <xf numFmtId="0" fontId="36" fillId="3" borderId="0" xfId="2" applyFont="1" applyFill="1" applyAlignment="1">
      <alignment horizontal="left" vertical="center" wrapText="1"/>
    </xf>
    <xf numFmtId="0" fontId="34" fillId="6" borderId="2" xfId="2" applyFont="1" applyFill="1" applyBorder="1" applyAlignment="1">
      <alignment vertical="center" wrapText="1"/>
    </xf>
    <xf numFmtId="0" fontId="45" fillId="3" borderId="0" xfId="2" applyFont="1" applyFill="1"/>
    <xf numFmtId="0" fontId="34" fillId="7" borderId="2" xfId="2" applyFont="1" applyFill="1" applyBorder="1" applyAlignment="1">
      <alignment horizontal="left" vertical="center" wrapText="1"/>
    </xf>
    <xf numFmtId="0" fontId="34" fillId="8" borderId="6" xfId="2" applyFont="1" applyFill="1" applyBorder="1" applyAlignment="1">
      <alignment vertical="center" wrapText="1"/>
    </xf>
    <xf numFmtId="0" fontId="35" fillId="3" borderId="0" xfId="2" applyFont="1" applyFill="1"/>
    <xf numFmtId="0" fontId="36" fillId="3" borderId="0" xfId="2" applyFont="1" applyFill="1" applyAlignment="1">
      <alignment horizontal="left"/>
    </xf>
    <xf numFmtId="0" fontId="34" fillId="21" borderId="6" xfId="2" applyFont="1" applyFill="1" applyBorder="1" applyAlignment="1">
      <alignment vertical="center" wrapText="1"/>
    </xf>
    <xf numFmtId="0" fontId="37" fillId="0" borderId="35" xfId="0" applyFont="1" applyBorder="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37" fillId="0" borderId="34" xfId="0" applyFont="1" applyBorder="1" applyAlignment="1" applyProtection="1">
      <alignment horizontal="left" vertical="center" wrapText="1"/>
      <protection locked="0"/>
    </xf>
    <xf numFmtId="165" fontId="37" fillId="0" borderId="6" xfId="2" applyNumberFormat="1" applyFont="1" applyBorder="1" applyAlignment="1" applyProtection="1">
      <alignment horizontal="left" vertical="center" wrapText="1"/>
      <protection hidden="1"/>
    </xf>
    <xf numFmtId="0" fontId="34" fillId="21" borderId="29" xfId="2" applyFont="1" applyFill="1" applyBorder="1" applyAlignment="1">
      <alignment vertical="center" wrapText="1"/>
    </xf>
    <xf numFmtId="0" fontId="41" fillId="10" borderId="31" xfId="2" applyFont="1" applyFill="1" applyBorder="1" applyAlignment="1">
      <alignment vertical="center"/>
    </xf>
    <xf numFmtId="0" fontId="37" fillId="10" borderId="0" xfId="2" applyFont="1" applyFill="1" applyAlignment="1">
      <alignment horizontal="left" vertical="center"/>
    </xf>
    <xf numFmtId="0" fontId="37" fillId="10" borderId="30" xfId="2" applyFont="1" applyFill="1" applyBorder="1" applyAlignment="1">
      <alignment horizontal="left" vertical="center"/>
    </xf>
    <xf numFmtId="0" fontId="34" fillId="11" borderId="13" xfId="2" applyFont="1" applyFill="1" applyBorder="1" applyAlignment="1">
      <alignment vertical="center" wrapText="1"/>
    </xf>
    <xf numFmtId="165" fontId="37" fillId="0" borderId="13" xfId="2" applyNumberFormat="1" applyFont="1" applyBorder="1" applyAlignment="1" applyProtection="1">
      <alignment horizontal="left" vertical="center" wrapText="1"/>
      <protection locked="0"/>
    </xf>
    <xf numFmtId="0" fontId="37" fillId="0" borderId="13" xfId="0" applyFont="1" applyBorder="1" applyAlignment="1" applyProtection="1">
      <alignment horizontal="left" vertical="center" wrapText="1"/>
      <protection locked="0"/>
    </xf>
    <xf numFmtId="0" fontId="34" fillId="18" borderId="13" xfId="2" applyFont="1" applyFill="1" applyBorder="1" applyAlignment="1">
      <alignment vertical="center" wrapText="1"/>
    </xf>
    <xf numFmtId="0" fontId="37" fillId="0" borderId="13" xfId="2" applyFont="1" applyBorder="1" applyAlignment="1" applyProtection="1">
      <alignment horizontal="left" vertical="top" wrapText="1"/>
      <protection locked="0"/>
    </xf>
    <xf numFmtId="0" fontId="34" fillId="7" borderId="13" xfId="2" applyFont="1" applyFill="1" applyBorder="1" applyAlignment="1">
      <alignment vertical="center" wrapText="1"/>
    </xf>
    <xf numFmtId="0" fontId="37" fillId="0" borderId="13" xfId="0" applyFont="1" applyBorder="1" applyAlignment="1" applyProtection="1">
      <alignment horizontal="left" vertical="top" wrapText="1"/>
      <protection locked="0"/>
    </xf>
    <xf numFmtId="0" fontId="36" fillId="0" borderId="0" xfId="2" applyFont="1" applyAlignment="1">
      <alignment wrapText="1"/>
    </xf>
    <xf numFmtId="0" fontId="41"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lignment horizontal="center"/>
    </xf>
    <xf numFmtId="0" fontId="27" fillId="6" borderId="25" xfId="2" applyFont="1" applyFill="1" applyBorder="1" applyAlignment="1">
      <alignment horizontal="center" vertical="center" wrapText="1"/>
    </xf>
    <xf numFmtId="0" fontId="27" fillId="7" borderId="2" xfId="2" applyFont="1" applyFill="1" applyBorder="1" applyAlignment="1">
      <alignment vertical="center" wrapText="1"/>
    </xf>
    <xf numFmtId="0" fontId="28" fillId="12" borderId="26" xfId="2" applyFont="1" applyFill="1" applyBorder="1" applyAlignment="1">
      <alignment horizontal="left" vertical="center" wrapText="1"/>
    </xf>
    <xf numFmtId="0" fontId="27" fillId="18" borderId="2" xfId="2" applyFont="1" applyFill="1" applyBorder="1" applyAlignment="1">
      <alignment horizontal="left" vertical="center" wrapText="1"/>
    </xf>
    <xf numFmtId="0" fontId="28" fillId="12" borderId="2" xfId="2" applyFont="1" applyFill="1" applyBorder="1" applyAlignment="1">
      <alignment horizontal="lef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lignment horizontal="left" vertical="center" wrapText="1"/>
    </xf>
    <xf numFmtId="0" fontId="27" fillId="18" borderId="11" xfId="2" applyFont="1" applyFill="1" applyBorder="1" applyAlignment="1">
      <alignment vertical="center" wrapText="1"/>
    </xf>
    <xf numFmtId="0" fontId="27" fillId="18" borderId="18" xfId="2" applyFont="1" applyFill="1" applyBorder="1" applyAlignment="1">
      <alignment horizontal="left" vertical="center" wrapText="1"/>
    </xf>
    <xf numFmtId="0" fontId="27" fillId="18" borderId="13" xfId="2" applyFont="1" applyFill="1" applyBorder="1" applyAlignment="1">
      <alignment vertical="center" wrapText="1"/>
    </xf>
    <xf numFmtId="0" fontId="27" fillId="18" borderId="10" xfId="2" applyFont="1" applyFill="1" applyBorder="1" applyAlignment="1">
      <alignment vertical="center" wrapText="1"/>
    </xf>
    <xf numFmtId="0" fontId="27" fillId="7" borderId="13" xfId="2" applyFont="1" applyFill="1" applyBorder="1" applyAlignment="1">
      <alignment vertical="center" wrapText="1"/>
    </xf>
    <xf numFmtId="0" fontId="31" fillId="12" borderId="18" xfId="2" applyFont="1" applyFill="1" applyBorder="1" applyAlignment="1">
      <alignment horizontal="left" vertical="center" wrapText="1"/>
    </xf>
    <xf numFmtId="0" fontId="31" fillId="12" borderId="2"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5" borderId="2" xfId="2" applyFont="1" applyFill="1" applyBorder="1" applyAlignment="1">
      <alignment vertical="center" wrapText="1"/>
    </xf>
    <xf numFmtId="0" fontId="28" fillId="0" borderId="0" xfId="2" applyFont="1"/>
    <xf numFmtId="0" fontId="37" fillId="0" borderId="0" xfId="2" applyFont="1"/>
    <xf numFmtId="0" fontId="45" fillId="3" borderId="0" xfId="2" applyFont="1" applyFill="1" applyProtection="1">
      <protection hidden="1"/>
    </xf>
    <xf numFmtId="22" fontId="36" fillId="0" borderId="13" xfId="0" applyNumberFormat="1" applyFont="1" applyBorder="1" applyAlignment="1" applyProtection="1">
      <alignment horizontal="left" vertical="top" wrapText="1"/>
      <protection locked="0"/>
    </xf>
    <xf numFmtId="22" fontId="36" fillId="0" borderId="13" xfId="0" applyNumberFormat="1" applyFont="1" applyFill="1" applyBorder="1" applyAlignment="1" applyProtection="1">
      <alignment horizontal="left" vertical="top"/>
      <protection locked="0"/>
    </xf>
    <xf numFmtId="0" fontId="51" fillId="0" borderId="42" xfId="33" applyFont="1" applyBorder="1" applyAlignment="1" applyProtection="1">
      <alignment vertical="top" wrapText="1"/>
      <protection locked="0"/>
    </xf>
    <xf numFmtId="0" fontId="37" fillId="0" borderId="13" xfId="2" applyFont="1" applyFill="1" applyBorder="1" applyAlignment="1" applyProtection="1">
      <alignment wrapText="1"/>
      <protection locked="0"/>
    </xf>
    <xf numFmtId="0" fontId="42" fillId="0" borderId="13" xfId="31" applyFont="1" applyFill="1" applyBorder="1" applyAlignment="1" applyProtection="1">
      <alignment wrapText="1"/>
      <protection locked="0"/>
    </xf>
    <xf numFmtId="0" fontId="37" fillId="0" borderId="13" xfId="2" applyFont="1" applyFill="1" applyBorder="1" applyAlignment="1" applyProtection="1">
      <protection locked="0"/>
    </xf>
    <xf numFmtId="0" fontId="34" fillId="8" borderId="7" xfId="2" applyFont="1" applyFill="1" applyBorder="1" applyAlignment="1">
      <alignment horizontal="left" vertical="center" wrapText="1"/>
    </xf>
    <xf numFmtId="0" fontId="34" fillId="8" borderId="8" xfId="2" applyFont="1" applyFill="1" applyBorder="1" applyAlignment="1">
      <alignment horizontal="left" vertical="center" wrapText="1"/>
    </xf>
    <xf numFmtId="0" fontId="34" fillId="8" borderId="9" xfId="2" applyFont="1" applyFill="1" applyBorder="1" applyAlignment="1">
      <alignment horizontal="left" vertical="center" wrapText="1"/>
    </xf>
    <xf numFmtId="0" fontId="43" fillId="0" borderId="1" xfId="2" applyFont="1" applyBorder="1" applyAlignment="1">
      <alignment horizontal="center" vertical="center" wrapText="1"/>
    </xf>
    <xf numFmtId="0" fontId="37" fillId="0" borderId="3" xfId="0" applyFont="1" applyBorder="1" applyAlignment="1" applyProtection="1">
      <alignment horizontal="left" vertical="top" wrapText="1"/>
      <protection locked="0"/>
    </xf>
    <xf numFmtId="0" fontId="37" fillId="0" borderId="5" xfId="0" applyFont="1" applyBorder="1" applyAlignment="1" applyProtection="1">
      <alignment horizontal="left" vertical="top" wrapText="1"/>
      <protection locked="0"/>
    </xf>
    <xf numFmtId="0" fontId="37" fillId="0" borderId="4" xfId="0" applyFont="1" applyBorder="1" applyAlignment="1" applyProtection="1">
      <alignment horizontal="left" vertical="top" wrapText="1"/>
      <protection locked="0"/>
    </xf>
    <xf numFmtId="165" fontId="46" fillId="0" borderId="3" xfId="0" applyNumberFormat="1" applyFont="1" applyBorder="1" applyAlignment="1" applyProtection="1">
      <alignment horizontal="left" vertical="center" wrapText="1"/>
      <protection hidden="1"/>
    </xf>
    <xf numFmtId="165" fontId="46" fillId="0" borderId="4" xfId="0" applyNumberFormat="1" applyFont="1" applyBorder="1" applyAlignment="1" applyProtection="1">
      <alignment horizontal="left" vertical="center" wrapText="1"/>
      <protection hidden="1"/>
    </xf>
    <xf numFmtId="0" fontId="41" fillId="5" borderId="22" xfId="2" applyFont="1" applyFill="1" applyBorder="1" applyAlignment="1">
      <alignment horizontal="left"/>
    </xf>
    <xf numFmtId="0" fontId="41" fillId="5" borderId="12" xfId="2" applyFont="1" applyFill="1" applyBorder="1" applyAlignment="1">
      <alignment horizontal="left"/>
    </xf>
    <xf numFmtId="0" fontId="37" fillId="0" borderId="7" xfId="2" applyFont="1" applyBorder="1" applyAlignment="1" applyProtection="1">
      <alignment horizontal="left" vertical="center" wrapText="1"/>
      <protection hidden="1"/>
    </xf>
    <xf numFmtId="0" fontId="37" fillId="0" borderId="8" xfId="2" applyFont="1" applyBorder="1" applyAlignment="1" applyProtection="1">
      <alignment horizontal="left" vertical="center" wrapText="1"/>
      <protection hidden="1"/>
    </xf>
    <xf numFmtId="0" fontId="37" fillId="0" borderId="9" xfId="2" applyFont="1" applyBorder="1" applyAlignment="1" applyProtection="1">
      <alignment horizontal="left" vertical="center" wrapText="1"/>
      <protection hidden="1"/>
    </xf>
    <xf numFmtId="22" fontId="47" fillId="0" borderId="8" xfId="2" applyNumberFormat="1" applyFont="1" applyBorder="1" applyAlignment="1" applyProtection="1">
      <alignment horizontal="left" vertical="center" wrapText="1"/>
      <protection hidden="1"/>
    </xf>
    <xf numFmtId="22" fontId="47" fillId="0" borderId="9" xfId="2" applyNumberFormat="1" applyFont="1" applyBorder="1" applyAlignment="1" applyProtection="1">
      <alignment horizontal="left" vertical="center" wrapText="1"/>
      <protection hidden="1"/>
    </xf>
    <xf numFmtId="0" fontId="37" fillId="0" borderId="7" xfId="0" applyFont="1" applyBorder="1" applyAlignment="1" applyProtection="1">
      <alignment horizontal="left" vertical="top" wrapText="1"/>
      <protection locked="0"/>
    </xf>
    <xf numFmtId="0" fontId="37" fillId="0" borderId="8" xfId="0" applyFont="1" applyBorder="1" applyAlignment="1" applyProtection="1">
      <alignment horizontal="left" vertical="top" wrapText="1"/>
      <protection locked="0"/>
    </xf>
    <xf numFmtId="0" fontId="37" fillId="0" borderId="9" xfId="0" applyFont="1" applyBorder="1" applyAlignment="1" applyProtection="1">
      <alignment horizontal="left" vertical="top" wrapText="1"/>
      <protection locked="0"/>
    </xf>
    <xf numFmtId="165" fontId="46" fillId="0" borderId="7" xfId="0" applyNumberFormat="1" applyFont="1" applyBorder="1" applyAlignment="1" applyProtection="1">
      <alignment horizontal="left" vertical="center" wrapText="1"/>
      <protection hidden="1"/>
    </xf>
    <xf numFmtId="165" fontId="46" fillId="0" borderId="9" xfId="0" applyNumberFormat="1" applyFont="1" applyBorder="1" applyAlignment="1" applyProtection="1">
      <alignment horizontal="left" vertical="center" wrapText="1"/>
      <protection hidden="1"/>
    </xf>
    <xf numFmtId="0" fontId="37" fillId="0" borderId="8" xfId="0" applyFont="1" applyBorder="1" applyAlignment="1">
      <alignment horizontal="center" vertical="top" wrapText="1"/>
    </xf>
    <xf numFmtId="0" fontId="37" fillId="0" borderId="9" xfId="0" applyFont="1" applyBorder="1" applyAlignment="1">
      <alignment horizontal="center" vertical="top" wrapText="1"/>
    </xf>
    <xf numFmtId="0" fontId="42" fillId="0" borderId="13" xfId="25" applyFont="1" applyBorder="1" applyAlignment="1" applyProtection="1">
      <alignment wrapText="1"/>
      <protection locked="0"/>
    </xf>
    <xf numFmtId="0" fontId="42" fillId="0" borderId="14" xfId="25" applyFont="1" applyBorder="1" applyAlignment="1" applyProtection="1">
      <alignment wrapText="1"/>
      <protection locked="0"/>
    </xf>
    <xf numFmtId="0" fontId="42" fillId="0" borderId="16" xfId="25" applyFont="1" applyBorder="1" applyAlignment="1" applyProtection="1">
      <alignment wrapText="1"/>
      <protection locked="0"/>
    </xf>
    <xf numFmtId="0" fontId="41" fillId="13" borderId="0" xfId="2" applyFont="1" applyFill="1" applyAlignment="1">
      <alignment horizontal="left" vertical="top" wrapText="1"/>
    </xf>
    <xf numFmtId="0" fontId="42" fillId="0" borderId="13" xfId="25" applyFont="1" applyFill="1" applyBorder="1" applyAlignment="1" applyProtection="1">
      <alignment wrapText="1"/>
      <protection locked="0"/>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lignment horizontal="center"/>
    </xf>
    <xf numFmtId="0" fontId="29" fillId="9" borderId="13" xfId="0" applyFont="1" applyFill="1" applyBorder="1" applyAlignment="1">
      <alignment horizontal="left" vertical="top"/>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1" xfId="2" applyFont="1" applyFill="1" applyBorder="1" applyAlignment="1">
      <alignment horizontal="left" vertical="center" wrapText="1"/>
    </xf>
    <xf numFmtId="0" fontId="28" fillId="12" borderId="26" xfId="2" applyFont="1" applyFill="1" applyBorder="1" applyAlignment="1">
      <alignment horizontal="left" vertical="center" wrapText="1"/>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028">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26218" y="377687"/>
          <a:ext cx="1193007" cy="700087"/>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47624</xdr:colOff>
      <xdr:row>1</xdr:row>
      <xdr:rowOff>35720</xdr:rowOff>
    </xdr:from>
    <xdr:to>
      <xdr:col>4</xdr:col>
      <xdr:colOff>2369341</xdr:colOff>
      <xdr:row>1</xdr:row>
      <xdr:rowOff>559594</xdr:rowOff>
    </xdr:to>
    <xdr:pic>
      <xdr:nvPicPr>
        <xdr:cNvPr id="12" name="Imagen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0187" y="190501"/>
          <a:ext cx="2321717" cy="5238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0.24.220\d$\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S55"/>
  <sheetViews>
    <sheetView topLeftCell="A9" zoomScale="115" zoomScaleNormal="115" zoomScaleSheetLayoutView="100" workbookViewId="0">
      <selection activeCell="C15" sqref="C15:E15"/>
    </sheetView>
  </sheetViews>
  <sheetFormatPr defaultColWidth="11.42578125" defaultRowHeight="12"/>
  <cols>
    <col min="1" max="1" width="5.140625" style="88" customWidth="1"/>
    <col min="2" max="2" width="44.7109375" style="130" customWidth="1"/>
    <col min="3" max="3" width="48.85546875" style="88" customWidth="1"/>
    <col min="4" max="4" width="37.28515625" style="88" customWidth="1"/>
    <col min="5" max="5" width="36.140625" style="88" customWidth="1"/>
    <col min="6" max="6" width="14.28515625" style="88" customWidth="1"/>
    <col min="7" max="7" width="10.28515625" style="88" customWidth="1"/>
    <col min="8" max="8" width="36.140625" style="88" customWidth="1"/>
    <col min="9" max="9" width="11.42578125" style="88" customWidth="1"/>
    <col min="10" max="16384" width="11.42578125" style="88"/>
  </cols>
  <sheetData>
    <row r="1" spans="1:19" s="83" customFormat="1" ht="12" customHeight="1">
      <c r="B1" s="95"/>
    </row>
    <row r="2" spans="1:19" ht="45" customHeight="1">
      <c r="A2" s="83"/>
      <c r="B2" s="165" t="s">
        <v>209</v>
      </c>
      <c r="C2" s="165"/>
      <c r="D2" s="165"/>
      <c r="E2" s="96"/>
      <c r="F2" s="83"/>
      <c r="G2" s="83"/>
      <c r="H2" s="83"/>
      <c r="I2" s="97"/>
    </row>
    <row r="3" spans="1:19" ht="3" customHeight="1">
      <c r="A3" s="83"/>
      <c r="B3" s="98"/>
      <c r="C3" s="99"/>
      <c r="D3" s="100"/>
      <c r="E3" s="100"/>
      <c r="F3" s="83"/>
      <c r="G3" s="83"/>
      <c r="H3" s="83"/>
      <c r="I3" s="97"/>
    </row>
    <row r="4" spans="1:19">
      <c r="A4" s="83"/>
      <c r="B4" s="171" t="s">
        <v>301</v>
      </c>
      <c r="C4" s="172"/>
      <c r="D4" s="172"/>
      <c r="E4" s="172"/>
      <c r="F4" s="83"/>
      <c r="G4" s="83"/>
      <c r="H4" s="83"/>
      <c r="I4" s="97"/>
    </row>
    <row r="5" spans="1:19" ht="30" customHeight="1">
      <c r="A5" s="101"/>
      <c r="B5" s="94" t="s">
        <v>187</v>
      </c>
      <c r="C5" s="102"/>
      <c r="D5" s="94" t="s">
        <v>194</v>
      </c>
      <c r="E5" s="103" t="s">
        <v>316</v>
      </c>
      <c r="F5" s="83"/>
      <c r="G5" s="83"/>
      <c r="H5" s="83"/>
      <c r="I5" s="97"/>
      <c r="S5" s="154"/>
    </row>
    <row r="6" spans="1:19" ht="42" customHeight="1">
      <c r="A6" s="101"/>
      <c r="B6" s="104" t="s">
        <v>207</v>
      </c>
      <c r="C6" s="105"/>
      <c r="D6" s="104" t="s">
        <v>210</v>
      </c>
      <c r="E6" s="105" t="s">
        <v>305</v>
      </c>
      <c r="F6" s="83"/>
      <c r="G6" s="106"/>
      <c r="H6" s="83"/>
      <c r="S6" s="154"/>
    </row>
    <row r="7" spans="1:19" ht="53.25" customHeight="1">
      <c r="A7" s="101"/>
      <c r="B7" s="94" t="s">
        <v>195</v>
      </c>
      <c r="C7" s="102" t="s">
        <v>305</v>
      </c>
      <c r="D7" s="94" t="s">
        <v>183</v>
      </c>
      <c r="E7" s="102" t="s">
        <v>324</v>
      </c>
      <c r="F7" s="83"/>
      <c r="G7" s="105"/>
      <c r="H7" s="107" t="s">
        <v>73</v>
      </c>
      <c r="S7" s="154"/>
    </row>
    <row r="8" spans="1:19" ht="79.5" customHeight="1">
      <c r="A8" s="101"/>
      <c r="B8" s="108" t="s">
        <v>181</v>
      </c>
      <c r="C8" s="105" t="s">
        <v>317</v>
      </c>
      <c r="D8" s="108" t="s">
        <v>184</v>
      </c>
      <c r="E8" s="102" t="s">
        <v>68</v>
      </c>
      <c r="F8" s="83"/>
      <c r="G8" s="155" t="s">
        <v>297</v>
      </c>
      <c r="H8" s="109" t="s">
        <v>295</v>
      </c>
      <c r="I8" s="97"/>
      <c r="S8" s="154"/>
    </row>
    <row r="9" spans="1:19" ht="30" customHeight="1">
      <c r="A9" s="101"/>
      <c r="B9" s="94" t="s">
        <v>179</v>
      </c>
      <c r="C9" s="166" t="s">
        <v>318</v>
      </c>
      <c r="D9" s="167"/>
      <c r="E9" s="168"/>
      <c r="F9" s="83"/>
      <c r="G9" s="155" t="s">
        <v>295</v>
      </c>
      <c r="H9" s="83"/>
      <c r="I9" s="97"/>
      <c r="S9" s="154"/>
    </row>
    <row r="10" spans="1:19" ht="24.75" customHeight="1">
      <c r="A10" s="101"/>
      <c r="B10" s="108" t="s">
        <v>180</v>
      </c>
      <c r="C10" s="166" t="s">
        <v>319</v>
      </c>
      <c r="D10" s="167"/>
      <c r="E10" s="168"/>
      <c r="F10" s="83"/>
      <c r="G10" s="155" t="s">
        <v>296</v>
      </c>
      <c r="H10" s="83"/>
      <c r="S10" s="154"/>
    </row>
    <row r="11" spans="1:19" ht="45.75" customHeight="1">
      <c r="A11" s="101"/>
      <c r="B11" s="108" t="s">
        <v>182</v>
      </c>
      <c r="C11" s="102" t="s">
        <v>302</v>
      </c>
      <c r="D11" s="169"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170"/>
      <c r="F11" s="83"/>
      <c r="G11" s="155" t="s">
        <v>298</v>
      </c>
      <c r="H11" s="83"/>
      <c r="S11" s="154"/>
    </row>
    <row r="12" spans="1:19" ht="46.5" customHeight="1">
      <c r="A12" s="101"/>
      <c r="B12" s="94" t="s">
        <v>272</v>
      </c>
      <c r="C12" s="105" t="s">
        <v>320</v>
      </c>
      <c r="D12" s="94" t="s">
        <v>196</v>
      </c>
      <c r="E12" s="103">
        <v>43643.916666666664</v>
      </c>
      <c r="F12" s="83"/>
      <c r="G12" s="155" t="s">
        <v>68</v>
      </c>
      <c r="H12" s="83"/>
      <c r="S12" s="154"/>
    </row>
    <row r="13" spans="1:19" ht="40.5" customHeight="1">
      <c r="A13" s="101"/>
      <c r="B13" s="94" t="s">
        <v>197</v>
      </c>
      <c r="C13" s="102" t="s">
        <v>321</v>
      </c>
      <c r="D13" s="110" t="s">
        <v>199</v>
      </c>
      <c r="E13" s="102"/>
      <c r="F13" s="83"/>
      <c r="G13" s="155" t="s">
        <v>299</v>
      </c>
      <c r="H13" s="83"/>
    </row>
    <row r="14" spans="1:19" ht="27.75" customHeight="1">
      <c r="A14" s="101"/>
      <c r="B14" s="108" t="s">
        <v>212</v>
      </c>
      <c r="C14" s="166" t="s">
        <v>325</v>
      </c>
      <c r="D14" s="167"/>
      <c r="E14" s="168"/>
      <c r="F14" s="83"/>
      <c r="G14" s="155" t="s">
        <v>300</v>
      </c>
      <c r="H14" s="83"/>
    </row>
    <row r="15" spans="1:19" ht="47.25" customHeight="1">
      <c r="A15" s="101"/>
      <c r="B15" s="94" t="s">
        <v>198</v>
      </c>
      <c r="C15" s="166" t="s">
        <v>310</v>
      </c>
      <c r="D15" s="167"/>
      <c r="E15" s="168"/>
      <c r="F15" s="83"/>
      <c r="G15" s="83"/>
      <c r="H15" s="83"/>
    </row>
    <row r="16" spans="1:19" ht="21" customHeight="1">
      <c r="A16" s="101"/>
      <c r="B16" s="162" t="s">
        <v>148</v>
      </c>
      <c r="C16" s="163"/>
      <c r="D16" s="163"/>
      <c r="E16" s="164"/>
      <c r="F16" s="83"/>
      <c r="G16" s="83"/>
      <c r="H16" s="83"/>
    </row>
    <row r="17" spans="1:8" ht="57" customHeight="1">
      <c r="A17" s="101"/>
      <c r="B17" s="111" t="s">
        <v>200</v>
      </c>
      <c r="C17" s="178"/>
      <c r="D17" s="179"/>
      <c r="E17" s="180"/>
      <c r="F17" s="83"/>
      <c r="G17" s="112"/>
      <c r="H17" s="113"/>
    </row>
    <row r="18" spans="1:8" ht="58.5" customHeight="1">
      <c r="A18" s="101"/>
      <c r="B18" s="114" t="s">
        <v>214</v>
      </c>
      <c r="C18" s="102"/>
      <c r="D18" s="181" t="str">
        <f>IF(C18="Nulo","No se tendrá Afectación al Servicio o Componentes",IF(C18="Parcial","Se presentará Intermitencia o Degradación en el Servicio",IF(C18="Total","Se presentará Afectación del Servicio o Componentes durante la Ventana de Tiempo","")))</f>
        <v/>
      </c>
      <c r="E18" s="182"/>
      <c r="F18" s="83"/>
      <c r="G18" s="115"/>
      <c r="H18" s="107" t="s">
        <v>72</v>
      </c>
    </row>
    <row r="19" spans="1:8" ht="51" customHeight="1">
      <c r="A19" s="101"/>
      <c r="B19" s="114" t="s">
        <v>215</v>
      </c>
      <c r="C19" s="178"/>
      <c r="D19" s="179"/>
      <c r="E19" s="180"/>
      <c r="F19" s="83"/>
      <c r="G19" s="83"/>
      <c r="H19" s="83"/>
    </row>
    <row r="20" spans="1:8" ht="51" customHeight="1">
      <c r="A20" s="101"/>
      <c r="B20" s="114" t="s">
        <v>201</v>
      </c>
      <c r="C20" s="116"/>
      <c r="D20" s="183"/>
      <c r="E20" s="184"/>
      <c r="F20" s="83"/>
      <c r="G20" s="83"/>
      <c r="H20" s="83"/>
    </row>
    <row r="21" spans="1:8" ht="60.75" customHeight="1">
      <c r="A21" s="101"/>
      <c r="B21" s="111" t="s">
        <v>273</v>
      </c>
      <c r="C21" s="117"/>
      <c r="D21" s="111" t="s">
        <v>274</v>
      </c>
      <c r="E21" s="115"/>
      <c r="F21" s="83"/>
      <c r="G21" s="83"/>
      <c r="H21" s="83"/>
    </row>
    <row r="22" spans="1:8" ht="36" customHeight="1">
      <c r="A22" s="101"/>
      <c r="B22" s="114" t="s">
        <v>275</v>
      </c>
      <c r="C22" s="117"/>
      <c r="D22" s="114" t="s">
        <v>202</v>
      </c>
      <c r="E22" s="115"/>
      <c r="F22" s="83"/>
      <c r="G22" s="83"/>
      <c r="H22" s="83"/>
    </row>
    <row r="23" spans="1:8" ht="25.5" customHeight="1">
      <c r="A23" s="101"/>
      <c r="B23" s="111" t="s">
        <v>216</v>
      </c>
      <c r="C23" s="118" t="str">
        <f>Plan!E5</f>
        <v>Captura F/H Primer Actividad pestaña Plan</v>
      </c>
      <c r="D23" s="111" t="s">
        <v>217</v>
      </c>
      <c r="E23" s="118" t="str">
        <f>Plan!F5</f>
        <v>Captura la F/H FIN de Actividad actividad FIN del Plan</v>
      </c>
      <c r="F23" s="83"/>
      <c r="G23" s="83"/>
      <c r="H23" s="83"/>
    </row>
    <row r="24" spans="1:8" ht="36" customHeight="1">
      <c r="A24" s="101"/>
      <c r="B24" s="114" t="s">
        <v>219</v>
      </c>
      <c r="C24" s="118" t="str">
        <f>IF(Plan!D4=0,"Selecciona VT Actividad en Pestaña Plan celda D4",Plan!D4)</f>
        <v>No Requiere VT</v>
      </c>
      <c r="D24" s="176"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xml:space="preserve">Si No Requiere VT  En las Actividades del Plan NO deberá haber Actividades Documentadas con una Disruptiva Parcial o una Disruptiva Total </v>
      </c>
      <c r="E24" s="177"/>
      <c r="F24" s="83"/>
      <c r="G24" s="83"/>
      <c r="H24" s="83"/>
    </row>
    <row r="25" spans="1:8" ht="27.75" customHeight="1">
      <c r="A25" s="101"/>
      <c r="B25" s="111" t="s">
        <v>218</v>
      </c>
      <c r="C25" s="118" t="str">
        <f>Plan!E4</f>
        <v/>
      </c>
      <c r="D25" s="111" t="s">
        <v>220</v>
      </c>
      <c r="E25" s="118" t="str">
        <f>Plan!F4</f>
        <v/>
      </c>
      <c r="F25" s="83"/>
      <c r="G25" s="83"/>
      <c r="H25" s="83"/>
    </row>
    <row r="26" spans="1:8" ht="30.75" customHeight="1">
      <c r="A26" s="101"/>
      <c r="B26" s="119" t="s">
        <v>203</v>
      </c>
      <c r="C26" s="178"/>
      <c r="D26" s="179"/>
      <c r="E26" s="180"/>
      <c r="F26" s="83"/>
      <c r="G26" s="83"/>
      <c r="H26" s="83"/>
    </row>
    <row r="27" spans="1:8" ht="33" customHeight="1">
      <c r="A27" s="101"/>
      <c r="B27" s="111" t="s">
        <v>204</v>
      </c>
      <c r="C27" s="173" t="str">
        <f>CONCATENATE('Matriz de comunicación'!B12,",  ",'Matriz de comunicación'!B13,",  ",'Matriz de comunicación'!B14,",  ",'Matriz de comunicación'!B15,",  ",'Matriz de comunicación'!B16,",  ",'Matriz de comunicación'!B17,",  ",'Matriz de comunicación'!B18,",  ",'Matriz de comunicación'!B19,",  ",'Matriz de comunicación'!B20,",  ",'Matriz de comunicación'!B21,)</f>
        <v xml:space="preserve">,  ,  ,  ,  ,  ,  ,  ,  ,  </v>
      </c>
      <c r="D27" s="174"/>
      <c r="E27" s="175"/>
      <c r="F27" s="83"/>
      <c r="G27" s="83"/>
      <c r="H27" s="83"/>
    </row>
    <row r="28" spans="1:8" ht="16.5" customHeight="1">
      <c r="A28" s="101"/>
      <c r="B28" s="120" t="s">
        <v>149</v>
      </c>
      <c r="C28" s="121"/>
      <c r="D28" s="121"/>
      <c r="E28" s="122"/>
      <c r="F28" s="83"/>
      <c r="G28" s="83"/>
      <c r="H28" s="83"/>
    </row>
    <row r="29" spans="1:8" ht="39" customHeight="1">
      <c r="A29" s="101"/>
      <c r="B29" s="123" t="s">
        <v>276</v>
      </c>
      <c r="C29" s="124"/>
      <c r="D29" s="123" t="s">
        <v>277</v>
      </c>
      <c r="E29" s="124"/>
      <c r="F29" s="83"/>
      <c r="G29" s="125"/>
      <c r="H29" s="107" t="s">
        <v>74</v>
      </c>
    </row>
    <row r="30" spans="1:8" ht="35.25" customHeight="1">
      <c r="A30" s="101"/>
      <c r="B30" s="126" t="s">
        <v>222</v>
      </c>
      <c r="C30" s="127"/>
      <c r="D30" s="126" t="s">
        <v>221</v>
      </c>
      <c r="E30" s="127"/>
      <c r="F30" s="83"/>
      <c r="G30" s="83"/>
      <c r="H30" s="83"/>
    </row>
    <row r="31" spans="1:8" ht="30.75" customHeight="1">
      <c r="A31" s="83"/>
      <c r="B31" s="123" t="s">
        <v>244</v>
      </c>
      <c r="C31" s="127"/>
      <c r="D31" s="123" t="s">
        <v>206</v>
      </c>
      <c r="E31" s="127"/>
      <c r="F31" s="83"/>
      <c r="G31" s="83"/>
      <c r="H31" s="83"/>
    </row>
    <row r="32" spans="1:8" ht="30.75" customHeight="1">
      <c r="A32" s="83"/>
      <c r="B32" s="126" t="s">
        <v>205</v>
      </c>
      <c r="C32" s="127"/>
      <c r="D32" s="126" t="s">
        <v>247</v>
      </c>
      <c r="E32" s="127"/>
      <c r="F32" s="83"/>
      <c r="G32" s="83"/>
      <c r="H32" s="83"/>
    </row>
    <row r="33" spans="1:8" ht="38.25" customHeight="1">
      <c r="A33" s="83"/>
      <c r="B33" s="128" t="s">
        <v>278</v>
      </c>
      <c r="C33" s="125" t="s">
        <v>306</v>
      </c>
      <c r="D33" s="128" t="s">
        <v>279</v>
      </c>
      <c r="E33" s="129" t="s">
        <v>305</v>
      </c>
      <c r="F33" s="83"/>
      <c r="G33" s="83"/>
      <c r="H33" s="83"/>
    </row>
    <row r="34" spans="1:8" ht="30.75" customHeight="1">
      <c r="A34" s="83"/>
      <c r="B34" s="95"/>
      <c r="C34" s="83"/>
      <c r="D34" s="83"/>
      <c r="E34" s="83"/>
      <c r="F34" s="83"/>
      <c r="G34" s="83"/>
      <c r="H34" s="83"/>
    </row>
    <row r="35" spans="1:8" ht="30.75" customHeight="1">
      <c r="A35" s="83"/>
      <c r="B35" s="95"/>
      <c r="C35" s="83"/>
      <c r="D35" s="83"/>
      <c r="E35" s="83"/>
      <c r="F35" s="83"/>
      <c r="G35" s="83"/>
      <c r="H35" s="83"/>
    </row>
    <row r="36" spans="1:8" ht="30.75" customHeight="1">
      <c r="A36" s="83"/>
      <c r="B36" s="95"/>
      <c r="C36" s="83"/>
      <c r="D36" s="83"/>
      <c r="E36" s="83"/>
      <c r="F36" s="83"/>
      <c r="G36" s="83"/>
      <c r="H36" s="83"/>
    </row>
    <row r="37" spans="1:8" ht="30.75" customHeight="1">
      <c r="A37" s="83"/>
      <c r="B37" s="95"/>
      <c r="C37" s="83"/>
      <c r="D37" s="83"/>
      <c r="E37" s="83"/>
      <c r="F37" s="83"/>
      <c r="G37" s="83"/>
      <c r="H37" s="83"/>
    </row>
    <row r="38" spans="1:8" ht="30.75" customHeight="1">
      <c r="A38" s="83"/>
      <c r="B38" s="95"/>
      <c r="C38" s="83"/>
      <c r="D38" s="83"/>
      <c r="E38" s="83"/>
      <c r="F38" s="83"/>
      <c r="G38" s="83"/>
      <c r="H38" s="83"/>
    </row>
    <row r="39" spans="1:8" ht="30.75" customHeight="1">
      <c r="A39" s="83"/>
      <c r="B39" s="95"/>
      <c r="C39" s="83"/>
      <c r="D39" s="83"/>
      <c r="E39" s="83"/>
      <c r="F39" s="83"/>
      <c r="G39" s="83"/>
      <c r="H39" s="83"/>
    </row>
    <row r="40" spans="1:8" ht="30.75" customHeight="1">
      <c r="A40" s="83"/>
      <c r="B40" s="95"/>
      <c r="C40" s="83"/>
      <c r="D40" s="83"/>
      <c r="E40" s="83"/>
      <c r="F40" s="83"/>
      <c r="G40" s="83"/>
      <c r="H40" s="83"/>
    </row>
    <row r="41" spans="1:8" ht="30.75" customHeight="1">
      <c r="A41" s="83"/>
      <c r="B41" s="95"/>
      <c r="C41" s="83"/>
      <c r="D41" s="83"/>
      <c r="E41" s="83"/>
      <c r="F41" s="83"/>
      <c r="G41" s="83"/>
      <c r="H41" s="83"/>
    </row>
    <row r="42" spans="1:8" ht="30.75" customHeight="1">
      <c r="A42" s="83"/>
      <c r="B42" s="95"/>
      <c r="C42" s="83"/>
      <c r="D42" s="83"/>
      <c r="E42" s="83"/>
      <c r="F42" s="83"/>
      <c r="G42" s="83"/>
      <c r="H42" s="83"/>
    </row>
    <row r="43" spans="1:8" ht="30.75" customHeight="1">
      <c r="A43" s="83"/>
      <c r="B43" s="95"/>
      <c r="C43" s="83"/>
      <c r="D43" s="83"/>
      <c r="E43" s="83"/>
      <c r="F43" s="83"/>
      <c r="G43" s="83"/>
      <c r="H43" s="83"/>
    </row>
    <row r="44" spans="1:8" ht="30.75" customHeight="1">
      <c r="A44" s="83"/>
      <c r="B44" s="95"/>
      <c r="C44" s="83"/>
      <c r="D44" s="83"/>
      <c r="E44" s="83"/>
      <c r="F44" s="83"/>
      <c r="G44" s="83"/>
      <c r="H44" s="83"/>
    </row>
    <row r="45" spans="1:8" ht="30.75" customHeight="1">
      <c r="A45" s="83"/>
      <c r="B45" s="95"/>
      <c r="C45" s="83"/>
      <c r="D45" s="83"/>
      <c r="E45" s="83"/>
      <c r="F45" s="83"/>
      <c r="G45" s="83"/>
      <c r="H45" s="83"/>
    </row>
    <row r="46" spans="1:8" ht="30.75" customHeight="1">
      <c r="A46" s="83"/>
      <c r="B46" s="95"/>
      <c r="C46" s="83"/>
      <c r="D46" s="83"/>
      <c r="E46" s="83"/>
      <c r="F46" s="83"/>
      <c r="G46" s="83"/>
      <c r="H46" s="83"/>
    </row>
    <row r="47" spans="1:8" ht="30.75" customHeight="1">
      <c r="A47" s="83"/>
      <c r="B47" s="95"/>
      <c r="C47" s="83"/>
      <c r="D47" s="83"/>
      <c r="E47" s="83"/>
      <c r="F47" s="83"/>
      <c r="G47" s="83"/>
      <c r="H47" s="83"/>
    </row>
    <row r="48" spans="1:8" ht="30.75" customHeight="1">
      <c r="A48" s="83"/>
      <c r="B48" s="95"/>
      <c r="C48" s="83"/>
      <c r="D48" s="83"/>
      <c r="E48" s="83"/>
      <c r="F48" s="83"/>
      <c r="G48" s="83"/>
      <c r="H48" s="83"/>
    </row>
    <row r="49" spans="1:8" ht="30.75" customHeight="1">
      <c r="A49" s="83"/>
      <c r="B49" s="95"/>
      <c r="C49" s="83"/>
      <c r="D49" s="83"/>
      <c r="E49" s="83"/>
      <c r="F49" s="83"/>
      <c r="G49" s="83"/>
      <c r="H49" s="83"/>
    </row>
    <row r="50" spans="1:8" ht="30.75" customHeight="1">
      <c r="A50" s="83"/>
      <c r="B50" s="95"/>
      <c r="C50" s="83"/>
      <c r="D50" s="83"/>
      <c r="E50" s="83"/>
      <c r="F50" s="83"/>
      <c r="G50" s="83"/>
      <c r="H50" s="83"/>
    </row>
    <row r="51" spans="1:8" ht="30.75" customHeight="1">
      <c r="A51" s="83"/>
      <c r="B51" s="95"/>
      <c r="C51" s="83"/>
      <c r="D51" s="83"/>
      <c r="E51" s="83"/>
      <c r="F51" s="83"/>
      <c r="G51" s="83"/>
      <c r="H51" s="83"/>
    </row>
    <row r="52" spans="1:8" ht="30.75" customHeight="1">
      <c r="A52" s="83"/>
      <c r="B52" s="95"/>
      <c r="C52" s="83"/>
      <c r="D52" s="83"/>
      <c r="E52" s="83"/>
      <c r="F52" s="83"/>
      <c r="G52" s="83"/>
      <c r="H52" s="83"/>
    </row>
    <row r="53" spans="1:8" ht="30.75" customHeight="1">
      <c r="A53" s="83"/>
      <c r="B53" s="95"/>
      <c r="C53" s="83"/>
      <c r="D53" s="83"/>
      <c r="E53" s="83"/>
      <c r="F53" s="83"/>
      <c r="G53" s="83"/>
      <c r="H53" s="83"/>
    </row>
    <row r="54" spans="1:8" ht="30.75" customHeight="1">
      <c r="A54" s="83"/>
      <c r="B54" s="95"/>
      <c r="C54" s="83"/>
      <c r="D54" s="83"/>
      <c r="E54" s="83"/>
      <c r="F54" s="83"/>
      <c r="G54" s="83"/>
      <c r="H54" s="83"/>
    </row>
    <row r="55" spans="1:8" ht="30.75" customHeight="1">
      <c r="A55" s="83"/>
      <c r="B55" s="95"/>
      <c r="C55" s="83"/>
      <c r="D55" s="83"/>
      <c r="E55" s="83"/>
      <c r="F55" s="83"/>
      <c r="G55" s="83"/>
      <c r="H55" s="83"/>
    </row>
  </sheetData>
  <sheetProtection algorithmName="SHA-512" hashValue="+R8waiIJ5+OEp11kj9DJ+WRTZR22k21IdcOH8uST1mEosou6aP6YToTQYzsjfFGYHiTbN3TbjxljElgk8ehk8w==" saltValue="4dtGoI/3hAG61qgzpPdZ/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C27:E27"/>
    <mergeCell ref="D24:E24"/>
    <mergeCell ref="C17:E17"/>
    <mergeCell ref="C26:E26"/>
    <mergeCell ref="C19:E19"/>
    <mergeCell ref="D18:E18"/>
    <mergeCell ref="D20:E20"/>
    <mergeCell ref="B16:E16"/>
    <mergeCell ref="B2:D2"/>
    <mergeCell ref="C9:E9"/>
    <mergeCell ref="C10:E10"/>
    <mergeCell ref="C14:E14"/>
    <mergeCell ref="C15:E15"/>
    <mergeCell ref="D11:E11"/>
    <mergeCell ref="B4:E4"/>
  </mergeCells>
  <conditionalFormatting sqref="C27:E27">
    <cfRule type="containsText" dxfId="1027" priority="158" operator="containsText" text="Captura los Aprobadores en la Pestaña Matriz de Comunicación">
      <formula>NOT(ISERROR(SEARCH("Captura los Aprobadores en la Pestaña Matriz de Comunicación",C27)))</formula>
    </cfRule>
    <cfRule type="containsText" dxfId="1026" priority="206" operator="containsText" text="Captura Aprobadores en la pestaña Matriz de comunicación">
      <formula>NOT(ISERROR(SEARCH("Captura Aprobadores en la pestaña Matriz de comunicación",C27)))</formula>
    </cfRule>
  </conditionalFormatting>
  <conditionalFormatting sqref="C23">
    <cfRule type="containsBlanks" dxfId="1025" priority="92">
      <formula>LEN(TRIM(C23))=0</formula>
    </cfRule>
    <cfRule type="containsText" dxfId="1024" priority="204" operator="containsText" text="Captura F/H Primer Actividad pestaña Plan">
      <formula>NOT(ISERROR(SEARCH("Captura F/H Primer Actividad pestaña Plan",C23)))</formula>
    </cfRule>
  </conditionalFormatting>
  <conditionalFormatting sqref="E23">
    <cfRule type="containsText" dxfId="1023" priority="203" operator="containsText" text="Captura Actividad Macro FIN en Pestaña Plan">
      <formula>NOT(ISERROR(SEARCH("Captura Actividad Macro FIN en Pestaña Plan",E23)))</formula>
    </cfRule>
  </conditionalFormatting>
  <conditionalFormatting sqref="D24:E24">
    <cfRule type="containsText" dxfId="1022" priority="201" operator="containsText" text="Selecciona en la pestaña Plan la opción en la Celda D4">
      <formula>NOT(ISERROR(SEARCH("Selecciona en la pestaña Plan la opción en la Celda D4",D24)))</formula>
    </cfRule>
  </conditionalFormatting>
  <conditionalFormatting sqref="C6">
    <cfRule type="containsBlanks" dxfId="1021" priority="221">
      <formula>LEN(TRIM(C6))=0</formula>
    </cfRule>
  </conditionalFormatting>
  <conditionalFormatting sqref="E6">
    <cfRule type="containsBlanks" dxfId="1020" priority="222">
      <formula>LEN(TRIM(E6))=0</formula>
    </cfRule>
  </conditionalFormatting>
  <conditionalFormatting sqref="C15">
    <cfRule type="containsBlanks" dxfId="1019" priority="234">
      <formula>LEN(TRIM(C15))=0</formula>
    </cfRule>
  </conditionalFormatting>
  <conditionalFormatting sqref="C17">
    <cfRule type="containsBlanks" dxfId="1018" priority="220">
      <formula>LEN(TRIM(C17))=0</formula>
    </cfRule>
  </conditionalFormatting>
  <conditionalFormatting sqref="C18">
    <cfRule type="containsBlanks" dxfId="1017" priority="219">
      <formula>LEN(TRIM(C18))=0</formula>
    </cfRule>
  </conditionalFormatting>
  <conditionalFormatting sqref="C19:C20">
    <cfRule type="containsBlanks" dxfId="1016" priority="102">
      <formula>LEN(TRIM(C19))=0</formula>
    </cfRule>
  </conditionalFormatting>
  <conditionalFormatting sqref="C21">
    <cfRule type="containsBlanks" dxfId="1015" priority="100">
      <formula>LEN(TRIM(C21))=0</formula>
    </cfRule>
  </conditionalFormatting>
  <conditionalFormatting sqref="E21">
    <cfRule type="containsBlanks" dxfId="1014" priority="98">
      <formula>LEN(TRIM(E21))=0</formula>
    </cfRule>
  </conditionalFormatting>
  <conditionalFormatting sqref="E22">
    <cfRule type="containsBlanks" dxfId="1013" priority="94">
      <formula>LEN(TRIM(E22))=0</formula>
    </cfRule>
  </conditionalFormatting>
  <conditionalFormatting sqref="C24">
    <cfRule type="containsText" dxfId="1012" priority="45" operator="containsText" text="Selecciona VT Actividad en Pestaña Plan celda D4">
      <formula>NOT(ISERROR(SEARCH("Selecciona VT Actividad en Pestaña Plan celda D4",C24)))</formula>
    </cfRule>
    <cfRule type="containsBlanks" dxfId="1011" priority="90">
      <formula>LEN(TRIM(C24))=0</formula>
    </cfRule>
    <cfRule type="containsText" dxfId="1010" priority="91" operator="containsText" text="Captura F/H Primer Actividad pestaña Plan">
      <formula>NOT(ISERROR(SEARCH("Captura F/H Primer Actividad pestaña Plan",C24)))</formula>
    </cfRule>
  </conditionalFormatting>
  <conditionalFormatting sqref="C25">
    <cfRule type="containsText" dxfId="1009" priority="44" operator="containsText" text="Captura Actividad Macro VTI pestaña PIan">
      <formula>NOT(ISERROR(SEARCH("Captura Actividad Macro VTI pestaña PIan",C25)))</formula>
    </cfRule>
    <cfRule type="containsText" dxfId="1008" priority="89" operator="containsText" text="Captura F/H Primer Actividad pestaña Plan">
      <formula>NOT(ISERROR(SEARCH("Captura F/H Primer Actividad pestaña Plan",C25)))</formula>
    </cfRule>
  </conditionalFormatting>
  <conditionalFormatting sqref="E25">
    <cfRule type="containsText" dxfId="1007" priority="43" operator="containsText" text="Captura Actividad Macro VTF Pestaña Plan">
      <formula>NOT(ISERROR(SEARCH("Captura Actividad Macro VTF Pestaña Plan",E25)))</formula>
    </cfRule>
    <cfRule type="containsText" dxfId="1006" priority="87" operator="containsText" text="Captura F/H Primer Actividad pestaña Plan">
      <formula>NOT(ISERROR(SEARCH("Captura F/H Primer Actividad pestaña Plan",E25)))</formula>
    </cfRule>
  </conditionalFormatting>
  <conditionalFormatting sqref="C26">
    <cfRule type="containsBlanks" dxfId="1005" priority="85">
      <formula>LEN(TRIM(C26))=0</formula>
    </cfRule>
  </conditionalFormatting>
  <conditionalFormatting sqref="C22">
    <cfRule type="containsBlanks" dxfId="1004" priority="83">
      <formula>LEN(TRIM(C22))=0</formula>
    </cfRule>
  </conditionalFormatting>
  <conditionalFormatting sqref="G29">
    <cfRule type="containsBlanks" dxfId="1003" priority="223">
      <formula>LEN(TRIM(G29))=0</formula>
    </cfRule>
  </conditionalFormatting>
  <conditionalFormatting sqref="C29">
    <cfRule type="containsText" dxfId="1002" priority="77" operator="containsText" text="Captura F/H Primer Actividad pestaña Plan">
      <formula>NOT(ISERROR(SEARCH("Captura F/H Primer Actividad pestaña Plan",C29)))</formula>
    </cfRule>
    <cfRule type="containsBlanks" dxfId="1001" priority="224">
      <formula>LEN(TRIM(C29))=0</formula>
    </cfRule>
  </conditionalFormatting>
  <conditionalFormatting sqref="E29">
    <cfRule type="containsText" dxfId="1000" priority="74" operator="containsText" text="Captura F/H Primer Actividad pestaña Plan">
      <formula>NOT(ISERROR(SEARCH("Captura F/H Primer Actividad pestaña Plan",E29)))</formula>
    </cfRule>
    <cfRule type="containsBlanks" dxfId="999" priority="75">
      <formula>LEN(TRIM(E29))=0</formula>
    </cfRule>
  </conditionalFormatting>
  <conditionalFormatting sqref="C31">
    <cfRule type="containsText" dxfId="998" priority="68" operator="containsText" text="Captura F/H Primer Actividad pestaña Plan">
      <formula>NOT(ISERROR(SEARCH("Captura F/H Primer Actividad pestaña Plan",C31)))</formula>
    </cfRule>
    <cfRule type="containsBlanks" dxfId="997" priority="69">
      <formula>LEN(TRIM(C31))=0</formula>
    </cfRule>
  </conditionalFormatting>
  <conditionalFormatting sqref="E31">
    <cfRule type="containsText" dxfId="996" priority="66" operator="containsText" text="Captura F/H Primer Actividad pestaña Plan">
      <formula>NOT(ISERROR(SEARCH("Captura F/H Primer Actividad pestaña Plan",E31)))</formula>
    </cfRule>
    <cfRule type="containsBlanks" dxfId="995" priority="67">
      <formula>LEN(TRIM(E31))=0</formula>
    </cfRule>
  </conditionalFormatting>
  <conditionalFormatting sqref="C32">
    <cfRule type="containsText" dxfId="994" priority="64" operator="containsText" text="Captura F/H Primer Actividad pestaña Plan">
      <formula>NOT(ISERROR(SEARCH("Captura F/H Primer Actividad pestaña Plan",C32)))</formula>
    </cfRule>
    <cfRule type="containsBlanks" dxfId="993" priority="65">
      <formula>LEN(TRIM(C32))=0</formula>
    </cfRule>
  </conditionalFormatting>
  <conditionalFormatting sqref="E32">
    <cfRule type="containsText" dxfId="992" priority="62" operator="containsText" text="Captura F/H Primer Actividad pestaña Plan">
      <formula>NOT(ISERROR(SEARCH("Captura F/H Primer Actividad pestaña Plan",E32)))</formula>
    </cfRule>
    <cfRule type="containsBlanks" dxfId="991" priority="63">
      <formula>LEN(TRIM(E32))=0</formula>
    </cfRule>
  </conditionalFormatting>
  <conditionalFormatting sqref="G18">
    <cfRule type="containsBlanks" dxfId="990" priority="61">
      <formula>LEN(TRIM(G18))=0</formula>
    </cfRule>
  </conditionalFormatting>
  <conditionalFormatting sqref="G7">
    <cfRule type="containsBlanks" dxfId="989" priority="59">
      <formula>LEN(TRIM(G7))=0</formula>
    </cfRule>
  </conditionalFormatting>
  <conditionalFormatting sqref="C33">
    <cfRule type="containsBlanks" dxfId="988" priority="53">
      <formula>LEN(TRIM(C33))=0</formula>
    </cfRule>
  </conditionalFormatting>
  <conditionalFormatting sqref="E33">
    <cfRule type="containsBlanks" dxfId="987" priority="51">
      <formula>LEN(TRIM(E33))=0</formula>
    </cfRule>
  </conditionalFormatting>
  <conditionalFormatting sqref="E30">
    <cfRule type="containsText" dxfId="986" priority="39" operator="containsText" text="Captura F/H Primer Actividad pestaña Plan">
      <formula>NOT(ISERROR(SEARCH("Captura F/H Primer Actividad pestaña Plan",E30)))</formula>
    </cfRule>
    <cfRule type="containsBlanks" dxfId="985" priority="40">
      <formula>LEN(TRIM(E30))=0</formula>
    </cfRule>
  </conditionalFormatting>
  <conditionalFormatting sqref="C30">
    <cfRule type="containsText" dxfId="984" priority="33" operator="containsText" text="Captura F/H Primer Actividad pestaña Plan">
      <formula>NOT(ISERROR(SEARCH("Captura F/H Primer Actividad pestaña Plan",C30)))</formula>
    </cfRule>
    <cfRule type="containsBlanks" dxfId="983" priority="34">
      <formula>LEN(TRIM(C30))=0</formula>
    </cfRule>
  </conditionalFormatting>
  <conditionalFormatting sqref="C5">
    <cfRule type="containsBlanks" dxfId="982" priority="32">
      <formula>LEN(TRIM(C5))=0</formula>
    </cfRule>
  </conditionalFormatting>
  <conditionalFormatting sqref="C7">
    <cfRule type="containsBlanks" dxfId="981" priority="30">
      <formula>LEN(TRIM(C7))=0</formula>
    </cfRule>
  </conditionalFormatting>
  <conditionalFormatting sqref="E7">
    <cfRule type="containsBlanks" dxfId="980" priority="29">
      <formula>LEN(TRIM(E7))=0</formula>
    </cfRule>
  </conditionalFormatting>
  <conditionalFormatting sqref="E8">
    <cfRule type="containsBlanks" dxfId="979" priority="28">
      <formula>LEN(TRIM(E8))=0</formula>
    </cfRule>
  </conditionalFormatting>
  <conditionalFormatting sqref="C11">
    <cfRule type="containsBlanks" dxfId="978" priority="26">
      <formula>LEN(TRIM(C11))=0</formula>
    </cfRule>
  </conditionalFormatting>
  <conditionalFormatting sqref="C14">
    <cfRule type="containsBlanks" dxfId="977" priority="23">
      <formula>LEN(TRIM(C14))=0</formula>
    </cfRule>
  </conditionalFormatting>
  <conditionalFormatting sqref="E12">
    <cfRule type="containsBlanks" dxfId="976" priority="8">
      <formula>LEN(TRIM(E12))=0</formula>
    </cfRule>
  </conditionalFormatting>
  <conditionalFormatting sqref="E5">
    <cfRule type="containsBlanks" dxfId="975" priority="7">
      <formula>LEN(TRIM(E5))=0</formula>
    </cfRule>
  </conditionalFormatting>
  <conditionalFormatting sqref="C8">
    <cfRule type="containsBlanks" dxfId="974" priority="6">
      <formula>LEN(TRIM(C8))=0</formula>
    </cfRule>
  </conditionalFormatting>
  <conditionalFormatting sqref="C9">
    <cfRule type="containsBlanks" dxfId="973" priority="5">
      <formula>LEN(TRIM(C9))=0</formula>
    </cfRule>
  </conditionalFormatting>
  <conditionalFormatting sqref="C10">
    <cfRule type="containsBlanks" dxfId="972" priority="4">
      <formula>LEN(TRIM(C10))=0</formula>
    </cfRule>
  </conditionalFormatting>
  <conditionalFormatting sqref="C12">
    <cfRule type="containsBlanks" dxfId="971" priority="3">
      <formula>LEN(TRIM(C12))=0</formula>
    </cfRule>
  </conditionalFormatting>
  <conditionalFormatting sqref="C13">
    <cfRule type="containsBlanks" dxfId="970" priority="2">
      <formula>LEN(TRIM(C13))=0</formula>
    </cfRule>
  </conditionalFormatting>
  <conditionalFormatting sqref="E13">
    <cfRule type="containsBlanks" dxfId="969" priority="1">
      <formula>LEN(TRIM(E13))=0</formula>
    </cfRule>
  </conditionalFormatting>
  <dataValidations xWindow="512" yWindow="500"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$G$8:$G$14</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prompt="Selecciona Opción de Lista"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19685039370078741" bottom="0.19685039370078741"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tabSelected="1" zoomScale="90" zoomScaleNormal="90" workbookViewId="0">
      <selection activeCell="E9" sqref="E9"/>
    </sheetView>
  </sheetViews>
  <sheetFormatPr defaultColWidth="11.42578125" defaultRowHeight="12.75" customHeight="1"/>
  <cols>
    <col min="1" max="2" width="3.42578125" style="41" customWidth="1"/>
    <col min="3" max="3" width="11.42578125" style="41" customWidth="1"/>
    <col min="4" max="4" width="37.85546875" style="43" customWidth="1"/>
    <col min="5" max="5" width="30.85546875" style="43" customWidth="1"/>
    <col min="6" max="6" width="38" style="43" customWidth="1"/>
    <col min="7" max="7" width="46.140625" style="43" customWidth="1"/>
    <col min="8" max="8" width="21.7109375" style="43" customWidth="1"/>
    <col min="9" max="9" width="16.28515625" style="41" customWidth="1"/>
    <col min="10" max="10" width="15.28515625" style="41" bestFit="1" customWidth="1"/>
    <col min="11" max="16384" width="11.42578125" style="43"/>
  </cols>
  <sheetData>
    <row r="1" spans="3:8" ht="12.75" customHeight="1">
      <c r="D1" s="41"/>
      <c r="E1" s="41"/>
      <c r="F1" s="41"/>
      <c r="G1" s="41"/>
      <c r="H1" s="41"/>
    </row>
    <row r="2" spans="3:8" ht="12.75" customHeight="1">
      <c r="D2" s="41"/>
      <c r="E2" s="41"/>
      <c r="F2" s="68" t="str">
        <f>IGC!E8</f>
        <v>Producción</v>
      </c>
      <c r="G2" s="68" t="s">
        <v>71</v>
      </c>
      <c r="H2" s="68"/>
    </row>
    <row r="3" spans="3:8" ht="15.75" customHeight="1">
      <c r="C3" s="69" t="str">
        <f>CONCATENATE(G2," ",F2)</f>
        <v>Componentes CI's  Afectados del Ambiente de Producción</v>
      </c>
      <c r="E3" s="70"/>
      <c r="F3" s="70"/>
      <c r="G3" s="70"/>
      <c r="H3" s="70"/>
    </row>
    <row r="4" spans="3:8" ht="21" customHeight="1">
      <c r="C4" s="188" t="s">
        <v>13</v>
      </c>
      <c r="D4" s="188"/>
      <c r="E4" s="89" t="s">
        <v>14</v>
      </c>
      <c r="F4" s="90" t="s">
        <v>250</v>
      </c>
      <c r="G4" s="90" t="s">
        <v>15</v>
      </c>
      <c r="H4" s="90" t="s">
        <v>16</v>
      </c>
    </row>
    <row r="5" spans="3:8" ht="13.5" customHeight="1">
      <c r="C5" s="189" t="s">
        <v>329</v>
      </c>
      <c r="D5" s="189"/>
      <c r="E5" s="159" t="s">
        <v>333</v>
      </c>
      <c r="F5" s="160" t="s">
        <v>323</v>
      </c>
      <c r="G5" s="161" t="s">
        <v>312</v>
      </c>
      <c r="H5" s="161" t="s">
        <v>309</v>
      </c>
    </row>
    <row r="6" spans="3:8" ht="12.75" customHeight="1">
      <c r="C6" s="186" t="s">
        <v>330</v>
      </c>
      <c r="D6" s="187"/>
      <c r="E6" s="91" t="s">
        <v>334</v>
      </c>
      <c r="F6" s="160" t="s">
        <v>323</v>
      </c>
      <c r="G6" s="161" t="s">
        <v>312</v>
      </c>
      <c r="H6" s="91"/>
    </row>
    <row r="7" spans="3:8" ht="12.75" customHeight="1">
      <c r="C7" s="186" t="s">
        <v>331</v>
      </c>
      <c r="D7" s="187"/>
      <c r="E7" s="91" t="s">
        <v>335</v>
      </c>
      <c r="F7" s="160" t="s">
        <v>323</v>
      </c>
      <c r="G7" s="161" t="s">
        <v>312</v>
      </c>
      <c r="H7" s="91"/>
    </row>
    <row r="8" spans="3:8" ht="12.75" customHeight="1">
      <c r="C8" s="186" t="s">
        <v>332</v>
      </c>
      <c r="D8" s="187"/>
      <c r="E8" s="91" t="s">
        <v>336</v>
      </c>
      <c r="F8" s="160" t="s">
        <v>323</v>
      </c>
      <c r="G8" s="161" t="s">
        <v>312</v>
      </c>
      <c r="H8" s="91"/>
    </row>
    <row r="9" spans="3:8" ht="12.75" customHeight="1">
      <c r="C9" s="186"/>
      <c r="D9" s="187"/>
      <c r="E9" s="91"/>
      <c r="F9" s="92"/>
      <c r="G9" s="91"/>
      <c r="H9" s="91"/>
    </row>
    <row r="10" spans="3:8" ht="12.75" customHeight="1">
      <c r="C10" s="186"/>
      <c r="D10" s="187"/>
      <c r="E10" s="91"/>
      <c r="F10" s="92"/>
      <c r="G10" s="91"/>
      <c r="H10" s="91"/>
    </row>
    <row r="11" spans="3:8" ht="12.75" customHeight="1">
      <c r="C11" s="185"/>
      <c r="D11" s="185"/>
      <c r="E11" s="91"/>
      <c r="F11" s="92"/>
      <c r="G11" s="91"/>
      <c r="H11" s="91"/>
    </row>
    <row r="12" spans="3:8" ht="12.75" customHeight="1">
      <c r="C12" s="185"/>
      <c r="D12" s="185"/>
      <c r="E12" s="91"/>
      <c r="F12" s="91"/>
      <c r="G12" s="91"/>
      <c r="H12" s="91"/>
    </row>
    <row r="13" spans="3:8" ht="12.75" customHeight="1">
      <c r="C13" s="185"/>
      <c r="D13" s="185"/>
      <c r="E13" s="91"/>
      <c r="F13" s="91"/>
      <c r="G13" s="91"/>
      <c r="H13" s="91"/>
    </row>
    <row r="14" spans="3:8" ht="12.75" customHeight="1">
      <c r="C14" s="185"/>
      <c r="D14" s="185"/>
      <c r="E14" s="91"/>
      <c r="F14" s="91"/>
      <c r="G14" s="91"/>
      <c r="H14" s="91"/>
    </row>
    <row r="15" spans="3:8" ht="12.75" customHeight="1">
      <c r="C15" s="185"/>
      <c r="D15" s="185"/>
      <c r="E15" s="91"/>
      <c r="F15" s="91"/>
      <c r="G15" s="91"/>
      <c r="H15" s="91"/>
    </row>
    <row r="16" spans="3:8" ht="12.75" customHeight="1">
      <c r="C16" s="185"/>
      <c r="D16" s="185"/>
      <c r="E16" s="91"/>
      <c r="F16" s="91"/>
      <c r="G16" s="91"/>
      <c r="H16" s="91"/>
    </row>
    <row r="17" spans="3:8" ht="12.75" customHeight="1">
      <c r="C17" s="185"/>
      <c r="D17" s="185"/>
      <c r="E17" s="91"/>
      <c r="F17" s="93"/>
      <c r="G17" s="91"/>
      <c r="H17" s="91"/>
    </row>
    <row r="18" spans="3:8" ht="12.75" customHeight="1">
      <c r="C18" s="185"/>
      <c r="D18" s="185"/>
      <c r="E18" s="91"/>
      <c r="F18" s="91"/>
      <c r="G18" s="91"/>
      <c r="H18" s="91"/>
    </row>
    <row r="19" spans="3:8" ht="12.75" customHeight="1">
      <c r="C19" s="185"/>
      <c r="D19" s="185"/>
      <c r="E19" s="91"/>
      <c r="F19" s="91"/>
      <c r="G19" s="91"/>
      <c r="H19" s="91"/>
    </row>
    <row r="20" spans="3:8" ht="12.75" customHeight="1">
      <c r="C20" s="185"/>
      <c r="D20" s="185"/>
      <c r="E20" s="91"/>
      <c r="F20" s="91"/>
      <c r="G20" s="91"/>
      <c r="H20" s="91"/>
    </row>
    <row r="21" spans="3:8" ht="12.75" customHeight="1">
      <c r="C21" s="185"/>
      <c r="D21" s="185"/>
      <c r="E21" s="91"/>
      <c r="F21" s="91"/>
      <c r="G21" s="91"/>
      <c r="H21" s="91"/>
    </row>
    <row r="22" spans="3:8" ht="12.75" customHeight="1">
      <c r="C22" s="185"/>
      <c r="D22" s="185"/>
      <c r="E22" s="91"/>
      <c r="F22" s="91"/>
      <c r="G22" s="91"/>
      <c r="H22" s="91"/>
    </row>
    <row r="23" spans="3:8" ht="12.75" customHeight="1">
      <c r="C23" s="185"/>
      <c r="D23" s="185"/>
      <c r="E23" s="91"/>
      <c r="F23" s="91"/>
      <c r="G23" s="91"/>
      <c r="H23" s="91"/>
    </row>
    <row r="24" spans="3:8" ht="12.75" customHeight="1">
      <c r="C24" s="185"/>
      <c r="D24" s="185"/>
      <c r="E24" s="91"/>
      <c r="F24" s="91"/>
      <c r="G24" s="91"/>
      <c r="H24" s="91"/>
    </row>
    <row r="25" spans="3:8" ht="12.75" customHeight="1">
      <c r="C25" s="185"/>
      <c r="D25" s="185"/>
      <c r="E25" s="91"/>
      <c r="F25" s="91"/>
      <c r="G25" s="91"/>
      <c r="H25" s="91"/>
    </row>
    <row r="26" spans="3:8" ht="12.75" customHeight="1">
      <c r="C26" s="185"/>
      <c r="D26" s="185"/>
      <c r="E26" s="91"/>
      <c r="F26" s="91"/>
      <c r="G26" s="91"/>
      <c r="H26" s="91"/>
    </row>
    <row r="27" spans="3:8" ht="12.75" customHeight="1">
      <c r="C27" s="185"/>
      <c r="D27" s="185"/>
      <c r="E27" s="91"/>
      <c r="F27" s="91"/>
      <c r="G27" s="91"/>
      <c r="H27" s="91"/>
    </row>
    <row r="28" spans="3:8" ht="12.75" customHeight="1">
      <c r="C28" s="185"/>
      <c r="D28" s="185"/>
      <c r="E28" s="91"/>
      <c r="F28" s="91"/>
      <c r="G28" s="91"/>
      <c r="H28" s="91"/>
    </row>
    <row r="29" spans="3:8" ht="12.75" customHeight="1">
      <c r="C29" s="185"/>
      <c r="D29" s="185"/>
      <c r="E29" s="91"/>
      <c r="F29" s="91"/>
      <c r="G29" s="91"/>
      <c r="H29" s="91"/>
    </row>
    <row r="30" spans="3:8" ht="12.75" customHeight="1">
      <c r="C30" s="185"/>
      <c r="D30" s="185"/>
      <c r="E30" s="91"/>
      <c r="F30" s="91"/>
      <c r="G30" s="91"/>
      <c r="H30" s="91"/>
    </row>
    <row r="31" spans="3:8" ht="12.75" customHeight="1">
      <c r="C31" s="185"/>
      <c r="D31" s="185"/>
      <c r="E31" s="91"/>
      <c r="F31" s="91"/>
      <c r="G31" s="91"/>
      <c r="H31" s="91"/>
    </row>
    <row r="32" spans="3:8" ht="12.75" customHeight="1">
      <c r="C32" s="185"/>
      <c r="D32" s="185"/>
      <c r="E32" s="91"/>
      <c r="F32" s="91"/>
      <c r="G32" s="91"/>
      <c r="H32" s="91"/>
    </row>
    <row r="33" spans="3:8" ht="12.75" customHeight="1">
      <c r="C33" s="185"/>
      <c r="D33" s="185"/>
      <c r="E33" s="91"/>
      <c r="F33" s="91"/>
      <c r="G33" s="91"/>
      <c r="H33" s="91"/>
    </row>
    <row r="34" spans="3:8" ht="12.75" customHeight="1">
      <c r="C34" s="185"/>
      <c r="D34" s="185"/>
      <c r="E34" s="91"/>
      <c r="F34" s="91"/>
      <c r="G34" s="91"/>
      <c r="H34" s="91"/>
    </row>
    <row r="35" spans="3:8" ht="12.75" customHeight="1">
      <c r="C35" s="185"/>
      <c r="D35" s="185"/>
      <c r="E35" s="91"/>
      <c r="F35" s="91"/>
      <c r="G35" s="91"/>
      <c r="H35" s="91"/>
    </row>
    <row r="36" spans="3:8" ht="12.75" customHeight="1">
      <c r="C36" s="185"/>
      <c r="D36" s="185"/>
      <c r="E36" s="91"/>
      <c r="F36" s="91"/>
      <c r="G36" s="91"/>
      <c r="H36" s="91"/>
    </row>
    <row r="37" spans="3:8" ht="12.75" customHeight="1">
      <c r="C37" s="185"/>
      <c r="D37" s="185"/>
      <c r="E37" s="91"/>
      <c r="F37" s="91"/>
      <c r="G37" s="91"/>
      <c r="H37" s="91"/>
    </row>
    <row r="38" spans="3:8" ht="12.75" customHeight="1">
      <c r="C38" s="185"/>
      <c r="D38" s="185"/>
      <c r="E38" s="91"/>
      <c r="F38" s="91"/>
      <c r="G38" s="91"/>
      <c r="H38" s="91"/>
    </row>
    <row r="39" spans="3:8" ht="12.75" customHeight="1">
      <c r="C39" s="185"/>
      <c r="D39" s="185"/>
      <c r="E39" s="91"/>
      <c r="F39" s="91"/>
      <c r="G39" s="91"/>
      <c r="H39" s="91"/>
    </row>
    <row r="40" spans="3:8" ht="12.75" customHeight="1">
      <c r="C40" s="185"/>
      <c r="D40" s="185"/>
      <c r="E40" s="91"/>
      <c r="F40" s="91"/>
      <c r="G40" s="91"/>
      <c r="H40" s="91"/>
    </row>
    <row r="41" spans="3:8" ht="12.75" customHeight="1">
      <c r="C41" s="185"/>
      <c r="D41" s="185"/>
      <c r="E41" s="91"/>
      <c r="F41" s="91"/>
      <c r="G41" s="91"/>
      <c r="H41" s="91"/>
    </row>
    <row r="42" spans="3:8" ht="12.75" customHeight="1">
      <c r="C42" s="185"/>
      <c r="D42" s="185"/>
      <c r="E42" s="91"/>
      <c r="F42" s="91"/>
      <c r="G42" s="91"/>
      <c r="H42" s="91"/>
    </row>
    <row r="43" spans="3:8" ht="12.75" customHeight="1">
      <c r="C43" s="185"/>
      <c r="D43" s="185"/>
      <c r="E43" s="91"/>
      <c r="F43" s="91"/>
      <c r="G43" s="91"/>
      <c r="H43" s="91"/>
    </row>
    <row r="44" spans="3:8" ht="12.75" customHeight="1">
      <c r="C44" s="185"/>
      <c r="D44" s="185"/>
      <c r="E44" s="91"/>
      <c r="F44" s="91"/>
      <c r="G44" s="91"/>
      <c r="H44" s="91"/>
    </row>
    <row r="45" spans="3:8" ht="12.75" customHeight="1">
      <c r="C45" s="185"/>
      <c r="D45" s="185"/>
      <c r="E45" s="91"/>
      <c r="F45" s="91"/>
      <c r="G45" s="91"/>
      <c r="H45" s="91"/>
    </row>
    <row r="46" spans="3:8" ht="12.75" customHeight="1">
      <c r="C46" s="185"/>
      <c r="D46" s="185"/>
      <c r="E46" s="91"/>
      <c r="F46" s="91"/>
      <c r="G46" s="91"/>
      <c r="H46" s="91"/>
    </row>
    <row r="47" spans="3:8" ht="12.75" customHeight="1">
      <c r="C47" s="185"/>
      <c r="D47" s="185"/>
      <c r="E47" s="91"/>
      <c r="F47" s="91"/>
      <c r="G47" s="91"/>
      <c r="H47" s="91"/>
    </row>
    <row r="48" spans="3:8" ht="12.75" customHeight="1">
      <c r="C48" s="185"/>
      <c r="D48" s="185"/>
      <c r="E48" s="91"/>
      <c r="F48" s="91"/>
      <c r="G48" s="91"/>
      <c r="H48" s="91"/>
    </row>
    <row r="49" spans="3:8" ht="12.75" customHeight="1">
      <c r="C49" s="185"/>
      <c r="D49" s="185"/>
      <c r="E49" s="91"/>
      <c r="F49" s="91"/>
      <c r="G49" s="91"/>
      <c r="H49" s="91"/>
    </row>
    <row r="50" spans="3:8" ht="12.75" customHeight="1">
      <c r="C50" s="185"/>
      <c r="D50" s="185"/>
      <c r="E50" s="91"/>
      <c r="F50" s="91"/>
      <c r="G50" s="91"/>
      <c r="H50" s="91"/>
    </row>
    <row r="51" spans="3:8" ht="12.75" customHeight="1">
      <c r="C51" s="185"/>
      <c r="D51" s="185"/>
      <c r="E51" s="91"/>
      <c r="F51" s="91"/>
      <c r="G51" s="91"/>
      <c r="H51" s="91"/>
    </row>
    <row r="52" spans="3:8" ht="12.75" customHeight="1">
      <c r="C52" s="185"/>
      <c r="D52" s="185"/>
      <c r="E52" s="91"/>
      <c r="F52" s="91"/>
      <c r="G52" s="91"/>
      <c r="H52" s="91"/>
    </row>
    <row r="53" spans="3:8" ht="12.75" customHeight="1">
      <c r="C53" s="185"/>
      <c r="D53" s="185"/>
      <c r="E53" s="91"/>
      <c r="F53" s="91"/>
      <c r="G53" s="91"/>
      <c r="H53" s="91"/>
    </row>
    <row r="54" spans="3:8" ht="12.75" customHeight="1">
      <c r="C54" s="185"/>
      <c r="D54" s="185"/>
      <c r="E54" s="91"/>
      <c r="F54" s="91"/>
      <c r="G54" s="91"/>
      <c r="H54" s="91"/>
    </row>
    <row r="55" spans="3:8" ht="12.75" customHeight="1">
      <c r="C55" s="185"/>
      <c r="D55" s="185"/>
      <c r="E55" s="91"/>
      <c r="F55" s="91"/>
      <c r="G55" s="91"/>
      <c r="H55" s="91"/>
    </row>
    <row r="56" spans="3:8" ht="12.75" customHeight="1">
      <c r="C56" s="185"/>
      <c r="D56" s="185"/>
      <c r="E56" s="91"/>
      <c r="F56" s="91"/>
      <c r="G56" s="91"/>
      <c r="H56" s="91"/>
    </row>
    <row r="57" spans="3:8" ht="12.75" customHeight="1">
      <c r="C57" s="185"/>
      <c r="D57" s="185"/>
      <c r="E57" s="91"/>
      <c r="F57" s="91"/>
      <c r="G57" s="91"/>
      <c r="H57" s="91"/>
    </row>
    <row r="58" spans="3:8" ht="12.75" customHeight="1">
      <c r="C58" s="185"/>
      <c r="D58" s="185"/>
      <c r="E58" s="91"/>
      <c r="F58" s="91"/>
      <c r="G58" s="91"/>
      <c r="H58" s="91"/>
    </row>
    <row r="59" spans="3:8" ht="12.75" customHeight="1">
      <c r="C59" s="185"/>
      <c r="D59" s="185"/>
      <c r="E59" s="91"/>
      <c r="F59" s="91"/>
      <c r="G59" s="91"/>
      <c r="H59" s="91"/>
    </row>
    <row r="60" spans="3:8" ht="12.75" customHeight="1">
      <c r="C60" s="185"/>
      <c r="D60" s="185"/>
      <c r="E60" s="91"/>
      <c r="F60" s="91"/>
      <c r="G60" s="91"/>
      <c r="H60" s="91"/>
    </row>
    <row r="61" spans="3:8" ht="12.75" customHeight="1">
      <c r="C61" s="185"/>
      <c r="D61" s="185"/>
      <c r="E61" s="91"/>
      <c r="F61" s="91"/>
      <c r="G61" s="91"/>
      <c r="H61" s="91"/>
    </row>
    <row r="62" spans="3:8" ht="12.75" customHeight="1">
      <c r="C62" s="185"/>
      <c r="D62" s="185"/>
      <c r="E62" s="91"/>
      <c r="F62" s="91"/>
      <c r="G62" s="91"/>
      <c r="H62" s="91"/>
    </row>
    <row r="63" spans="3:8" ht="12.75" customHeight="1">
      <c r="C63" s="185"/>
      <c r="D63" s="185"/>
      <c r="E63" s="91"/>
      <c r="F63" s="91"/>
      <c r="G63" s="91"/>
      <c r="H63" s="91"/>
    </row>
    <row r="64" spans="3:8" ht="12.75" customHeight="1">
      <c r="C64" s="185"/>
      <c r="D64" s="185"/>
      <c r="E64" s="91"/>
      <c r="F64" s="91"/>
      <c r="G64" s="91"/>
      <c r="H64" s="91"/>
    </row>
    <row r="65" spans="3:8" ht="12.75" customHeight="1">
      <c r="C65" s="185"/>
      <c r="D65" s="185"/>
      <c r="E65" s="91"/>
      <c r="F65" s="91"/>
      <c r="G65" s="91"/>
      <c r="H65" s="91"/>
    </row>
    <row r="66" spans="3:8" ht="12.75" customHeight="1">
      <c r="C66" s="185"/>
      <c r="D66" s="185"/>
      <c r="E66" s="91"/>
      <c r="F66" s="91"/>
      <c r="G66" s="91"/>
      <c r="H66" s="91"/>
    </row>
    <row r="67" spans="3:8" ht="12.75" customHeight="1">
      <c r="C67" s="185"/>
      <c r="D67" s="185"/>
      <c r="E67" s="91"/>
      <c r="F67" s="91"/>
      <c r="G67" s="91"/>
      <c r="H67" s="91"/>
    </row>
    <row r="68" spans="3:8" ht="12.75" customHeight="1">
      <c r="C68" s="185"/>
      <c r="D68" s="185"/>
      <c r="E68" s="91"/>
      <c r="F68" s="91"/>
      <c r="G68" s="91"/>
      <c r="H68" s="91"/>
    </row>
    <row r="69" spans="3:8" ht="12.75" customHeight="1">
      <c r="C69" s="185"/>
      <c r="D69" s="185"/>
      <c r="E69" s="91"/>
      <c r="F69" s="91"/>
      <c r="G69" s="91"/>
      <c r="H69" s="91"/>
    </row>
    <row r="70" spans="3:8" ht="12.75" customHeight="1">
      <c r="C70" s="185"/>
      <c r="D70" s="185"/>
      <c r="E70" s="91"/>
      <c r="F70" s="91"/>
      <c r="G70" s="91"/>
      <c r="H70" s="91"/>
    </row>
    <row r="71" spans="3:8" ht="12.75" customHeight="1">
      <c r="C71" s="185"/>
      <c r="D71" s="185"/>
      <c r="E71" s="91"/>
      <c r="F71" s="91"/>
      <c r="G71" s="91"/>
      <c r="H71" s="91"/>
    </row>
    <row r="72" spans="3:8" ht="12.75" customHeight="1">
      <c r="C72" s="185"/>
      <c r="D72" s="185"/>
      <c r="E72" s="91"/>
      <c r="F72" s="91"/>
      <c r="G72" s="91"/>
      <c r="H72" s="91"/>
    </row>
    <row r="73" spans="3:8" ht="12.75" customHeight="1">
      <c r="C73" s="185"/>
      <c r="D73" s="185"/>
      <c r="E73" s="91"/>
      <c r="F73" s="91"/>
      <c r="G73" s="91"/>
      <c r="H73" s="91"/>
    </row>
    <row r="74" spans="3:8" ht="12.75" customHeight="1">
      <c r="C74" s="185"/>
      <c r="D74" s="185"/>
      <c r="E74" s="91"/>
      <c r="F74" s="91"/>
      <c r="G74" s="91"/>
      <c r="H74" s="91"/>
    </row>
    <row r="75" spans="3:8" ht="12.75" customHeight="1">
      <c r="C75" s="185"/>
      <c r="D75" s="185"/>
      <c r="E75" s="91"/>
      <c r="F75" s="91"/>
      <c r="G75" s="91"/>
      <c r="H75" s="91"/>
    </row>
    <row r="76" spans="3:8" ht="12.75" customHeight="1">
      <c r="C76" s="185"/>
      <c r="D76" s="185"/>
      <c r="E76" s="91"/>
      <c r="F76" s="91"/>
      <c r="G76" s="91"/>
      <c r="H76" s="91"/>
    </row>
    <row r="77" spans="3:8" ht="12.75" customHeight="1">
      <c r="C77" s="185"/>
      <c r="D77" s="185"/>
      <c r="E77" s="91"/>
      <c r="F77" s="91"/>
      <c r="G77" s="91"/>
      <c r="H77" s="91"/>
    </row>
    <row r="78" spans="3:8" ht="12.75" customHeight="1">
      <c r="C78" s="185"/>
      <c r="D78" s="185"/>
      <c r="E78" s="91"/>
      <c r="F78" s="91"/>
      <c r="G78" s="91"/>
      <c r="H78" s="91"/>
    </row>
    <row r="79" spans="3:8" ht="12.75" customHeight="1">
      <c r="C79" s="185"/>
      <c r="D79" s="185"/>
      <c r="E79" s="91"/>
      <c r="F79" s="91"/>
      <c r="G79" s="91"/>
      <c r="H79" s="91"/>
    </row>
    <row r="80" spans="3:8" ht="12.75" customHeight="1">
      <c r="C80" s="185"/>
      <c r="D80" s="185"/>
      <c r="E80" s="91"/>
      <c r="F80" s="91"/>
      <c r="G80" s="91"/>
      <c r="H80" s="91"/>
    </row>
    <row r="81" spans="3:8" ht="12.75" customHeight="1">
      <c r="C81" s="185"/>
      <c r="D81" s="185"/>
      <c r="E81" s="91"/>
      <c r="F81" s="91"/>
      <c r="G81" s="91"/>
      <c r="H81" s="91"/>
    </row>
    <row r="82" spans="3:8" ht="12.75" customHeight="1">
      <c r="C82" s="185"/>
      <c r="D82" s="185"/>
      <c r="E82" s="91"/>
      <c r="F82" s="91"/>
      <c r="G82" s="91"/>
      <c r="H82" s="91"/>
    </row>
    <row r="83" spans="3:8" ht="12.75" customHeight="1">
      <c r="C83" s="185"/>
      <c r="D83" s="185"/>
      <c r="E83" s="91"/>
      <c r="F83" s="91"/>
      <c r="G83" s="91"/>
      <c r="H83" s="91"/>
    </row>
    <row r="84" spans="3:8" ht="12.75" customHeight="1">
      <c r="C84" s="185"/>
      <c r="D84" s="185"/>
      <c r="E84" s="91"/>
      <c r="F84" s="91"/>
      <c r="G84" s="91"/>
      <c r="H84" s="91"/>
    </row>
    <row r="85" spans="3:8" ht="12.75" customHeight="1">
      <c r="C85" s="185"/>
      <c r="D85" s="185"/>
      <c r="E85" s="91"/>
      <c r="F85" s="91"/>
      <c r="G85" s="91"/>
      <c r="H85" s="91"/>
    </row>
    <row r="86" spans="3:8" ht="12.75" customHeight="1">
      <c r="C86" s="185"/>
      <c r="D86" s="185"/>
      <c r="E86" s="91"/>
      <c r="F86" s="91"/>
      <c r="G86" s="91"/>
      <c r="H86" s="91"/>
    </row>
    <row r="87" spans="3:8" ht="12.75" customHeight="1">
      <c r="C87" s="185"/>
      <c r="D87" s="185"/>
      <c r="E87" s="91"/>
      <c r="F87" s="91"/>
      <c r="G87" s="91"/>
      <c r="H87" s="91"/>
    </row>
    <row r="88" spans="3:8" ht="12.75" customHeight="1">
      <c r="C88" s="185"/>
      <c r="D88" s="185"/>
      <c r="E88" s="91"/>
      <c r="F88" s="91"/>
      <c r="G88" s="91"/>
      <c r="H88" s="91"/>
    </row>
    <row r="89" spans="3:8" ht="12.75" customHeight="1">
      <c r="C89" s="185"/>
      <c r="D89" s="185"/>
      <c r="E89" s="91"/>
      <c r="F89" s="91"/>
      <c r="G89" s="91"/>
      <c r="H89" s="91"/>
    </row>
    <row r="90" spans="3:8" ht="12.75" customHeight="1">
      <c r="C90" s="185"/>
      <c r="D90" s="185"/>
      <c r="E90" s="91"/>
      <c r="F90" s="91"/>
      <c r="G90" s="91"/>
      <c r="H90" s="91"/>
    </row>
    <row r="91" spans="3:8" ht="12.75" customHeight="1">
      <c r="C91" s="185"/>
      <c r="D91" s="185"/>
      <c r="E91" s="91"/>
      <c r="F91" s="91"/>
      <c r="G91" s="91"/>
      <c r="H91" s="91"/>
    </row>
    <row r="92" spans="3:8" ht="12.75" customHeight="1">
      <c r="C92" s="185"/>
      <c r="D92" s="185"/>
      <c r="E92" s="91"/>
      <c r="F92" s="91"/>
      <c r="G92" s="91"/>
      <c r="H92" s="91"/>
    </row>
    <row r="93" spans="3:8" ht="12.75" customHeight="1">
      <c r="C93" s="185"/>
      <c r="D93" s="185"/>
      <c r="E93" s="91"/>
      <c r="F93" s="91"/>
      <c r="G93" s="91"/>
      <c r="H93" s="91"/>
    </row>
    <row r="94" spans="3:8" ht="12.75" customHeight="1">
      <c r="C94" s="185"/>
      <c r="D94" s="185"/>
      <c r="E94" s="91"/>
      <c r="F94" s="91"/>
      <c r="G94" s="91"/>
      <c r="H94" s="91"/>
    </row>
    <row r="95" spans="3:8" ht="12.75" customHeight="1">
      <c r="C95" s="185"/>
      <c r="D95" s="185"/>
      <c r="E95" s="91"/>
      <c r="F95" s="91"/>
      <c r="G95" s="91"/>
      <c r="H95" s="91"/>
    </row>
    <row r="96" spans="3:8" ht="12.75" customHeight="1">
      <c r="C96" s="185"/>
      <c r="D96" s="185"/>
      <c r="E96" s="91"/>
      <c r="F96" s="91"/>
      <c r="G96" s="91"/>
      <c r="H96" s="91"/>
    </row>
    <row r="97" spans="3:8" ht="12.75" customHeight="1">
      <c r="C97" s="185"/>
      <c r="D97" s="185"/>
      <c r="E97" s="91"/>
      <c r="F97" s="91"/>
      <c r="G97" s="91"/>
      <c r="H97" s="91"/>
    </row>
    <row r="98" spans="3:8" ht="12.75" customHeight="1">
      <c r="C98" s="185"/>
      <c r="D98" s="185"/>
      <c r="E98" s="91"/>
      <c r="F98" s="91"/>
      <c r="G98" s="91"/>
      <c r="H98" s="91"/>
    </row>
    <row r="99" spans="3:8" ht="12.75" customHeight="1">
      <c r="C99" s="185"/>
      <c r="D99" s="185"/>
      <c r="E99" s="91"/>
      <c r="F99" s="91"/>
      <c r="G99" s="91"/>
      <c r="H99" s="91"/>
    </row>
    <row r="100" spans="3:8" ht="12.75" customHeight="1">
      <c r="C100" s="185"/>
      <c r="D100" s="185"/>
      <c r="E100" s="91"/>
      <c r="F100" s="91"/>
      <c r="G100" s="91"/>
      <c r="H100" s="91"/>
    </row>
    <row r="101" spans="3:8" ht="12.75" customHeight="1">
      <c r="C101" s="185"/>
      <c r="D101" s="185"/>
      <c r="E101" s="91"/>
      <c r="F101" s="91"/>
      <c r="G101" s="91"/>
      <c r="H101" s="91"/>
    </row>
    <row r="102" spans="3:8" ht="12.75" customHeight="1">
      <c r="C102" s="185"/>
      <c r="D102" s="185"/>
      <c r="E102" s="91"/>
      <c r="F102" s="91"/>
      <c r="G102" s="91"/>
      <c r="H102" s="91"/>
    </row>
    <row r="103" spans="3:8" ht="12.75" customHeight="1">
      <c r="C103" s="185"/>
      <c r="D103" s="185"/>
      <c r="E103" s="91"/>
      <c r="F103" s="91"/>
      <c r="G103" s="91"/>
      <c r="H103" s="91"/>
    </row>
    <row r="104" spans="3:8" ht="12.75" customHeight="1">
      <c r="C104" s="185"/>
      <c r="D104" s="185"/>
      <c r="E104" s="91"/>
      <c r="F104" s="91"/>
      <c r="G104" s="91"/>
      <c r="H104" s="91"/>
    </row>
    <row r="105" spans="3:8" ht="12.75" customHeight="1">
      <c r="C105" s="185"/>
      <c r="D105" s="185"/>
      <c r="E105" s="91"/>
      <c r="F105" s="91"/>
      <c r="G105" s="91"/>
      <c r="H105" s="91"/>
    </row>
    <row r="106" spans="3:8" ht="12.75" customHeight="1">
      <c r="C106" s="185"/>
      <c r="D106" s="185"/>
      <c r="E106" s="91"/>
      <c r="F106" s="91"/>
      <c r="G106" s="91"/>
      <c r="H106" s="91"/>
    </row>
    <row r="107" spans="3:8" ht="12.75" customHeight="1">
      <c r="C107" s="185"/>
      <c r="D107" s="185"/>
      <c r="E107" s="91"/>
      <c r="F107" s="91"/>
      <c r="G107" s="91"/>
      <c r="H107" s="91"/>
    </row>
    <row r="108" spans="3:8" ht="12.75" customHeight="1">
      <c r="C108" s="185"/>
      <c r="D108" s="185"/>
      <c r="E108" s="91"/>
      <c r="F108" s="91"/>
      <c r="G108" s="91"/>
      <c r="H108" s="91"/>
    </row>
    <row r="109" spans="3:8" ht="12.75" customHeight="1">
      <c r="C109" s="185"/>
      <c r="D109" s="185"/>
      <c r="E109" s="91"/>
      <c r="F109" s="91"/>
      <c r="G109" s="91"/>
      <c r="H109" s="91"/>
    </row>
    <row r="110" spans="3:8" ht="12.75" customHeight="1">
      <c r="C110" s="185"/>
      <c r="D110" s="185"/>
      <c r="E110" s="91"/>
      <c r="F110" s="91"/>
      <c r="G110" s="91"/>
      <c r="H110" s="91"/>
    </row>
    <row r="111" spans="3:8" ht="12.75" customHeight="1">
      <c r="C111" s="185"/>
      <c r="D111" s="185"/>
      <c r="E111" s="91"/>
      <c r="F111" s="91"/>
      <c r="G111" s="91"/>
      <c r="H111" s="91"/>
    </row>
    <row r="112" spans="3:8" ht="12.75" customHeight="1">
      <c r="C112" s="185"/>
      <c r="D112" s="185"/>
      <c r="E112" s="91"/>
      <c r="F112" s="91"/>
      <c r="G112" s="91"/>
      <c r="H112" s="91"/>
    </row>
    <row r="113" spans="3:8" ht="12.75" customHeight="1">
      <c r="C113" s="185"/>
      <c r="D113" s="185"/>
      <c r="E113" s="91"/>
      <c r="F113" s="91"/>
      <c r="G113" s="91"/>
      <c r="H113" s="91"/>
    </row>
    <row r="114" spans="3:8" ht="12.75" customHeight="1">
      <c r="C114" s="185"/>
      <c r="D114" s="185"/>
      <c r="E114" s="91"/>
      <c r="F114" s="91"/>
      <c r="G114" s="91"/>
      <c r="H114" s="91"/>
    </row>
    <row r="115" spans="3:8" ht="12.75" customHeight="1">
      <c r="C115" s="185"/>
      <c r="D115" s="185"/>
      <c r="E115" s="91"/>
      <c r="F115" s="91"/>
      <c r="G115" s="91"/>
      <c r="H115" s="91"/>
    </row>
    <row r="116" spans="3:8" ht="12.75" customHeight="1">
      <c r="C116" s="185"/>
      <c r="D116" s="185"/>
      <c r="E116" s="91"/>
      <c r="F116" s="91"/>
      <c r="G116" s="91"/>
      <c r="H116" s="91"/>
    </row>
    <row r="117" spans="3:8" ht="12.75" customHeight="1">
      <c r="C117" s="185"/>
      <c r="D117" s="185"/>
      <c r="E117" s="91"/>
      <c r="F117" s="91"/>
      <c r="G117" s="91"/>
      <c r="H117" s="91"/>
    </row>
    <row r="118" spans="3:8" ht="12.75" customHeight="1">
      <c r="C118" s="185"/>
      <c r="D118" s="185"/>
      <c r="E118" s="91"/>
      <c r="F118" s="91"/>
      <c r="G118" s="91"/>
      <c r="H118" s="91"/>
    </row>
    <row r="119" spans="3:8" ht="12.75" customHeight="1">
      <c r="C119" s="185"/>
      <c r="D119" s="185"/>
      <c r="E119" s="91"/>
      <c r="F119" s="91"/>
      <c r="G119" s="91"/>
      <c r="H119" s="91"/>
    </row>
    <row r="120" spans="3:8" ht="12.75" customHeight="1">
      <c r="C120" s="185"/>
      <c r="D120" s="185"/>
      <c r="E120" s="91"/>
      <c r="F120" s="91"/>
      <c r="G120" s="91"/>
      <c r="H120" s="91"/>
    </row>
    <row r="121" spans="3:8" ht="12.75" customHeight="1">
      <c r="C121" s="185"/>
      <c r="D121" s="185"/>
      <c r="E121" s="91"/>
      <c r="F121" s="91"/>
      <c r="G121" s="91"/>
      <c r="H121" s="91"/>
    </row>
    <row r="122" spans="3:8" ht="12.75" customHeight="1">
      <c r="C122" s="185"/>
      <c r="D122" s="185"/>
      <c r="E122" s="91"/>
      <c r="F122" s="91"/>
      <c r="G122" s="91"/>
      <c r="H122" s="91"/>
    </row>
    <row r="123" spans="3:8" ht="12.75" customHeight="1">
      <c r="C123" s="185"/>
      <c r="D123" s="185"/>
      <c r="E123" s="91"/>
      <c r="F123" s="91"/>
      <c r="G123" s="91"/>
      <c r="H123" s="91"/>
    </row>
    <row r="124" spans="3:8" ht="12.75" customHeight="1">
      <c r="C124" s="185"/>
      <c r="D124" s="185"/>
      <c r="E124" s="91"/>
      <c r="F124" s="91"/>
      <c r="G124" s="91"/>
      <c r="H124" s="91"/>
    </row>
    <row r="125" spans="3:8" ht="12.75" customHeight="1">
      <c r="C125" s="185"/>
      <c r="D125" s="185"/>
      <c r="E125" s="91"/>
      <c r="F125" s="91"/>
      <c r="G125" s="91"/>
      <c r="H125" s="91"/>
    </row>
    <row r="126" spans="3:8" ht="12.75" customHeight="1">
      <c r="C126" s="185"/>
      <c r="D126" s="185"/>
      <c r="E126" s="91"/>
      <c r="F126" s="91"/>
      <c r="G126" s="91"/>
      <c r="H126" s="91"/>
    </row>
    <row r="127" spans="3:8" ht="12.75" customHeight="1">
      <c r="C127" s="185"/>
      <c r="D127" s="185"/>
      <c r="E127" s="91"/>
      <c r="F127" s="91"/>
      <c r="G127" s="91"/>
      <c r="H127" s="91"/>
    </row>
    <row r="128" spans="3:8" ht="12.75" customHeight="1">
      <c r="C128" s="185"/>
      <c r="D128" s="185"/>
      <c r="E128" s="91"/>
      <c r="F128" s="91"/>
      <c r="G128" s="91"/>
      <c r="H128" s="91"/>
    </row>
    <row r="129" spans="3:8" ht="12.75" customHeight="1">
      <c r="C129" s="185"/>
      <c r="D129" s="185"/>
      <c r="E129" s="91"/>
      <c r="F129" s="91"/>
      <c r="G129" s="91"/>
      <c r="H129" s="91"/>
    </row>
    <row r="130" spans="3:8" ht="12.75" customHeight="1">
      <c r="C130" s="185"/>
      <c r="D130" s="185"/>
      <c r="E130" s="91"/>
      <c r="F130" s="91"/>
      <c r="G130" s="91"/>
      <c r="H130" s="91"/>
    </row>
    <row r="131" spans="3:8" ht="12.75" customHeight="1">
      <c r="C131" s="185"/>
      <c r="D131" s="185"/>
      <c r="E131" s="91"/>
      <c r="F131" s="91"/>
      <c r="G131" s="91"/>
      <c r="H131" s="91"/>
    </row>
    <row r="132" spans="3:8" ht="12.75" customHeight="1">
      <c r="C132" s="185"/>
      <c r="D132" s="185"/>
      <c r="E132" s="91"/>
      <c r="F132" s="91"/>
      <c r="G132" s="91"/>
      <c r="H132" s="91"/>
    </row>
    <row r="133" spans="3:8" ht="12.75" customHeight="1">
      <c r="C133" s="185"/>
      <c r="D133" s="185"/>
      <c r="E133" s="91"/>
      <c r="F133" s="91"/>
      <c r="G133" s="91"/>
      <c r="H133" s="91"/>
    </row>
    <row r="134" spans="3:8" ht="12.75" customHeight="1">
      <c r="C134" s="185"/>
      <c r="D134" s="185"/>
      <c r="E134" s="91"/>
      <c r="F134" s="91"/>
      <c r="G134" s="91"/>
      <c r="H134" s="91"/>
    </row>
    <row r="135" spans="3:8" ht="12.75" customHeight="1">
      <c r="C135" s="185"/>
      <c r="D135" s="185"/>
      <c r="E135" s="91"/>
      <c r="F135" s="91"/>
      <c r="G135" s="91"/>
      <c r="H135" s="91"/>
    </row>
    <row r="136" spans="3:8" ht="12.75" customHeight="1">
      <c r="C136" s="185"/>
      <c r="D136" s="185"/>
      <c r="E136" s="91"/>
      <c r="F136" s="91"/>
      <c r="G136" s="91"/>
      <c r="H136" s="91"/>
    </row>
    <row r="137" spans="3:8" ht="12.75" customHeight="1">
      <c r="C137" s="185"/>
      <c r="D137" s="185"/>
      <c r="E137" s="91"/>
      <c r="F137" s="91"/>
      <c r="G137" s="91"/>
      <c r="H137" s="91"/>
    </row>
    <row r="138" spans="3:8" ht="12.75" customHeight="1">
      <c r="C138" s="185"/>
      <c r="D138" s="185"/>
      <c r="E138" s="91"/>
      <c r="F138" s="91"/>
      <c r="G138" s="91"/>
      <c r="H138" s="91"/>
    </row>
    <row r="139" spans="3:8" ht="12.75" customHeight="1">
      <c r="C139" s="185"/>
      <c r="D139" s="185"/>
      <c r="E139" s="91"/>
      <c r="F139" s="91"/>
      <c r="G139" s="91"/>
      <c r="H139" s="91"/>
    </row>
    <row r="140" spans="3:8" ht="12.75" customHeight="1">
      <c r="C140" s="185"/>
      <c r="D140" s="185"/>
      <c r="E140" s="91"/>
      <c r="F140" s="91"/>
      <c r="G140" s="91"/>
      <c r="H140" s="91"/>
    </row>
    <row r="141" spans="3:8" ht="12.75" customHeight="1">
      <c r="C141" s="185"/>
      <c r="D141" s="185"/>
      <c r="E141" s="91"/>
      <c r="F141" s="91"/>
      <c r="G141" s="91"/>
      <c r="H141" s="91"/>
    </row>
    <row r="142" spans="3:8" ht="12.75" customHeight="1">
      <c r="C142" s="185"/>
      <c r="D142" s="185"/>
      <c r="E142" s="91"/>
      <c r="F142" s="91"/>
      <c r="G142" s="91"/>
      <c r="H142" s="91"/>
    </row>
    <row r="143" spans="3:8" ht="12.75" customHeight="1">
      <c r="C143" s="185"/>
      <c r="D143" s="185"/>
      <c r="E143" s="91"/>
      <c r="F143" s="91"/>
      <c r="G143" s="91"/>
      <c r="H143" s="91"/>
    </row>
    <row r="144" spans="3:8" ht="12.75" customHeight="1">
      <c r="C144" s="185"/>
      <c r="D144" s="185"/>
      <c r="E144" s="91"/>
      <c r="F144" s="91"/>
      <c r="G144" s="91"/>
      <c r="H144" s="91"/>
    </row>
    <row r="145" spans="3:8" ht="12.75" customHeight="1">
      <c r="C145" s="185"/>
      <c r="D145" s="185"/>
      <c r="E145" s="91"/>
      <c r="F145" s="91"/>
      <c r="G145" s="91"/>
      <c r="H145" s="91"/>
    </row>
    <row r="146" spans="3:8" ht="12.75" customHeight="1">
      <c r="C146" s="185"/>
      <c r="D146" s="185"/>
      <c r="E146" s="91"/>
      <c r="F146" s="91"/>
      <c r="G146" s="91"/>
      <c r="H146" s="91"/>
    </row>
    <row r="147" spans="3:8" ht="12.75" customHeight="1">
      <c r="C147" s="185"/>
      <c r="D147" s="185"/>
      <c r="E147" s="91"/>
      <c r="F147" s="91"/>
      <c r="G147" s="91"/>
      <c r="H147" s="91"/>
    </row>
    <row r="148" spans="3:8" ht="12.75" customHeight="1">
      <c r="C148" s="185"/>
      <c r="D148" s="185"/>
      <c r="E148" s="91"/>
      <c r="F148" s="91"/>
      <c r="G148" s="91"/>
      <c r="H148" s="91"/>
    </row>
    <row r="149" spans="3:8" ht="12.75" customHeight="1">
      <c r="C149" s="185"/>
      <c r="D149" s="185"/>
      <c r="E149" s="91"/>
      <c r="F149" s="91"/>
      <c r="G149" s="91"/>
      <c r="H149" s="91"/>
    </row>
    <row r="150" spans="3:8" ht="12.75" customHeight="1">
      <c r="C150" s="185"/>
      <c r="D150" s="185"/>
      <c r="E150" s="91"/>
      <c r="F150" s="91"/>
      <c r="G150" s="91"/>
      <c r="H150" s="91"/>
    </row>
    <row r="151" spans="3:8" ht="12.75" customHeight="1">
      <c r="C151" s="185"/>
      <c r="D151" s="185"/>
      <c r="E151" s="91"/>
      <c r="F151" s="91"/>
      <c r="G151" s="91"/>
      <c r="H151" s="91"/>
    </row>
    <row r="152" spans="3:8" ht="12.75" customHeight="1">
      <c r="C152" s="185"/>
      <c r="D152" s="185"/>
      <c r="E152" s="91"/>
      <c r="F152" s="91"/>
      <c r="G152" s="91"/>
      <c r="H152" s="91"/>
    </row>
    <row r="153" spans="3:8" ht="12.75" customHeight="1">
      <c r="C153" s="185"/>
      <c r="D153" s="185"/>
      <c r="E153" s="91"/>
      <c r="F153" s="91"/>
      <c r="G153" s="91"/>
      <c r="H153" s="91"/>
    </row>
    <row r="154" spans="3:8" ht="12.75" customHeight="1">
      <c r="C154" s="185"/>
      <c r="D154" s="185"/>
      <c r="E154" s="91"/>
      <c r="F154" s="91"/>
      <c r="G154" s="91"/>
      <c r="H154" s="91"/>
    </row>
    <row r="155" spans="3:8" ht="12.75" customHeight="1">
      <c r="C155" s="185"/>
      <c r="D155" s="185"/>
      <c r="E155" s="91"/>
      <c r="F155" s="91"/>
      <c r="G155" s="91"/>
      <c r="H155" s="91"/>
    </row>
    <row r="156" spans="3:8" ht="12.75" customHeight="1">
      <c r="C156" s="185"/>
      <c r="D156" s="185"/>
      <c r="E156" s="91"/>
      <c r="F156" s="91"/>
      <c r="G156" s="91"/>
      <c r="H156" s="91"/>
    </row>
    <row r="157" spans="3:8" ht="12.75" customHeight="1">
      <c r="C157" s="185"/>
      <c r="D157" s="185"/>
      <c r="E157" s="91"/>
      <c r="F157" s="91"/>
      <c r="G157" s="91"/>
      <c r="H157" s="91"/>
    </row>
    <row r="158" spans="3:8" ht="12.75" customHeight="1">
      <c r="C158" s="185"/>
      <c r="D158" s="185"/>
      <c r="E158" s="91"/>
      <c r="F158" s="91"/>
      <c r="G158" s="91"/>
      <c r="H158" s="91"/>
    </row>
    <row r="159" spans="3:8" ht="12.75" customHeight="1">
      <c r="C159" s="185"/>
      <c r="D159" s="185"/>
      <c r="E159" s="91"/>
      <c r="F159" s="91"/>
      <c r="G159" s="91"/>
      <c r="H159" s="91"/>
    </row>
    <row r="160" spans="3:8" ht="12.75" customHeight="1">
      <c r="C160" s="185"/>
      <c r="D160" s="185"/>
      <c r="E160" s="91"/>
      <c r="F160" s="91"/>
      <c r="G160" s="91"/>
      <c r="H160" s="91"/>
    </row>
    <row r="161" spans="3:8" ht="12.75" customHeight="1">
      <c r="C161" s="185"/>
      <c r="D161" s="185"/>
      <c r="E161" s="91"/>
      <c r="F161" s="91"/>
      <c r="G161" s="91"/>
      <c r="H161" s="91"/>
    </row>
    <row r="162" spans="3:8" ht="12.75" customHeight="1">
      <c r="C162" s="185"/>
      <c r="D162" s="185"/>
      <c r="E162" s="91"/>
      <c r="F162" s="91"/>
      <c r="G162" s="91"/>
      <c r="H162" s="91"/>
    </row>
    <row r="163" spans="3:8" ht="12.75" customHeight="1">
      <c r="C163" s="185"/>
      <c r="D163" s="185"/>
      <c r="E163" s="91"/>
      <c r="F163" s="91"/>
      <c r="G163" s="91"/>
      <c r="H163" s="91"/>
    </row>
    <row r="164" spans="3:8" ht="12.75" customHeight="1">
      <c r="C164" s="185"/>
      <c r="D164" s="185"/>
      <c r="E164" s="91"/>
      <c r="F164" s="91"/>
      <c r="G164" s="91"/>
      <c r="H164" s="91"/>
    </row>
    <row r="165" spans="3:8" ht="12.75" customHeight="1">
      <c r="C165" s="185"/>
      <c r="D165" s="185"/>
      <c r="E165" s="91"/>
      <c r="F165" s="91"/>
      <c r="G165" s="91"/>
      <c r="H165" s="91"/>
    </row>
    <row r="166" spans="3:8" ht="12.75" customHeight="1">
      <c r="C166" s="185"/>
      <c r="D166" s="185"/>
      <c r="E166" s="91"/>
      <c r="F166" s="91"/>
      <c r="G166" s="91"/>
      <c r="H166" s="91"/>
    </row>
    <row r="167" spans="3:8" ht="12.75" customHeight="1">
      <c r="C167" s="185"/>
      <c r="D167" s="185"/>
      <c r="E167" s="91"/>
      <c r="F167" s="91"/>
      <c r="G167" s="91"/>
      <c r="H167" s="91"/>
    </row>
    <row r="168" spans="3:8" ht="12.75" customHeight="1">
      <c r="C168" s="185"/>
      <c r="D168" s="185"/>
      <c r="E168" s="91"/>
      <c r="F168" s="91"/>
      <c r="G168" s="91"/>
      <c r="H168" s="91"/>
    </row>
    <row r="169" spans="3:8" ht="12.75" customHeight="1">
      <c r="C169" s="185"/>
      <c r="D169" s="185"/>
      <c r="E169" s="91"/>
      <c r="F169" s="91"/>
      <c r="G169" s="91"/>
      <c r="H169" s="91"/>
    </row>
    <row r="170" spans="3:8" ht="12.75" customHeight="1">
      <c r="C170" s="185"/>
      <c r="D170" s="185"/>
      <c r="E170" s="91"/>
      <c r="F170" s="91"/>
      <c r="G170" s="91"/>
      <c r="H170" s="91"/>
    </row>
    <row r="171" spans="3:8" ht="12.75" customHeight="1">
      <c r="C171" s="185"/>
      <c r="D171" s="185"/>
      <c r="E171" s="91"/>
      <c r="F171" s="91"/>
      <c r="G171" s="91"/>
      <c r="H171" s="91"/>
    </row>
    <row r="172" spans="3:8" ht="12.75" customHeight="1">
      <c r="C172" s="185"/>
      <c r="D172" s="185"/>
      <c r="E172" s="91"/>
      <c r="F172" s="91"/>
      <c r="G172" s="91"/>
      <c r="H172" s="91"/>
    </row>
    <row r="173" spans="3:8" ht="12.75" customHeight="1">
      <c r="C173" s="185"/>
      <c r="D173" s="185"/>
      <c r="E173" s="91"/>
      <c r="F173" s="91"/>
      <c r="G173" s="91"/>
      <c r="H173" s="91"/>
    </row>
    <row r="174" spans="3:8" ht="12.75" customHeight="1">
      <c r="C174" s="185"/>
      <c r="D174" s="185"/>
      <c r="E174" s="91"/>
      <c r="F174" s="91"/>
      <c r="G174" s="91"/>
      <c r="H174" s="91"/>
    </row>
    <row r="175" spans="3:8" ht="12.75" customHeight="1">
      <c r="C175" s="185"/>
      <c r="D175" s="185"/>
      <c r="E175" s="91"/>
      <c r="F175" s="91"/>
      <c r="G175" s="91"/>
      <c r="H175" s="91"/>
    </row>
    <row r="176" spans="3:8" ht="12.75" customHeight="1">
      <c r="C176" s="185"/>
      <c r="D176" s="185"/>
      <c r="E176" s="91"/>
      <c r="F176" s="91"/>
      <c r="G176" s="91"/>
      <c r="H176" s="91"/>
    </row>
    <row r="177" spans="3:8" ht="12.75" customHeight="1">
      <c r="C177" s="185"/>
      <c r="D177" s="185"/>
      <c r="E177" s="91"/>
      <c r="F177" s="91"/>
      <c r="G177" s="91"/>
      <c r="H177" s="91"/>
    </row>
    <row r="178" spans="3:8" ht="12.75" customHeight="1">
      <c r="C178" s="185"/>
      <c r="D178" s="185"/>
      <c r="E178" s="91"/>
      <c r="F178" s="91"/>
      <c r="G178" s="91"/>
      <c r="H178" s="91"/>
    </row>
    <row r="179" spans="3:8" ht="12.75" customHeight="1">
      <c r="C179" s="185"/>
      <c r="D179" s="185"/>
      <c r="E179" s="91"/>
      <c r="F179" s="91"/>
      <c r="G179" s="91"/>
      <c r="H179" s="91"/>
    </row>
    <row r="180" spans="3:8" ht="12.75" customHeight="1">
      <c r="C180" s="185"/>
      <c r="D180" s="185"/>
      <c r="E180" s="91"/>
      <c r="F180" s="91"/>
      <c r="G180" s="91"/>
      <c r="H180" s="91"/>
    </row>
    <row r="181" spans="3:8" ht="12.75" customHeight="1">
      <c r="C181" s="185"/>
      <c r="D181" s="185"/>
      <c r="E181" s="91"/>
      <c r="F181" s="91"/>
      <c r="G181" s="91"/>
      <c r="H181" s="91"/>
    </row>
    <row r="182" spans="3:8" ht="12.75" customHeight="1">
      <c r="C182" s="185"/>
      <c r="D182" s="185"/>
      <c r="E182" s="91"/>
      <c r="F182" s="91"/>
      <c r="G182" s="91"/>
      <c r="H182" s="91"/>
    </row>
    <row r="183" spans="3:8" ht="12.75" customHeight="1">
      <c r="C183" s="185"/>
      <c r="D183" s="185"/>
      <c r="E183" s="91"/>
      <c r="F183" s="91"/>
      <c r="G183" s="91"/>
      <c r="H183" s="91"/>
    </row>
    <row r="184" spans="3:8" ht="12.75" customHeight="1">
      <c r="C184" s="185"/>
      <c r="D184" s="185"/>
      <c r="E184" s="91"/>
      <c r="F184" s="91"/>
      <c r="G184" s="91"/>
      <c r="H184" s="91"/>
    </row>
    <row r="185" spans="3:8" ht="12.75" customHeight="1">
      <c r="C185" s="185"/>
      <c r="D185" s="185"/>
      <c r="E185" s="91"/>
      <c r="F185" s="91"/>
      <c r="G185" s="91"/>
      <c r="H185" s="91"/>
    </row>
    <row r="186" spans="3:8" ht="12.75" customHeight="1">
      <c r="C186" s="185"/>
      <c r="D186" s="185"/>
      <c r="E186" s="91"/>
      <c r="F186" s="91"/>
      <c r="G186" s="91"/>
      <c r="H186" s="91"/>
    </row>
    <row r="187" spans="3:8" ht="12.75" customHeight="1">
      <c r="C187" s="185"/>
      <c r="D187" s="185"/>
      <c r="E187" s="91"/>
      <c r="F187" s="91"/>
      <c r="G187" s="91"/>
      <c r="H187" s="91"/>
    </row>
    <row r="188" spans="3:8" ht="12.75" customHeight="1">
      <c r="C188" s="185"/>
      <c r="D188" s="185"/>
      <c r="E188" s="91"/>
      <c r="F188" s="91"/>
      <c r="G188" s="91"/>
      <c r="H188" s="91"/>
    </row>
    <row r="189" spans="3:8" ht="12.75" customHeight="1">
      <c r="C189" s="185"/>
      <c r="D189" s="185"/>
      <c r="E189" s="91"/>
      <c r="F189" s="91"/>
      <c r="G189" s="91"/>
      <c r="H189" s="91"/>
    </row>
    <row r="190" spans="3:8" ht="12.75" customHeight="1">
      <c r="C190" s="185"/>
      <c r="D190" s="185"/>
      <c r="E190" s="91"/>
      <c r="F190" s="91"/>
      <c r="G190" s="91"/>
      <c r="H190" s="91"/>
    </row>
    <row r="191" spans="3:8" ht="12.75" customHeight="1">
      <c r="C191" s="185"/>
      <c r="D191" s="185"/>
      <c r="E191" s="91"/>
      <c r="F191" s="91"/>
      <c r="G191" s="91"/>
      <c r="H191" s="91"/>
    </row>
    <row r="192" spans="3:8" ht="12.75" customHeight="1">
      <c r="C192" s="185"/>
      <c r="D192" s="185"/>
      <c r="E192" s="91"/>
      <c r="F192" s="91"/>
      <c r="G192" s="91"/>
      <c r="H192" s="91"/>
    </row>
    <row r="193" spans="3:8" ht="12.75" customHeight="1">
      <c r="C193" s="185"/>
      <c r="D193" s="185"/>
      <c r="E193" s="91"/>
      <c r="F193" s="91"/>
      <c r="G193" s="91"/>
      <c r="H193" s="91"/>
    </row>
    <row r="194" spans="3:8" ht="12.75" customHeight="1">
      <c r="C194" s="185"/>
      <c r="D194" s="185"/>
      <c r="E194" s="91"/>
      <c r="F194" s="91"/>
      <c r="G194" s="91"/>
      <c r="H194" s="91"/>
    </row>
    <row r="195" spans="3:8" ht="12.75" customHeight="1">
      <c r="C195" s="185"/>
      <c r="D195" s="185"/>
      <c r="E195" s="91"/>
      <c r="F195" s="91"/>
      <c r="G195" s="91"/>
      <c r="H195" s="91"/>
    </row>
    <row r="196" spans="3:8" ht="12.75" customHeight="1">
      <c r="C196" s="185"/>
      <c r="D196" s="185"/>
      <c r="E196" s="91"/>
      <c r="F196" s="91"/>
      <c r="G196" s="91"/>
      <c r="H196" s="91"/>
    </row>
    <row r="197" spans="3:8" ht="12.75" customHeight="1">
      <c r="C197" s="185"/>
      <c r="D197" s="185"/>
      <c r="E197" s="91"/>
      <c r="F197" s="91"/>
      <c r="G197" s="91"/>
      <c r="H197" s="91"/>
    </row>
    <row r="198" spans="3:8" ht="12.75" customHeight="1">
      <c r="C198" s="185"/>
      <c r="D198" s="185"/>
      <c r="E198" s="91"/>
      <c r="F198" s="91"/>
      <c r="G198" s="91"/>
      <c r="H198" s="91"/>
    </row>
    <row r="199" spans="3:8" ht="12.75" customHeight="1">
      <c r="C199" s="185"/>
      <c r="D199" s="185"/>
      <c r="E199" s="91"/>
      <c r="F199" s="91"/>
      <c r="G199" s="91"/>
      <c r="H199" s="91"/>
    </row>
    <row r="200" spans="3:8" ht="12.75" customHeight="1">
      <c r="C200" s="185"/>
      <c r="D200" s="185"/>
      <c r="E200" s="91"/>
      <c r="F200" s="91"/>
      <c r="G200" s="91"/>
      <c r="H200" s="91"/>
    </row>
    <row r="201" spans="3:8" ht="12.75" customHeight="1">
      <c r="C201" s="185"/>
      <c r="D201" s="185"/>
      <c r="E201" s="91"/>
      <c r="F201" s="91"/>
      <c r="G201" s="91"/>
      <c r="H201" s="91"/>
    </row>
    <row r="202" spans="3:8" ht="12.75" customHeight="1">
      <c r="C202" s="185"/>
      <c r="D202" s="185"/>
      <c r="E202" s="91"/>
      <c r="F202" s="91"/>
      <c r="G202" s="91"/>
      <c r="H202" s="91"/>
    </row>
    <row r="203" spans="3:8" ht="12.75" customHeight="1">
      <c r="C203" s="185"/>
      <c r="D203" s="185"/>
      <c r="E203" s="91"/>
      <c r="F203" s="91"/>
      <c r="G203" s="91"/>
      <c r="H203" s="91"/>
    </row>
    <row r="204" spans="3:8" ht="12.75" customHeight="1">
      <c r="C204" s="185"/>
      <c r="D204" s="185"/>
      <c r="E204" s="91"/>
      <c r="F204" s="91"/>
      <c r="G204" s="91"/>
      <c r="H204" s="91"/>
    </row>
    <row r="205" spans="3:8" ht="12.75" customHeight="1">
      <c r="C205" s="185"/>
      <c r="D205" s="185"/>
      <c r="E205" s="91"/>
      <c r="F205" s="91"/>
      <c r="G205" s="91"/>
      <c r="H205" s="91"/>
    </row>
    <row r="206" spans="3:8" ht="12.75" customHeight="1">
      <c r="C206" s="185"/>
      <c r="D206" s="185"/>
      <c r="E206" s="91"/>
      <c r="F206" s="91"/>
      <c r="G206" s="91"/>
      <c r="H206" s="91"/>
    </row>
    <row r="207" spans="3:8" ht="12.75" customHeight="1">
      <c r="C207" s="185"/>
      <c r="D207" s="185"/>
      <c r="E207" s="91"/>
      <c r="F207" s="91"/>
      <c r="G207" s="91"/>
      <c r="H207" s="91"/>
    </row>
    <row r="208" spans="3:8" ht="12.75" customHeight="1">
      <c r="C208" s="185"/>
      <c r="D208" s="185"/>
      <c r="E208" s="91"/>
      <c r="F208" s="91"/>
      <c r="G208" s="91"/>
      <c r="H208" s="91"/>
    </row>
    <row r="209" spans="3:8" ht="12.75" customHeight="1">
      <c r="C209" s="185"/>
      <c r="D209" s="185"/>
      <c r="E209" s="91"/>
      <c r="F209" s="91"/>
      <c r="G209" s="91"/>
      <c r="H209" s="91"/>
    </row>
    <row r="210" spans="3:8" ht="12.75" customHeight="1">
      <c r="C210" s="185"/>
      <c r="D210" s="185"/>
      <c r="E210" s="91"/>
      <c r="F210" s="91"/>
      <c r="G210" s="91"/>
      <c r="H210" s="91"/>
    </row>
    <row r="211" spans="3:8" ht="12.75" customHeight="1">
      <c r="C211" s="185"/>
      <c r="D211" s="185"/>
      <c r="E211" s="91"/>
      <c r="F211" s="91"/>
      <c r="G211" s="91"/>
      <c r="H211" s="91"/>
    </row>
    <row r="212" spans="3:8" ht="12.75" customHeight="1">
      <c r="C212" s="185"/>
      <c r="D212" s="185"/>
      <c r="E212" s="91"/>
      <c r="F212" s="91"/>
      <c r="G212" s="91"/>
      <c r="H212" s="91"/>
    </row>
    <row r="213" spans="3:8" ht="12.75" customHeight="1">
      <c r="C213" s="185"/>
      <c r="D213" s="185"/>
      <c r="E213" s="91"/>
      <c r="F213" s="91"/>
      <c r="G213" s="91"/>
      <c r="H213" s="91"/>
    </row>
    <row r="214" spans="3:8" ht="12.75" customHeight="1">
      <c r="C214" s="185"/>
      <c r="D214" s="185"/>
      <c r="E214" s="91"/>
      <c r="F214" s="91"/>
      <c r="G214" s="91"/>
      <c r="H214" s="91"/>
    </row>
    <row r="215" spans="3:8" ht="12.75" customHeight="1">
      <c r="C215" s="185"/>
      <c r="D215" s="185"/>
      <c r="E215" s="91"/>
      <c r="F215" s="91"/>
      <c r="G215" s="91"/>
      <c r="H215" s="91"/>
    </row>
    <row r="216" spans="3:8" ht="12.75" customHeight="1">
      <c r="C216" s="185"/>
      <c r="D216" s="185"/>
      <c r="E216" s="91"/>
      <c r="F216" s="91"/>
      <c r="G216" s="91"/>
      <c r="H216" s="91"/>
    </row>
    <row r="217" spans="3:8" ht="12.75" customHeight="1">
      <c r="C217" s="185"/>
      <c r="D217" s="185"/>
      <c r="E217" s="91"/>
      <c r="F217" s="91"/>
      <c r="G217" s="91"/>
      <c r="H217" s="91"/>
    </row>
    <row r="218" spans="3:8" ht="12.75" customHeight="1">
      <c r="C218" s="185"/>
      <c r="D218" s="185"/>
      <c r="E218" s="91"/>
      <c r="F218" s="91"/>
      <c r="G218" s="91"/>
      <c r="H218" s="91"/>
    </row>
    <row r="219" spans="3:8" ht="12.75" customHeight="1">
      <c r="C219" s="185"/>
      <c r="D219" s="185"/>
      <c r="E219" s="91"/>
      <c r="F219" s="91"/>
      <c r="G219" s="91"/>
      <c r="H219" s="91"/>
    </row>
    <row r="220" spans="3:8" ht="12.75" customHeight="1">
      <c r="C220" s="185"/>
      <c r="D220" s="185"/>
      <c r="E220" s="91"/>
      <c r="F220" s="91"/>
      <c r="G220" s="91"/>
      <c r="H220" s="91"/>
    </row>
    <row r="221" spans="3:8" ht="12.75" customHeight="1">
      <c r="C221" s="185"/>
      <c r="D221" s="185"/>
      <c r="E221" s="91"/>
      <c r="F221" s="91"/>
      <c r="G221" s="91"/>
      <c r="H221" s="91"/>
    </row>
    <row r="222" spans="3:8" ht="12.75" customHeight="1">
      <c r="C222" s="185"/>
      <c r="D222" s="185"/>
      <c r="E222" s="91"/>
      <c r="F222" s="91"/>
      <c r="G222" s="91"/>
      <c r="H222" s="91"/>
    </row>
    <row r="223" spans="3:8" ht="12.75" customHeight="1">
      <c r="C223" s="185"/>
      <c r="D223" s="185"/>
      <c r="E223" s="91"/>
      <c r="F223" s="91"/>
      <c r="G223" s="91"/>
      <c r="H223" s="91"/>
    </row>
    <row r="224" spans="3:8" ht="12.75" customHeight="1">
      <c r="C224" s="185"/>
      <c r="D224" s="185"/>
      <c r="E224" s="91"/>
      <c r="F224" s="91"/>
      <c r="G224" s="91"/>
      <c r="H224" s="91"/>
    </row>
    <row r="225" spans="3:8" ht="12.75" customHeight="1">
      <c r="C225" s="185"/>
      <c r="D225" s="185"/>
      <c r="E225" s="91"/>
      <c r="F225" s="91"/>
      <c r="G225" s="91"/>
      <c r="H225" s="91"/>
    </row>
    <row r="226" spans="3:8" ht="12.75" customHeight="1">
      <c r="C226" s="185"/>
      <c r="D226" s="185"/>
      <c r="E226" s="91"/>
      <c r="F226" s="91"/>
      <c r="G226" s="91"/>
      <c r="H226" s="91"/>
    </row>
    <row r="227" spans="3:8" ht="12.75" customHeight="1">
      <c r="C227" s="185"/>
      <c r="D227" s="185"/>
      <c r="E227" s="91"/>
      <c r="F227" s="91"/>
      <c r="G227" s="91"/>
      <c r="H227" s="91"/>
    </row>
    <row r="228" spans="3:8" ht="12.75" customHeight="1">
      <c r="C228" s="185"/>
      <c r="D228" s="185"/>
      <c r="E228" s="91"/>
      <c r="F228" s="91"/>
      <c r="G228" s="91"/>
      <c r="H228" s="91"/>
    </row>
    <row r="229" spans="3:8" ht="12.75" customHeight="1">
      <c r="C229" s="185"/>
      <c r="D229" s="185"/>
      <c r="E229" s="91"/>
      <c r="F229" s="91"/>
      <c r="G229" s="91"/>
      <c r="H229" s="91"/>
    </row>
    <row r="230" spans="3:8" ht="12.75" customHeight="1">
      <c r="C230" s="185"/>
      <c r="D230" s="185"/>
      <c r="E230" s="91"/>
      <c r="F230" s="91"/>
      <c r="G230" s="91"/>
      <c r="H230" s="91"/>
    </row>
    <row r="231" spans="3:8" ht="12.75" customHeight="1">
      <c r="C231" s="185"/>
      <c r="D231" s="185"/>
      <c r="E231" s="91"/>
      <c r="F231" s="91"/>
      <c r="G231" s="91"/>
      <c r="H231" s="91"/>
    </row>
    <row r="232" spans="3:8" ht="12.75" customHeight="1">
      <c r="C232" s="185"/>
      <c r="D232" s="185"/>
      <c r="E232" s="91"/>
      <c r="F232" s="91"/>
      <c r="G232" s="91"/>
      <c r="H232" s="91"/>
    </row>
    <row r="233" spans="3:8" ht="12.75" customHeight="1">
      <c r="C233" s="185"/>
      <c r="D233" s="185"/>
      <c r="E233" s="91"/>
      <c r="F233" s="91"/>
      <c r="G233" s="91"/>
      <c r="H233" s="91"/>
    </row>
    <row r="234" spans="3:8" ht="12.75" customHeight="1">
      <c r="C234" s="185"/>
      <c r="D234" s="185"/>
      <c r="E234" s="91"/>
      <c r="F234" s="91"/>
      <c r="G234" s="91"/>
      <c r="H234" s="91"/>
    </row>
    <row r="235" spans="3:8" ht="12.75" customHeight="1">
      <c r="C235" s="185"/>
      <c r="D235" s="185"/>
      <c r="E235" s="91"/>
      <c r="F235" s="91"/>
      <c r="G235" s="91"/>
      <c r="H235" s="91"/>
    </row>
    <row r="236" spans="3:8" ht="12.75" customHeight="1">
      <c r="C236" s="185"/>
      <c r="D236" s="185"/>
      <c r="E236" s="91"/>
      <c r="F236" s="91"/>
      <c r="G236" s="91"/>
      <c r="H236" s="91"/>
    </row>
    <row r="237" spans="3:8" ht="12.75" customHeight="1">
      <c r="C237" s="185"/>
      <c r="D237" s="185"/>
      <c r="E237" s="91"/>
      <c r="F237" s="91"/>
      <c r="G237" s="91"/>
      <c r="H237" s="91"/>
    </row>
    <row r="238" spans="3:8" ht="12.75" customHeight="1">
      <c r="C238" s="185"/>
      <c r="D238" s="185"/>
      <c r="E238" s="91"/>
      <c r="F238" s="91"/>
      <c r="G238" s="91"/>
      <c r="H238" s="91"/>
    </row>
    <row r="239" spans="3:8" ht="12.75" customHeight="1">
      <c r="C239" s="185"/>
      <c r="D239" s="185"/>
      <c r="E239" s="91"/>
      <c r="F239" s="91"/>
      <c r="G239" s="91"/>
      <c r="H239" s="91"/>
    </row>
    <row r="240" spans="3:8" ht="12.75" customHeight="1">
      <c r="C240" s="185"/>
      <c r="D240" s="185"/>
      <c r="E240" s="91"/>
      <c r="F240" s="91"/>
      <c r="G240" s="91"/>
      <c r="H240" s="91"/>
    </row>
    <row r="241" spans="3:8" ht="12.75" customHeight="1">
      <c r="C241" s="185"/>
      <c r="D241" s="185"/>
      <c r="E241" s="91"/>
      <c r="F241" s="91"/>
      <c r="G241" s="91"/>
      <c r="H241" s="91"/>
    </row>
    <row r="242" spans="3:8" ht="12.75" customHeight="1">
      <c r="C242" s="185"/>
      <c r="D242" s="185"/>
      <c r="E242" s="91"/>
      <c r="F242" s="91"/>
      <c r="G242" s="91"/>
      <c r="H242" s="91"/>
    </row>
    <row r="243" spans="3:8" ht="12.75" customHeight="1">
      <c r="C243" s="185"/>
      <c r="D243" s="185"/>
      <c r="E243" s="91"/>
      <c r="F243" s="91"/>
      <c r="G243" s="91"/>
      <c r="H243" s="91"/>
    </row>
    <row r="244" spans="3:8" ht="12.75" customHeight="1">
      <c r="C244" s="185"/>
      <c r="D244" s="185"/>
      <c r="E244" s="91"/>
      <c r="F244" s="91"/>
      <c r="G244" s="91"/>
      <c r="H244" s="91"/>
    </row>
    <row r="245" spans="3:8" ht="12.75" customHeight="1">
      <c r="C245" s="185"/>
      <c r="D245" s="185"/>
      <c r="E245" s="91"/>
      <c r="F245" s="91"/>
      <c r="G245" s="91"/>
      <c r="H245" s="91"/>
    </row>
    <row r="246" spans="3:8" ht="12.75" customHeight="1">
      <c r="C246" s="185"/>
      <c r="D246" s="185"/>
      <c r="E246" s="91"/>
      <c r="F246" s="91"/>
      <c r="G246" s="91"/>
      <c r="H246" s="91"/>
    </row>
    <row r="247" spans="3:8" ht="12.75" customHeight="1">
      <c r="C247" s="185"/>
      <c r="D247" s="185"/>
      <c r="E247" s="91"/>
      <c r="F247" s="91"/>
      <c r="G247" s="91"/>
      <c r="H247" s="91"/>
    </row>
    <row r="248" spans="3:8" ht="12.75" customHeight="1">
      <c r="C248" s="185"/>
      <c r="D248" s="185"/>
      <c r="E248" s="91"/>
      <c r="F248" s="91"/>
      <c r="G248" s="91"/>
      <c r="H248" s="91"/>
    </row>
    <row r="249" spans="3:8" ht="12.75" customHeight="1">
      <c r="C249" s="185"/>
      <c r="D249" s="185"/>
      <c r="E249" s="91"/>
      <c r="F249" s="91"/>
      <c r="G249" s="91"/>
      <c r="H249" s="91"/>
    </row>
    <row r="250" spans="3:8" ht="12.75" customHeight="1">
      <c r="C250" s="185"/>
      <c r="D250" s="185"/>
      <c r="E250" s="91"/>
      <c r="F250" s="91"/>
      <c r="G250" s="91"/>
      <c r="H250" s="91"/>
    </row>
    <row r="251" spans="3:8" s="41" customFormat="1" ht="12.75" customHeight="1"/>
    <row r="252" spans="3:8" s="41" customFormat="1" ht="12.75" customHeight="1"/>
    <row r="253" spans="3:8" s="41" customFormat="1" ht="12.75" customHeight="1"/>
    <row r="254" spans="3:8" s="41" customFormat="1" ht="12.75" customHeight="1"/>
    <row r="255" spans="3:8" s="41" customFormat="1" ht="12.75" customHeight="1"/>
    <row r="256" spans="3:8" s="41" customFormat="1" ht="12.75" customHeight="1"/>
    <row r="257" s="41" customFormat="1" ht="12.75" customHeight="1"/>
    <row r="258" s="41" customFormat="1" ht="12.75" customHeight="1"/>
    <row r="259" s="41" customFormat="1" ht="12.75" customHeight="1"/>
    <row r="260" s="41" customFormat="1" ht="12.75" customHeight="1"/>
    <row r="261" s="41" customFormat="1" ht="12.75" customHeight="1"/>
    <row r="262" s="41" customFormat="1" ht="12.75" customHeight="1"/>
    <row r="263" s="41" customFormat="1" ht="12.75" customHeight="1"/>
    <row r="264" s="41" customFormat="1" ht="12.75" customHeight="1"/>
    <row r="265" s="41" customFormat="1" ht="12.75" customHeight="1"/>
    <row r="266" s="41" customFormat="1" ht="12.75" customHeight="1"/>
    <row r="267" s="41" customFormat="1" ht="12.75" customHeight="1"/>
    <row r="268" s="41" customFormat="1" ht="12.75" customHeight="1"/>
    <row r="269" s="41" customFormat="1" ht="12.75" customHeight="1"/>
    <row r="270" s="41" customFormat="1" ht="12.75" customHeight="1"/>
    <row r="271" s="41" customFormat="1" ht="12.75" customHeight="1"/>
    <row r="272" s="41" customFormat="1" ht="12.75" customHeight="1"/>
    <row r="273" s="41" customFormat="1" ht="12.75" customHeight="1"/>
    <row r="274" s="41" customFormat="1" ht="12.75" customHeight="1"/>
    <row r="275" s="41" customFormat="1" ht="12.75" customHeight="1"/>
    <row r="276" s="41" customFormat="1" ht="12.75" customHeight="1"/>
    <row r="277" s="41" customFormat="1" ht="12.75" customHeight="1"/>
    <row r="278" s="41" customFormat="1" ht="12.75" customHeight="1"/>
    <row r="279" s="41" customFormat="1" ht="12.75" customHeight="1"/>
    <row r="280" s="41" customFormat="1" ht="12.75" customHeight="1"/>
    <row r="281" s="41" customFormat="1" ht="12.75" customHeight="1"/>
    <row r="282" s="41" customFormat="1" ht="12.75" customHeight="1"/>
    <row r="283" s="41" customFormat="1" ht="12.75" customHeight="1"/>
    <row r="284" s="41" customFormat="1" ht="12.75" customHeight="1"/>
    <row r="285" s="41" customFormat="1" ht="12.75" customHeight="1"/>
    <row r="286" s="41" customFormat="1" ht="12.75" customHeight="1"/>
    <row r="287" s="41" customFormat="1" ht="12.75" customHeight="1"/>
    <row r="288" s="41" customFormat="1" ht="12.75" customHeight="1"/>
    <row r="289" s="41" customFormat="1" ht="12.75" customHeight="1"/>
    <row r="290" s="41" customFormat="1" ht="12.75" customHeight="1"/>
    <row r="291" s="41" customFormat="1" ht="12.75" customHeight="1"/>
    <row r="292" s="41" customFormat="1" ht="12.75" customHeight="1"/>
    <row r="293" s="41" customFormat="1" ht="12.75" customHeight="1"/>
    <row r="294" s="4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4:D4"/>
    <mergeCell ref="C5:D5"/>
    <mergeCell ref="C6:D6"/>
    <mergeCell ref="C7:D7"/>
    <mergeCell ref="C8:D8"/>
    <mergeCell ref="C9:D9"/>
    <mergeCell ref="C16:D16"/>
    <mergeCell ref="C17:D17"/>
    <mergeCell ref="C18:D18"/>
    <mergeCell ref="C19:D19"/>
    <mergeCell ref="C20:D20"/>
    <mergeCell ref="C21:D21"/>
    <mergeCell ref="C10:D10"/>
    <mergeCell ref="C11:D11"/>
    <mergeCell ref="C12:D12"/>
    <mergeCell ref="C13:D13"/>
    <mergeCell ref="C14:D14"/>
    <mergeCell ref="C15:D15"/>
    <mergeCell ref="C28:D28"/>
    <mergeCell ref="C29:D29"/>
    <mergeCell ref="C30:D30"/>
    <mergeCell ref="C31:D31"/>
    <mergeCell ref="C32:D32"/>
    <mergeCell ref="C33:D33"/>
    <mergeCell ref="C22:D22"/>
    <mergeCell ref="C23:D23"/>
    <mergeCell ref="C24:D24"/>
    <mergeCell ref="C25:D25"/>
    <mergeCell ref="C26:D26"/>
    <mergeCell ref="C27:D27"/>
    <mergeCell ref="C40:D40"/>
    <mergeCell ref="C41:D41"/>
    <mergeCell ref="C42:D42"/>
    <mergeCell ref="C43:D43"/>
    <mergeCell ref="C44:D44"/>
    <mergeCell ref="C45:D45"/>
    <mergeCell ref="C34:D34"/>
    <mergeCell ref="C35:D35"/>
    <mergeCell ref="C36:D36"/>
    <mergeCell ref="C37:D37"/>
    <mergeCell ref="C38:D38"/>
    <mergeCell ref="C39:D39"/>
    <mergeCell ref="C52:D52"/>
    <mergeCell ref="C53:D53"/>
    <mergeCell ref="C54:D54"/>
    <mergeCell ref="C55:D55"/>
    <mergeCell ref="C56:D56"/>
    <mergeCell ref="C57:D57"/>
    <mergeCell ref="C46:D46"/>
    <mergeCell ref="C47:D47"/>
    <mergeCell ref="C48:D48"/>
    <mergeCell ref="C49:D49"/>
    <mergeCell ref="C50:D50"/>
    <mergeCell ref="C51:D51"/>
    <mergeCell ref="C64:D64"/>
    <mergeCell ref="C65:D65"/>
    <mergeCell ref="C66:D66"/>
    <mergeCell ref="C67:D67"/>
    <mergeCell ref="C68:D68"/>
    <mergeCell ref="C69:D69"/>
    <mergeCell ref="C58:D58"/>
    <mergeCell ref="C59:D59"/>
    <mergeCell ref="C60:D60"/>
    <mergeCell ref="C61:D61"/>
    <mergeCell ref="C62:D62"/>
    <mergeCell ref="C63:D63"/>
    <mergeCell ref="C76:D76"/>
    <mergeCell ref="C77:D77"/>
    <mergeCell ref="C78:D78"/>
    <mergeCell ref="C79:D79"/>
    <mergeCell ref="C80:D80"/>
    <mergeCell ref="C81:D81"/>
    <mergeCell ref="C70:D70"/>
    <mergeCell ref="C71:D71"/>
    <mergeCell ref="C72:D72"/>
    <mergeCell ref="C73:D73"/>
    <mergeCell ref="C74:D74"/>
    <mergeCell ref="C75:D75"/>
    <mergeCell ref="C88:D88"/>
    <mergeCell ref="C89:D89"/>
    <mergeCell ref="C90:D90"/>
    <mergeCell ref="C91:D91"/>
    <mergeCell ref="C92:D92"/>
    <mergeCell ref="C93:D93"/>
    <mergeCell ref="C82:D82"/>
    <mergeCell ref="C83:D83"/>
    <mergeCell ref="C84:D84"/>
    <mergeCell ref="C85:D85"/>
    <mergeCell ref="C86:D86"/>
    <mergeCell ref="C87:D87"/>
    <mergeCell ref="C100:D100"/>
    <mergeCell ref="C101:D101"/>
    <mergeCell ref="C102:D102"/>
    <mergeCell ref="C103:D103"/>
    <mergeCell ref="C104:D104"/>
    <mergeCell ref="C105:D105"/>
    <mergeCell ref="C94:D94"/>
    <mergeCell ref="C95:D95"/>
    <mergeCell ref="C96:D96"/>
    <mergeCell ref="C97:D97"/>
    <mergeCell ref="C98:D98"/>
    <mergeCell ref="C99:D99"/>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96:D196"/>
    <mergeCell ref="C197:D197"/>
    <mergeCell ref="C198:D198"/>
    <mergeCell ref="C199:D199"/>
    <mergeCell ref="C200:D200"/>
    <mergeCell ref="C201:D201"/>
    <mergeCell ref="C190:D190"/>
    <mergeCell ref="C191:D191"/>
    <mergeCell ref="C192:D192"/>
    <mergeCell ref="C193:D193"/>
    <mergeCell ref="C194:D194"/>
    <mergeCell ref="C195:D195"/>
    <mergeCell ref="C208:D208"/>
    <mergeCell ref="C209:D209"/>
    <mergeCell ref="C210:D210"/>
    <mergeCell ref="C211:D211"/>
    <mergeCell ref="C212:D212"/>
    <mergeCell ref="C213:D213"/>
    <mergeCell ref="C202:D202"/>
    <mergeCell ref="C203:D203"/>
    <mergeCell ref="C204:D204"/>
    <mergeCell ref="C205:D205"/>
    <mergeCell ref="C206:D206"/>
    <mergeCell ref="C207:D207"/>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portrait"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47"/>
  <sheetViews>
    <sheetView zoomScale="115" zoomScaleNormal="115" workbookViewId="0">
      <selection activeCell="F8" sqref="F8"/>
    </sheetView>
  </sheetViews>
  <sheetFormatPr defaultColWidth="11.42578125" defaultRowHeight="13.5"/>
  <cols>
    <col min="1" max="1" width="2.7109375" style="43" customWidth="1"/>
    <col min="2" max="2" width="4.28515625" style="43" customWidth="1"/>
    <col min="3" max="3" width="9.85546875" style="43" customWidth="1"/>
    <col min="4" max="4" width="54.7109375" style="43" customWidth="1"/>
    <col min="5" max="6" width="21.42578125" style="43" customWidth="1"/>
    <col min="7" max="7" width="18.85546875" style="43" customWidth="1"/>
    <col min="8" max="8" width="26.42578125" style="43" customWidth="1"/>
    <col min="9" max="9" width="51.5703125" style="43" customWidth="1"/>
    <col min="10" max="10" width="25.85546875" style="43" customWidth="1"/>
    <col min="11" max="11" width="13.42578125" style="43" bestFit="1" customWidth="1"/>
    <col min="12" max="12" width="10.42578125" style="43" bestFit="1" customWidth="1"/>
    <col min="13" max="13" width="41" style="43" customWidth="1"/>
    <col min="14" max="14" width="26.5703125" style="43" customWidth="1"/>
    <col min="15" max="15" width="47.7109375" style="43" customWidth="1"/>
    <col min="16" max="16" width="22.7109375" style="43" customWidth="1"/>
    <col min="17" max="17" width="29.28515625" style="43" customWidth="1"/>
    <col min="18" max="18" width="15.140625" style="43" customWidth="1"/>
    <col min="19" max="19" width="16.5703125" style="43" customWidth="1"/>
    <col min="20" max="20" width="15.28515625" style="43" customWidth="1"/>
    <col min="21" max="21" width="23.85546875" style="43" customWidth="1"/>
    <col min="22" max="24" width="11.42578125" style="43" customWidth="1"/>
    <col min="25" max="16384" width="11.42578125" style="43"/>
  </cols>
  <sheetData>
    <row r="1" spans="1:21" s="50" customFormat="1">
      <c r="A1" s="47"/>
      <c r="B1" s="47"/>
      <c r="C1" s="47"/>
      <c r="D1" s="48" t="s">
        <v>61</v>
      </c>
      <c r="E1" s="47"/>
      <c r="F1" s="47"/>
      <c r="G1" s="47"/>
      <c r="H1" s="47"/>
      <c r="I1" s="47"/>
      <c r="J1" s="47"/>
      <c r="K1" s="47"/>
      <c r="L1" s="47"/>
      <c r="M1" s="49"/>
      <c r="N1" s="49"/>
    </row>
    <row r="2" spans="1:21" s="50" customFormat="1" ht="16.5">
      <c r="A2" s="49"/>
      <c r="B2" s="49"/>
      <c r="C2" s="51" t="s">
        <v>150</v>
      </c>
      <c r="D2" s="51"/>
      <c r="E2" s="52"/>
      <c r="F2" s="53"/>
      <c r="G2" s="53"/>
      <c r="H2" s="53"/>
      <c r="I2" s="53"/>
      <c r="J2" s="53"/>
      <c r="K2" s="53"/>
      <c r="L2" s="53"/>
      <c r="M2" s="49"/>
      <c r="N2" s="49"/>
    </row>
    <row r="3" spans="1:21" ht="24.75" customHeight="1">
      <c r="A3" s="41"/>
      <c r="B3" s="41"/>
      <c r="C3" s="131" t="s">
        <v>17</v>
      </c>
      <c r="D3" s="131" t="s">
        <v>18</v>
      </c>
      <c r="E3" s="131" t="s">
        <v>19</v>
      </c>
      <c r="F3" s="131" t="s">
        <v>20</v>
      </c>
      <c r="G3" s="131" t="s">
        <v>223</v>
      </c>
      <c r="H3" s="131" t="s">
        <v>60</v>
      </c>
      <c r="I3" s="131" t="s">
        <v>54</v>
      </c>
      <c r="J3" s="131" t="s">
        <v>178</v>
      </c>
      <c r="K3" s="131" t="s">
        <v>224</v>
      </c>
      <c r="L3" s="131" t="s">
        <v>22</v>
      </c>
      <c r="M3" s="71" t="s">
        <v>22</v>
      </c>
      <c r="N3" s="41"/>
      <c r="Q3" s="43" t="s">
        <v>63</v>
      </c>
      <c r="R3" s="43" t="s">
        <v>208</v>
      </c>
    </row>
    <row r="4" spans="1:21" ht="14.25" customHeight="1">
      <c r="A4" s="41"/>
      <c r="B4" s="41">
        <v>1</v>
      </c>
      <c r="C4" s="54" t="s">
        <v>55</v>
      </c>
      <c r="D4" s="156" t="s">
        <v>303</v>
      </c>
      <c r="E4" s="55" t="str">
        <f>IF(D4="Pendiente","Captura Actividad Macro VTI pestaña Plan",IFERROR(IF(D4="No Requiere VT","",VLOOKUP(C202,BVT,3,FALSE)),"Captura Actividad Macro VTI pestaña PIan"))</f>
        <v/>
      </c>
      <c r="F4" s="55" t="str">
        <f>IFERROR(IF(D4="No Requiere VT","",VLOOKUP(C203,BVT,4,FALSE)),"Captura Actividad Macro VTF Pestaña Plan")</f>
        <v/>
      </c>
      <c r="G4" s="56" t="str">
        <f>IFERROR(F4-E4,"")</f>
        <v/>
      </c>
      <c r="H4" s="72"/>
      <c r="I4" s="72"/>
      <c r="J4" s="72"/>
      <c r="K4" s="73"/>
      <c r="L4" s="74"/>
      <c r="M4" s="75" t="s">
        <v>23</v>
      </c>
      <c r="N4" s="41"/>
      <c r="Q4" s="43" t="e">
        <f>IF(#REF!="","",#REF!)</f>
        <v>#REF!</v>
      </c>
      <c r="R4" s="43">
        <f>H6</f>
        <v>0</v>
      </c>
      <c r="S4" s="43" t="str">
        <f>CONCATENATE(R4,$R$3)</f>
        <v>0;</v>
      </c>
      <c r="T4" s="43" t="str">
        <f t="shared" ref="T4:T35" si="0">IFERROR(VLOOKUP(Q4,TPARTICIPA,2,0),"")</f>
        <v/>
      </c>
      <c r="U4" s="43" t="str">
        <f>CONCATENATE(T4,T5,T6,T7,T8,T9,T10,T11,T12,T13,T14,T15,T16,T17,T18,T19,T20,T21,T22,T23,T24,T25,T26,T27,T28,T29,T30,T31,T32,T33,T34,T35,T36,T37,T38,T39,T40,T41,T42,T43,T44,T45,T46,T47,T48,T49,T50,T51,T52,T53)</f>
        <v/>
      </c>
    </row>
    <row r="5" spans="1:21">
      <c r="A5" s="41"/>
      <c r="B5" s="41">
        <v>2</v>
      </c>
      <c r="C5" s="54" t="s">
        <v>56</v>
      </c>
      <c r="D5" s="57" t="s">
        <v>62</v>
      </c>
      <c r="E5" s="58" t="str">
        <f>IF(E6="","Captura F/H Primer Actividad pestaña Plan",E6)</f>
        <v>Captura F/H Primer Actividad pestaña Plan</v>
      </c>
      <c r="F5" s="55" t="str">
        <f>IFERROR(IF(VLOOKUP(C204,BPlan,4,FALSE)="","Captura la F/H FIN de Actividad actividad FIN del Plan",VLOOKUP(C204,BPlan,4,FALSE)),"Captura Actividad Macro FIN en pestaña Plan")</f>
        <v>Captura la F/H FIN de Actividad actividad FIN del Plan</v>
      </c>
      <c r="G5" s="56" t="e">
        <f>F5-E5</f>
        <v>#VALUE!</v>
      </c>
      <c r="H5" s="72"/>
      <c r="I5" s="72"/>
      <c r="J5" s="72"/>
      <c r="K5" s="62"/>
      <c r="L5" s="74"/>
      <c r="M5" s="76" t="s">
        <v>261</v>
      </c>
      <c r="N5" s="41"/>
      <c r="Q5" s="43" t="e">
        <f>IF(#REF!="","",#REF!)</f>
        <v>#REF!</v>
      </c>
      <c r="R5" s="43" t="str">
        <f t="shared" ref="R5:R68" si="1">H7</f>
        <v xml:space="preserve">T-Systems Seguridad SAT </v>
      </c>
      <c r="S5" s="43" t="str">
        <f t="shared" ref="S5:S68" si="2">CONCATENATE(R5,$R$3)</f>
        <v>T-Systems Seguridad SAT ;</v>
      </c>
      <c r="T5" s="43" t="str">
        <f t="shared" si="0"/>
        <v/>
      </c>
    </row>
    <row r="6" spans="1:21" ht="14.25" thickBot="1">
      <c r="A6" s="41"/>
      <c r="B6" s="41">
        <v>3</v>
      </c>
      <c r="C6" s="59" t="s">
        <v>307</v>
      </c>
      <c r="D6" s="157" t="s">
        <v>327</v>
      </c>
      <c r="E6" s="60"/>
      <c r="F6" s="60"/>
      <c r="G6" s="61">
        <f>IF(D7="Da inicio la Ventana de Tiempo","",IF(D7="Dan Fin las Actividades del Plan","",IF(D7="Termina Ventana de Tiempo","",F6-E6)))</f>
        <v>0</v>
      </c>
      <c r="H6" s="77"/>
      <c r="I6" s="72"/>
      <c r="J6" s="72"/>
      <c r="K6" s="62"/>
      <c r="L6" s="74"/>
      <c r="M6" s="78" t="s">
        <v>262</v>
      </c>
      <c r="N6" s="41"/>
      <c r="Q6" s="43" t="e">
        <f>IF(#REF!="","",#REF!)</f>
        <v>#REF!</v>
      </c>
      <c r="R6" s="43" t="str">
        <f t="shared" si="1"/>
        <v xml:space="preserve">T-Systems Seguridad SAT </v>
      </c>
      <c r="S6" s="43" t="str">
        <f t="shared" si="2"/>
        <v>T-Systems Seguridad SAT ;</v>
      </c>
      <c r="T6" s="43" t="str">
        <f t="shared" si="0"/>
        <v/>
      </c>
    </row>
    <row r="7" spans="1:21" ht="108" customHeight="1" thickBot="1">
      <c r="A7" s="41"/>
      <c r="B7" s="41">
        <v>4</v>
      </c>
      <c r="C7" s="59" t="s">
        <v>304</v>
      </c>
      <c r="D7" s="158" t="s">
        <v>326</v>
      </c>
      <c r="E7" s="60"/>
      <c r="F7" s="60"/>
      <c r="G7" s="61">
        <f>IF(D8="Da inicio la Ventana de Tiempo","",IF(D8="Dan Fin las Actividades del Plan","",IF(D8="Termina Ventana de Tiempo","",F7-E7)))</f>
        <v>0</v>
      </c>
      <c r="H7" s="77" t="s">
        <v>311</v>
      </c>
      <c r="I7" s="72"/>
      <c r="J7" s="72"/>
      <c r="K7" s="62"/>
      <c r="L7" s="74"/>
      <c r="M7" s="79"/>
      <c r="N7" s="41"/>
      <c r="Q7" s="43" t="e">
        <f>IF(#REF!="","",#REF!)</f>
        <v>#REF!</v>
      </c>
      <c r="R7" s="43" t="str">
        <f t="shared" si="1"/>
        <v xml:space="preserve">T-Systems Seguridad SAT </v>
      </c>
      <c r="S7" s="43" t="str">
        <f t="shared" si="2"/>
        <v>T-Systems Seguridad SAT ;</v>
      </c>
      <c r="T7" s="43" t="str">
        <f t="shared" si="0"/>
        <v/>
      </c>
    </row>
    <row r="8" spans="1:21" ht="131.25" customHeight="1" thickBot="1">
      <c r="A8" s="41"/>
      <c r="B8" s="41">
        <v>5</v>
      </c>
      <c r="C8" s="59" t="s">
        <v>304</v>
      </c>
      <c r="D8" s="158" t="s">
        <v>328</v>
      </c>
      <c r="E8" s="60"/>
      <c r="F8" s="60"/>
      <c r="G8" s="61">
        <f>IF(D9="Da inicio la Ventana de Tiempo","",IF(D9="Dan Fin las Actividades del Plan","",IF(D9="Termina Ventana de Tiempo","",F8-E8)))</f>
        <v>0</v>
      </c>
      <c r="H8" s="77" t="s">
        <v>311</v>
      </c>
      <c r="I8" s="72"/>
      <c r="J8" s="72"/>
      <c r="K8" s="62"/>
      <c r="L8" s="74"/>
      <c r="M8" s="80" t="s">
        <v>17</v>
      </c>
      <c r="N8" s="41"/>
      <c r="Q8" s="43" t="e">
        <f>IF(#REF!="","",#REF!)</f>
        <v>#REF!</v>
      </c>
      <c r="R8" s="43" t="str">
        <f t="shared" si="1"/>
        <v xml:space="preserve">T-Systems Seguridad SAT </v>
      </c>
      <c r="S8" s="43" t="str">
        <f t="shared" si="2"/>
        <v>T-Systems Seguridad SAT ;</v>
      </c>
      <c r="T8" s="43" t="str">
        <f t="shared" si="0"/>
        <v/>
      </c>
    </row>
    <row r="9" spans="1:21" ht="23.25" thickBot="1">
      <c r="A9" s="41"/>
      <c r="B9" s="41">
        <v>6</v>
      </c>
      <c r="C9" s="59" t="s">
        <v>313</v>
      </c>
      <c r="D9" s="158" t="s">
        <v>322</v>
      </c>
      <c r="E9" s="156"/>
      <c r="F9" s="60"/>
      <c r="G9" s="61">
        <f>IF(D10="Da inicio la Ventana de Tiempo","",IF(D10="Dan Fin las Actividades del Plan","",IF(D10="Termina Ventana de Tiempo","",F9-E9)))</f>
        <v>0</v>
      </c>
      <c r="H9" s="77" t="s">
        <v>311</v>
      </c>
      <c r="I9" s="72"/>
      <c r="J9" s="72"/>
      <c r="K9" s="62"/>
      <c r="L9" s="74"/>
      <c r="M9" s="79" t="s">
        <v>257</v>
      </c>
      <c r="N9" s="41"/>
      <c r="Q9" s="43" t="e">
        <f>IF(#REF!="","",#REF!)</f>
        <v>#REF!</v>
      </c>
      <c r="R9" s="43">
        <f t="shared" si="1"/>
        <v>0</v>
      </c>
      <c r="S9" s="43" t="str">
        <f t="shared" si="2"/>
        <v>0;</v>
      </c>
      <c r="T9" s="43" t="str">
        <f t="shared" si="0"/>
        <v/>
      </c>
    </row>
    <row r="10" spans="1:21" ht="14.25" thickBot="1">
      <c r="A10" s="41"/>
      <c r="B10" s="41">
        <v>7</v>
      </c>
      <c r="C10" s="59" t="s">
        <v>314</v>
      </c>
      <c r="D10" s="158" t="s">
        <v>315</v>
      </c>
      <c r="E10" s="60"/>
      <c r="F10" s="60"/>
      <c r="G10" s="61">
        <f>IF(D11="Da inicio la Ventana de Tiempo","",IF(D11="Dan Fin las Actividades del Plan","",IF(D11="Termina Ventana de Tiempo","",F10-E10)))</f>
        <v>0</v>
      </c>
      <c r="H10" s="77" t="s">
        <v>311</v>
      </c>
      <c r="I10" s="72"/>
      <c r="J10" s="72"/>
      <c r="K10" s="62"/>
      <c r="L10" s="74"/>
      <c r="M10" s="79" t="s">
        <v>258</v>
      </c>
      <c r="N10" s="41"/>
      <c r="Q10" s="43" t="e">
        <f>IF(#REF!="","",#REF!)</f>
        <v>#REF!</v>
      </c>
      <c r="R10" s="43">
        <f t="shared" si="1"/>
        <v>0</v>
      </c>
      <c r="S10" s="43" t="str">
        <f t="shared" si="2"/>
        <v>0;</v>
      </c>
      <c r="T10" s="43" t="str">
        <f t="shared" si="0"/>
        <v/>
      </c>
    </row>
    <row r="11" spans="1:21">
      <c r="A11" s="41"/>
      <c r="B11" s="41">
        <v>8</v>
      </c>
      <c r="C11" s="59" t="s">
        <v>58</v>
      </c>
      <c r="D11" s="81"/>
      <c r="E11" s="60"/>
      <c r="F11" s="60"/>
      <c r="G11" s="61">
        <f t="shared" ref="G11:G70" si="3">IF(D11="Da inicio la Ventana de Tiempo","",IF(D11="Dan Fin las Actividades del Plan","",IF(D11="Termina Ventana de Tiempo","",F11-E11)))</f>
        <v>0</v>
      </c>
      <c r="H11" s="77"/>
      <c r="I11" s="72"/>
      <c r="J11" s="72"/>
      <c r="K11" s="62"/>
      <c r="L11" s="74"/>
      <c r="M11" s="79" t="s">
        <v>259</v>
      </c>
      <c r="N11" s="41"/>
      <c r="Q11" s="43" t="e">
        <f>IF(#REF!="","",#REF!)</f>
        <v>#REF!</v>
      </c>
      <c r="R11" s="43">
        <f t="shared" si="1"/>
        <v>0</v>
      </c>
      <c r="S11" s="43" t="str">
        <f t="shared" si="2"/>
        <v>0;</v>
      </c>
      <c r="T11" s="43" t="str">
        <f t="shared" si="0"/>
        <v/>
      </c>
    </row>
    <row r="12" spans="1:21">
      <c r="A12" s="41"/>
      <c r="B12" s="41">
        <v>9</v>
      </c>
      <c r="C12" s="59"/>
      <c r="D12" s="156"/>
      <c r="E12" s="60"/>
      <c r="F12" s="60"/>
      <c r="G12" s="61">
        <f t="shared" si="3"/>
        <v>0</v>
      </c>
      <c r="H12" s="77"/>
      <c r="I12" s="72"/>
      <c r="J12" s="72"/>
      <c r="K12" s="62"/>
      <c r="L12" s="74"/>
      <c r="M12" s="79" t="s">
        <v>260</v>
      </c>
      <c r="N12" s="41"/>
      <c r="Q12" s="43" t="e">
        <f>IF(#REF!="","",#REF!)</f>
        <v>#REF!</v>
      </c>
      <c r="R12" s="43">
        <f t="shared" si="1"/>
        <v>0</v>
      </c>
      <c r="S12" s="43" t="str">
        <f t="shared" si="2"/>
        <v>0;</v>
      </c>
      <c r="T12" s="43" t="str">
        <f t="shared" si="0"/>
        <v/>
      </c>
    </row>
    <row r="13" spans="1:21">
      <c r="A13" s="41"/>
      <c r="B13" s="41">
        <v>10</v>
      </c>
      <c r="C13" s="59"/>
      <c r="D13" s="81"/>
      <c r="E13" s="60"/>
      <c r="F13" s="60"/>
      <c r="G13" s="61">
        <f t="shared" si="3"/>
        <v>0</v>
      </c>
      <c r="H13" s="77"/>
      <c r="I13" s="72"/>
      <c r="J13" s="72"/>
      <c r="K13" s="62"/>
      <c r="L13" s="74"/>
      <c r="M13" s="79" t="s">
        <v>225</v>
      </c>
      <c r="N13" s="41"/>
      <c r="Q13" s="43" t="e">
        <f>IF(#REF!="","",#REF!)</f>
        <v>#REF!</v>
      </c>
      <c r="R13" s="43">
        <f t="shared" si="1"/>
        <v>0</v>
      </c>
      <c r="S13" s="43" t="str">
        <f t="shared" si="2"/>
        <v>0;</v>
      </c>
      <c r="T13" s="43" t="str">
        <f t="shared" si="0"/>
        <v/>
      </c>
    </row>
    <row r="14" spans="1:21">
      <c r="A14" s="41"/>
      <c r="B14" s="41">
        <v>11</v>
      </c>
      <c r="C14" s="59"/>
      <c r="D14" s="81"/>
      <c r="E14" s="60"/>
      <c r="F14" s="60"/>
      <c r="G14" s="61">
        <f t="shared" si="3"/>
        <v>0</v>
      </c>
      <c r="H14" s="77"/>
      <c r="I14" s="72"/>
      <c r="J14" s="72"/>
      <c r="K14" s="62"/>
      <c r="L14" s="74"/>
      <c r="M14" s="79" t="s">
        <v>226</v>
      </c>
      <c r="N14" s="41"/>
      <c r="Q14" s="43" t="e">
        <f>IF(#REF!="","",#REF!)</f>
        <v>#REF!</v>
      </c>
      <c r="R14" s="43">
        <f t="shared" si="1"/>
        <v>0</v>
      </c>
      <c r="S14" s="43" t="str">
        <f t="shared" si="2"/>
        <v>0;</v>
      </c>
      <c r="T14" s="43" t="str">
        <f t="shared" si="0"/>
        <v/>
      </c>
    </row>
    <row r="15" spans="1:21">
      <c r="A15" s="41"/>
      <c r="B15" s="41">
        <v>12</v>
      </c>
      <c r="C15" s="59"/>
      <c r="D15" s="81"/>
      <c r="E15" s="60"/>
      <c r="F15" s="60"/>
      <c r="G15" s="61">
        <f t="shared" si="3"/>
        <v>0</v>
      </c>
      <c r="H15" s="77"/>
      <c r="I15" s="72"/>
      <c r="J15" s="72"/>
      <c r="K15" s="62"/>
      <c r="L15" s="74"/>
      <c r="M15" s="79" t="s">
        <v>227</v>
      </c>
      <c r="N15" s="41"/>
      <c r="Q15" s="43" t="e">
        <f>IF(#REF!="","",#REF!)</f>
        <v>#REF!</v>
      </c>
      <c r="R15" s="43">
        <f t="shared" si="1"/>
        <v>0</v>
      </c>
      <c r="S15" s="43" t="str">
        <f t="shared" si="2"/>
        <v>0;</v>
      </c>
      <c r="T15" s="43" t="str">
        <f t="shared" si="0"/>
        <v/>
      </c>
    </row>
    <row r="16" spans="1:21">
      <c r="A16" s="41"/>
      <c r="B16" s="41">
        <v>13</v>
      </c>
      <c r="C16" s="59"/>
      <c r="D16" s="81"/>
      <c r="E16" s="60"/>
      <c r="F16" s="60"/>
      <c r="G16" s="61">
        <f t="shared" si="3"/>
        <v>0</v>
      </c>
      <c r="H16" s="77"/>
      <c r="I16" s="72"/>
      <c r="J16" s="72"/>
      <c r="K16" s="62"/>
      <c r="L16" s="74"/>
      <c r="M16" s="79" t="s">
        <v>228</v>
      </c>
      <c r="N16" s="41"/>
      <c r="Q16" s="43" t="e">
        <f>IF(#REF!="","",#REF!)</f>
        <v>#REF!</v>
      </c>
      <c r="R16" s="43">
        <f t="shared" si="1"/>
        <v>0</v>
      </c>
      <c r="S16" s="43" t="str">
        <f t="shared" si="2"/>
        <v>0;</v>
      </c>
      <c r="T16" s="43" t="str">
        <f t="shared" si="0"/>
        <v/>
      </c>
    </row>
    <row r="17" spans="1:20">
      <c r="A17" s="41"/>
      <c r="B17" s="41">
        <v>14</v>
      </c>
      <c r="C17" s="59"/>
      <c r="D17" s="82"/>
      <c r="E17" s="60"/>
      <c r="F17" s="60"/>
      <c r="G17" s="61">
        <f t="shared" si="3"/>
        <v>0</v>
      </c>
      <c r="H17" s="77"/>
      <c r="I17" s="72"/>
      <c r="J17" s="72"/>
      <c r="K17" s="62"/>
      <c r="L17" s="74"/>
      <c r="M17" s="83"/>
      <c r="N17" s="41"/>
      <c r="Q17" s="43" t="e">
        <f>IF(#REF!="","",#REF!)</f>
        <v>#REF!</v>
      </c>
      <c r="R17" s="43">
        <f t="shared" si="1"/>
        <v>0</v>
      </c>
      <c r="S17" s="43" t="str">
        <f t="shared" si="2"/>
        <v>0;</v>
      </c>
      <c r="T17" s="43" t="str">
        <f t="shared" si="0"/>
        <v/>
      </c>
    </row>
    <row r="18" spans="1:20">
      <c r="A18" s="41"/>
      <c r="B18" s="41">
        <v>15</v>
      </c>
      <c r="C18" s="59"/>
      <c r="D18" s="82"/>
      <c r="E18" s="60"/>
      <c r="F18" s="60"/>
      <c r="G18" s="61">
        <f t="shared" si="3"/>
        <v>0</v>
      </c>
      <c r="H18" s="77"/>
      <c r="I18" s="72"/>
      <c r="J18" s="72"/>
      <c r="K18" s="62"/>
      <c r="L18" s="74"/>
      <c r="M18" s="83"/>
      <c r="N18" s="41"/>
      <c r="Q18" s="43" t="e">
        <f>IF(#REF!="","",#REF!)</f>
        <v>#REF!</v>
      </c>
      <c r="R18" s="43">
        <f t="shared" si="1"/>
        <v>0</v>
      </c>
      <c r="S18" s="43" t="str">
        <f t="shared" si="2"/>
        <v>0;</v>
      </c>
      <c r="T18" s="43" t="str">
        <f t="shared" si="0"/>
        <v/>
      </c>
    </row>
    <row r="19" spans="1:20">
      <c r="A19" s="41"/>
      <c r="B19" s="41">
        <v>16</v>
      </c>
      <c r="C19" s="59"/>
      <c r="D19" s="81"/>
      <c r="E19" s="60"/>
      <c r="F19" s="60"/>
      <c r="G19" s="61">
        <f t="shared" si="3"/>
        <v>0</v>
      </c>
      <c r="H19" s="77"/>
      <c r="I19" s="72"/>
      <c r="J19" s="72"/>
      <c r="K19" s="62"/>
      <c r="L19" s="74"/>
      <c r="M19" s="83"/>
      <c r="N19" s="41"/>
      <c r="Q19" s="43" t="e">
        <f>IF(#REF!="","",#REF!)</f>
        <v>#REF!</v>
      </c>
      <c r="R19" s="43">
        <f t="shared" si="1"/>
        <v>0</v>
      </c>
      <c r="S19" s="43" t="str">
        <f t="shared" si="2"/>
        <v>0;</v>
      </c>
      <c r="T19" s="43" t="str">
        <f t="shared" si="0"/>
        <v/>
      </c>
    </row>
    <row r="20" spans="1:20">
      <c r="A20" s="41"/>
      <c r="B20" s="41">
        <v>17</v>
      </c>
      <c r="C20" s="59"/>
      <c r="D20" s="82"/>
      <c r="E20" s="60"/>
      <c r="F20" s="60"/>
      <c r="G20" s="61">
        <f t="shared" si="3"/>
        <v>0</v>
      </c>
      <c r="H20" s="77"/>
      <c r="I20" s="72"/>
      <c r="J20" s="72"/>
      <c r="K20" s="62"/>
      <c r="L20" s="74"/>
      <c r="M20" s="83"/>
      <c r="N20" s="41"/>
      <c r="Q20" s="43" t="e">
        <f>IF(#REF!="","",#REF!)</f>
        <v>#REF!</v>
      </c>
      <c r="R20" s="43">
        <f t="shared" si="1"/>
        <v>0</v>
      </c>
      <c r="S20" s="43" t="str">
        <f t="shared" si="2"/>
        <v>0;</v>
      </c>
      <c r="T20" s="43" t="str">
        <f t="shared" si="0"/>
        <v/>
      </c>
    </row>
    <row r="21" spans="1:20">
      <c r="A21" s="41"/>
      <c r="B21" s="41">
        <v>18</v>
      </c>
      <c r="C21" s="59"/>
      <c r="D21" s="82"/>
      <c r="E21" s="60"/>
      <c r="F21" s="60"/>
      <c r="G21" s="61">
        <f t="shared" si="3"/>
        <v>0</v>
      </c>
      <c r="H21" s="77"/>
      <c r="I21" s="72"/>
      <c r="J21" s="72"/>
      <c r="K21" s="62"/>
      <c r="L21" s="74"/>
      <c r="M21" s="83"/>
      <c r="N21" s="41"/>
      <c r="Q21" s="43" t="e">
        <f>IF(#REF!="","",#REF!)</f>
        <v>#REF!</v>
      </c>
      <c r="R21" s="43">
        <f t="shared" si="1"/>
        <v>0</v>
      </c>
      <c r="S21" s="43" t="str">
        <f t="shared" si="2"/>
        <v>0;</v>
      </c>
      <c r="T21" s="43" t="str">
        <f t="shared" si="0"/>
        <v/>
      </c>
    </row>
    <row r="22" spans="1:20">
      <c r="A22" s="41"/>
      <c r="B22" s="41">
        <v>19</v>
      </c>
      <c r="C22" s="59"/>
      <c r="D22" s="81"/>
      <c r="E22" s="60"/>
      <c r="F22" s="60"/>
      <c r="G22" s="61">
        <f t="shared" si="3"/>
        <v>0</v>
      </c>
      <c r="H22" s="77"/>
      <c r="I22" s="72"/>
      <c r="J22" s="72"/>
      <c r="K22" s="62"/>
      <c r="L22" s="74"/>
      <c r="M22" s="83"/>
      <c r="N22" s="41"/>
      <c r="Q22" s="43" t="e">
        <f>IF(#REF!="","",#REF!)</f>
        <v>#REF!</v>
      </c>
      <c r="R22" s="43">
        <f t="shared" si="1"/>
        <v>0</v>
      </c>
      <c r="S22" s="43" t="str">
        <f t="shared" si="2"/>
        <v>0;</v>
      </c>
      <c r="T22" s="43" t="str">
        <f t="shared" si="0"/>
        <v/>
      </c>
    </row>
    <row r="23" spans="1:20">
      <c r="A23" s="41"/>
      <c r="B23" s="41">
        <v>20</v>
      </c>
      <c r="C23" s="59"/>
      <c r="D23" s="82"/>
      <c r="E23" s="60"/>
      <c r="F23" s="60"/>
      <c r="G23" s="61">
        <f t="shared" si="3"/>
        <v>0</v>
      </c>
      <c r="H23" s="77"/>
      <c r="I23" s="72"/>
      <c r="J23" s="72"/>
      <c r="K23" s="62"/>
      <c r="L23" s="74"/>
      <c r="M23" s="83"/>
      <c r="N23" s="41"/>
      <c r="Q23" s="43" t="e">
        <f>IF(#REF!="","",#REF!)</f>
        <v>#REF!</v>
      </c>
      <c r="R23" s="43">
        <f t="shared" si="1"/>
        <v>0</v>
      </c>
      <c r="S23" s="43" t="str">
        <f t="shared" si="2"/>
        <v>0;</v>
      </c>
      <c r="T23" s="43" t="str">
        <f t="shared" si="0"/>
        <v/>
      </c>
    </row>
    <row r="24" spans="1:20">
      <c r="A24" s="41"/>
      <c r="B24" s="41">
        <v>21</v>
      </c>
      <c r="C24" s="59"/>
      <c r="D24" s="82"/>
      <c r="E24" s="60"/>
      <c r="F24" s="60"/>
      <c r="G24" s="61">
        <f t="shared" si="3"/>
        <v>0</v>
      </c>
      <c r="H24" s="77"/>
      <c r="I24" s="72"/>
      <c r="J24" s="72"/>
      <c r="K24" s="62"/>
      <c r="L24" s="74"/>
      <c r="M24" s="83"/>
      <c r="N24" s="41"/>
      <c r="Q24" s="43" t="e">
        <f>IF(#REF!="","",#REF!)</f>
        <v>#REF!</v>
      </c>
      <c r="R24" s="43">
        <f t="shared" si="1"/>
        <v>0</v>
      </c>
      <c r="S24" s="43" t="str">
        <f t="shared" si="2"/>
        <v>0;</v>
      </c>
      <c r="T24" s="43" t="str">
        <f t="shared" si="0"/>
        <v/>
      </c>
    </row>
    <row r="25" spans="1:20">
      <c r="A25" s="41"/>
      <c r="B25" s="41">
        <v>22</v>
      </c>
      <c r="C25" s="59"/>
      <c r="D25" s="81"/>
      <c r="E25" s="60"/>
      <c r="F25" s="60"/>
      <c r="G25" s="61">
        <f t="shared" si="3"/>
        <v>0</v>
      </c>
      <c r="H25" s="77"/>
      <c r="I25" s="72"/>
      <c r="J25" s="72"/>
      <c r="K25" s="62"/>
      <c r="L25" s="74"/>
      <c r="M25" s="83"/>
      <c r="N25" s="41"/>
      <c r="Q25" s="43" t="e">
        <f>IF(#REF!="","",#REF!)</f>
        <v>#REF!</v>
      </c>
      <c r="R25" s="43">
        <f t="shared" si="1"/>
        <v>0</v>
      </c>
      <c r="S25" s="43" t="str">
        <f t="shared" si="2"/>
        <v>0;</v>
      </c>
      <c r="T25" s="43" t="str">
        <f t="shared" si="0"/>
        <v/>
      </c>
    </row>
    <row r="26" spans="1:20">
      <c r="A26" s="41"/>
      <c r="B26" s="41">
        <v>23</v>
      </c>
      <c r="C26" s="59"/>
      <c r="D26" s="82"/>
      <c r="E26" s="60"/>
      <c r="F26" s="60"/>
      <c r="G26" s="61">
        <f t="shared" si="3"/>
        <v>0</v>
      </c>
      <c r="H26" s="77"/>
      <c r="I26" s="72"/>
      <c r="J26" s="72"/>
      <c r="K26" s="62"/>
      <c r="L26" s="74"/>
      <c r="M26" s="83"/>
      <c r="N26" s="41"/>
      <c r="Q26" s="43" t="e">
        <f>IF(#REF!="","",#REF!)</f>
        <v>#REF!</v>
      </c>
      <c r="R26" s="43">
        <f t="shared" si="1"/>
        <v>0</v>
      </c>
      <c r="S26" s="43" t="str">
        <f t="shared" si="2"/>
        <v>0;</v>
      </c>
      <c r="T26" s="43" t="str">
        <f t="shared" si="0"/>
        <v/>
      </c>
    </row>
    <row r="27" spans="1:20">
      <c r="A27" s="41"/>
      <c r="B27" s="41">
        <v>24</v>
      </c>
      <c r="C27" s="59"/>
      <c r="D27" s="82"/>
      <c r="E27" s="60"/>
      <c r="F27" s="60"/>
      <c r="G27" s="61">
        <f t="shared" si="3"/>
        <v>0</v>
      </c>
      <c r="H27" s="77"/>
      <c r="I27" s="72"/>
      <c r="J27" s="72"/>
      <c r="K27" s="62"/>
      <c r="L27" s="74"/>
      <c r="M27" s="83"/>
      <c r="N27" s="41"/>
      <c r="Q27" s="43" t="e">
        <f>IF(#REF!="","",#REF!)</f>
        <v>#REF!</v>
      </c>
      <c r="R27" s="43">
        <f t="shared" si="1"/>
        <v>0</v>
      </c>
      <c r="S27" s="43" t="str">
        <f t="shared" si="2"/>
        <v>0;</v>
      </c>
      <c r="T27" s="43" t="str">
        <f t="shared" si="0"/>
        <v/>
      </c>
    </row>
    <row r="28" spans="1:20">
      <c r="A28" s="41"/>
      <c r="B28" s="41">
        <v>25</v>
      </c>
      <c r="C28" s="59"/>
      <c r="D28" s="81"/>
      <c r="E28" s="60"/>
      <c r="F28" s="60"/>
      <c r="G28" s="61">
        <f t="shared" si="3"/>
        <v>0</v>
      </c>
      <c r="H28" s="77"/>
      <c r="I28" s="72"/>
      <c r="J28" s="72"/>
      <c r="K28" s="62"/>
      <c r="L28" s="74"/>
      <c r="M28" s="83"/>
      <c r="N28" s="41"/>
      <c r="Q28" s="43" t="e">
        <f>IF(#REF!="","",#REF!)</f>
        <v>#REF!</v>
      </c>
      <c r="R28" s="43">
        <f t="shared" si="1"/>
        <v>0</v>
      </c>
      <c r="S28" s="43" t="str">
        <f t="shared" si="2"/>
        <v>0;</v>
      </c>
      <c r="T28" s="43" t="str">
        <f t="shared" si="0"/>
        <v/>
      </c>
    </row>
    <row r="29" spans="1:20">
      <c r="A29" s="41"/>
      <c r="B29" s="41">
        <v>26</v>
      </c>
      <c r="C29" s="59"/>
      <c r="D29" s="82"/>
      <c r="E29" s="60"/>
      <c r="F29" s="60"/>
      <c r="G29" s="61">
        <f t="shared" si="3"/>
        <v>0</v>
      </c>
      <c r="H29" s="77"/>
      <c r="I29" s="72"/>
      <c r="J29" s="72"/>
      <c r="K29" s="62"/>
      <c r="L29" s="74"/>
      <c r="M29" s="83"/>
      <c r="N29" s="41"/>
      <c r="Q29" s="43" t="e">
        <f>IF(#REF!="","",#REF!)</f>
        <v>#REF!</v>
      </c>
      <c r="R29" s="43">
        <f t="shared" si="1"/>
        <v>0</v>
      </c>
      <c r="S29" s="43" t="str">
        <f t="shared" si="2"/>
        <v>0;</v>
      </c>
      <c r="T29" s="43" t="str">
        <f t="shared" si="0"/>
        <v/>
      </c>
    </row>
    <row r="30" spans="1:20">
      <c r="A30" s="41"/>
      <c r="B30" s="41">
        <v>27</v>
      </c>
      <c r="C30" s="59"/>
      <c r="D30" s="82"/>
      <c r="E30" s="60"/>
      <c r="F30" s="60"/>
      <c r="G30" s="61">
        <f t="shared" si="3"/>
        <v>0</v>
      </c>
      <c r="H30" s="77"/>
      <c r="I30" s="72"/>
      <c r="J30" s="72"/>
      <c r="K30" s="62"/>
      <c r="L30" s="74"/>
      <c r="M30" s="83"/>
      <c r="N30" s="41"/>
      <c r="Q30" s="43" t="e">
        <f>IF(#REF!="","",#REF!)</f>
        <v>#REF!</v>
      </c>
      <c r="R30" s="43">
        <f t="shared" si="1"/>
        <v>0</v>
      </c>
      <c r="S30" s="43" t="str">
        <f t="shared" si="2"/>
        <v>0;</v>
      </c>
      <c r="T30" s="43" t="str">
        <f t="shared" si="0"/>
        <v/>
      </c>
    </row>
    <row r="31" spans="1:20">
      <c r="A31" s="41"/>
      <c r="B31" s="41">
        <v>28</v>
      </c>
      <c r="C31" s="59"/>
      <c r="D31" s="81"/>
      <c r="E31" s="60"/>
      <c r="F31" s="60"/>
      <c r="G31" s="61">
        <f t="shared" si="3"/>
        <v>0</v>
      </c>
      <c r="H31" s="77"/>
      <c r="I31" s="72"/>
      <c r="J31" s="72"/>
      <c r="K31" s="62"/>
      <c r="L31" s="74"/>
      <c r="M31" s="83"/>
      <c r="N31" s="41"/>
      <c r="Q31" s="43" t="e">
        <f>IF(#REF!="","",#REF!)</f>
        <v>#REF!</v>
      </c>
      <c r="R31" s="43">
        <f t="shared" si="1"/>
        <v>0</v>
      </c>
      <c r="S31" s="43" t="str">
        <f t="shared" si="2"/>
        <v>0;</v>
      </c>
      <c r="T31" s="43" t="str">
        <f t="shared" si="0"/>
        <v/>
      </c>
    </row>
    <row r="32" spans="1:20">
      <c r="A32" s="41"/>
      <c r="B32" s="41">
        <v>29</v>
      </c>
      <c r="C32" s="59"/>
      <c r="D32" s="82"/>
      <c r="E32" s="60"/>
      <c r="F32" s="60"/>
      <c r="G32" s="61">
        <f t="shared" si="3"/>
        <v>0</v>
      </c>
      <c r="H32" s="77"/>
      <c r="I32" s="72"/>
      <c r="J32" s="72"/>
      <c r="K32" s="62"/>
      <c r="L32" s="74"/>
      <c r="M32" s="83"/>
      <c r="N32" s="41"/>
      <c r="Q32" s="43" t="e">
        <f>IF(#REF!="","",#REF!)</f>
        <v>#REF!</v>
      </c>
      <c r="R32" s="43">
        <f t="shared" si="1"/>
        <v>0</v>
      </c>
      <c r="S32" s="43" t="str">
        <f t="shared" si="2"/>
        <v>0;</v>
      </c>
      <c r="T32" s="43" t="str">
        <f t="shared" si="0"/>
        <v/>
      </c>
    </row>
    <row r="33" spans="1:20">
      <c r="A33" s="41"/>
      <c r="B33" s="41">
        <v>30</v>
      </c>
      <c r="C33" s="59"/>
      <c r="D33" s="82"/>
      <c r="E33" s="60"/>
      <c r="F33" s="60"/>
      <c r="G33" s="61">
        <f t="shared" si="3"/>
        <v>0</v>
      </c>
      <c r="H33" s="77"/>
      <c r="I33" s="72"/>
      <c r="J33" s="72"/>
      <c r="K33" s="62"/>
      <c r="L33" s="74"/>
      <c r="M33" s="83"/>
      <c r="N33" s="41"/>
      <c r="Q33" s="43" t="e">
        <f>IF(#REF!="","",#REF!)</f>
        <v>#REF!</v>
      </c>
      <c r="R33" s="43">
        <f t="shared" si="1"/>
        <v>0</v>
      </c>
      <c r="S33" s="43" t="str">
        <f t="shared" si="2"/>
        <v>0;</v>
      </c>
      <c r="T33" s="43" t="str">
        <f t="shared" si="0"/>
        <v/>
      </c>
    </row>
    <row r="34" spans="1:20">
      <c r="A34" s="41"/>
      <c r="B34" s="41">
        <v>31</v>
      </c>
      <c r="C34" s="59"/>
      <c r="D34" s="81"/>
      <c r="E34" s="60"/>
      <c r="F34" s="60"/>
      <c r="G34" s="61">
        <f t="shared" si="3"/>
        <v>0</v>
      </c>
      <c r="H34" s="77"/>
      <c r="I34" s="72"/>
      <c r="J34" s="72"/>
      <c r="K34" s="62"/>
      <c r="L34" s="74"/>
      <c r="M34" s="83"/>
      <c r="N34" s="41"/>
      <c r="Q34" s="43" t="e">
        <f>IF(#REF!="","",#REF!)</f>
        <v>#REF!</v>
      </c>
      <c r="R34" s="43">
        <f t="shared" si="1"/>
        <v>0</v>
      </c>
      <c r="S34" s="43" t="str">
        <f t="shared" si="2"/>
        <v>0;</v>
      </c>
      <c r="T34" s="43" t="str">
        <f t="shared" si="0"/>
        <v/>
      </c>
    </row>
    <row r="35" spans="1:20">
      <c r="A35" s="41"/>
      <c r="B35" s="41">
        <v>32</v>
      </c>
      <c r="C35" s="59"/>
      <c r="D35" s="82"/>
      <c r="E35" s="60"/>
      <c r="F35" s="60"/>
      <c r="G35" s="61">
        <f t="shared" si="3"/>
        <v>0</v>
      </c>
      <c r="H35" s="77"/>
      <c r="I35" s="72"/>
      <c r="J35" s="72"/>
      <c r="K35" s="62"/>
      <c r="L35" s="74"/>
      <c r="M35" s="83"/>
      <c r="N35" s="41"/>
      <c r="Q35" s="43" t="e">
        <f>IF(#REF!="","",#REF!)</f>
        <v>#REF!</v>
      </c>
      <c r="R35" s="43">
        <f t="shared" si="1"/>
        <v>0</v>
      </c>
      <c r="S35" s="43" t="str">
        <f t="shared" si="2"/>
        <v>0;</v>
      </c>
      <c r="T35" s="43" t="str">
        <f t="shared" si="0"/>
        <v/>
      </c>
    </row>
    <row r="36" spans="1:20">
      <c r="A36" s="41"/>
      <c r="B36" s="41">
        <v>33</v>
      </c>
      <c r="C36" s="59"/>
      <c r="D36" s="82"/>
      <c r="E36" s="60"/>
      <c r="F36" s="60"/>
      <c r="G36" s="61">
        <f t="shared" si="3"/>
        <v>0</v>
      </c>
      <c r="H36" s="77"/>
      <c r="I36" s="72"/>
      <c r="J36" s="72"/>
      <c r="K36" s="62"/>
      <c r="L36" s="74"/>
      <c r="M36" s="83"/>
      <c r="N36" s="41"/>
      <c r="Q36" s="43" t="e">
        <f>IF(#REF!="","",#REF!)</f>
        <v>#REF!</v>
      </c>
      <c r="R36" s="43">
        <f t="shared" si="1"/>
        <v>0</v>
      </c>
      <c r="S36" s="43" t="str">
        <f t="shared" si="2"/>
        <v>0;</v>
      </c>
      <c r="T36" s="43" t="str">
        <f t="shared" ref="T36:T53" si="4">IFERROR(VLOOKUP(Q36,TPARTICIPA,2,0),"")</f>
        <v/>
      </c>
    </row>
    <row r="37" spans="1:20">
      <c r="A37" s="41"/>
      <c r="B37" s="41">
        <v>34</v>
      </c>
      <c r="C37" s="59"/>
      <c r="D37" s="81"/>
      <c r="E37" s="60"/>
      <c r="F37" s="60"/>
      <c r="G37" s="61">
        <f t="shared" si="3"/>
        <v>0</v>
      </c>
      <c r="H37" s="77"/>
      <c r="I37" s="72"/>
      <c r="J37" s="72"/>
      <c r="K37" s="62"/>
      <c r="L37" s="74"/>
      <c r="M37" s="83"/>
      <c r="N37" s="41"/>
      <c r="Q37" s="43" t="e">
        <f>IF(#REF!="","",#REF!)</f>
        <v>#REF!</v>
      </c>
      <c r="R37" s="43">
        <f t="shared" si="1"/>
        <v>0</v>
      </c>
      <c r="S37" s="43" t="str">
        <f t="shared" si="2"/>
        <v>0;</v>
      </c>
      <c r="T37" s="43" t="str">
        <f t="shared" si="4"/>
        <v/>
      </c>
    </row>
    <row r="38" spans="1:20">
      <c r="A38" s="41"/>
      <c r="B38" s="41">
        <v>35</v>
      </c>
      <c r="C38" s="59"/>
      <c r="D38" s="82"/>
      <c r="E38" s="60"/>
      <c r="F38" s="60"/>
      <c r="G38" s="61">
        <f t="shared" si="3"/>
        <v>0</v>
      </c>
      <c r="H38" s="77"/>
      <c r="I38" s="72"/>
      <c r="J38" s="72"/>
      <c r="K38" s="62"/>
      <c r="L38" s="74"/>
      <c r="M38" s="83"/>
      <c r="N38" s="41"/>
      <c r="Q38" s="43" t="e">
        <f>IF(#REF!="","",#REF!)</f>
        <v>#REF!</v>
      </c>
      <c r="R38" s="43">
        <f t="shared" si="1"/>
        <v>0</v>
      </c>
      <c r="S38" s="43" t="str">
        <f t="shared" si="2"/>
        <v>0;</v>
      </c>
      <c r="T38" s="43" t="str">
        <f t="shared" si="4"/>
        <v/>
      </c>
    </row>
    <row r="39" spans="1:20">
      <c r="A39" s="41"/>
      <c r="B39" s="41">
        <v>36</v>
      </c>
      <c r="C39" s="59"/>
      <c r="D39" s="82"/>
      <c r="E39" s="60"/>
      <c r="F39" s="60"/>
      <c r="G39" s="61">
        <f t="shared" si="3"/>
        <v>0</v>
      </c>
      <c r="H39" s="77"/>
      <c r="I39" s="72"/>
      <c r="J39" s="72"/>
      <c r="K39" s="62"/>
      <c r="L39" s="74"/>
      <c r="M39" s="83"/>
      <c r="N39" s="41"/>
      <c r="Q39" s="43" t="e">
        <f>IF(#REF!="","",#REF!)</f>
        <v>#REF!</v>
      </c>
      <c r="R39" s="43">
        <f t="shared" si="1"/>
        <v>0</v>
      </c>
      <c r="S39" s="43" t="str">
        <f t="shared" si="2"/>
        <v>0;</v>
      </c>
      <c r="T39" s="43" t="str">
        <f t="shared" si="4"/>
        <v/>
      </c>
    </row>
    <row r="40" spans="1:20">
      <c r="A40" s="41"/>
      <c r="B40" s="41">
        <v>37</v>
      </c>
      <c r="C40" s="59"/>
      <c r="D40" s="81"/>
      <c r="E40" s="60"/>
      <c r="F40" s="60"/>
      <c r="G40" s="61">
        <f t="shared" si="3"/>
        <v>0</v>
      </c>
      <c r="H40" s="77"/>
      <c r="I40" s="72"/>
      <c r="J40" s="72"/>
      <c r="K40" s="62"/>
      <c r="L40" s="74"/>
      <c r="M40" s="83"/>
      <c r="N40" s="41"/>
      <c r="Q40" s="43" t="e">
        <f>IF(#REF!="","",#REF!)</f>
        <v>#REF!</v>
      </c>
      <c r="R40" s="43">
        <f t="shared" si="1"/>
        <v>0</v>
      </c>
      <c r="S40" s="43" t="str">
        <f t="shared" si="2"/>
        <v>0;</v>
      </c>
      <c r="T40" s="43" t="str">
        <f t="shared" si="4"/>
        <v/>
      </c>
    </row>
    <row r="41" spans="1:20">
      <c r="A41" s="41"/>
      <c r="B41" s="41">
        <v>38</v>
      </c>
      <c r="C41" s="59"/>
      <c r="D41" s="82"/>
      <c r="E41" s="60"/>
      <c r="F41" s="60"/>
      <c r="G41" s="61">
        <f t="shared" si="3"/>
        <v>0</v>
      </c>
      <c r="H41" s="77"/>
      <c r="I41" s="72"/>
      <c r="J41" s="72"/>
      <c r="K41" s="62"/>
      <c r="L41" s="74"/>
      <c r="M41" s="83"/>
      <c r="N41" s="41"/>
      <c r="Q41" s="43" t="e">
        <f>IF(#REF!="","",#REF!)</f>
        <v>#REF!</v>
      </c>
      <c r="R41" s="43">
        <f t="shared" si="1"/>
        <v>0</v>
      </c>
      <c r="S41" s="43" t="str">
        <f t="shared" si="2"/>
        <v>0;</v>
      </c>
      <c r="T41" s="43" t="str">
        <f t="shared" si="4"/>
        <v/>
      </c>
    </row>
    <row r="42" spans="1:20">
      <c r="A42" s="41"/>
      <c r="B42" s="41">
        <v>39</v>
      </c>
      <c r="C42" s="59"/>
      <c r="D42" s="82"/>
      <c r="E42" s="60"/>
      <c r="F42" s="60"/>
      <c r="G42" s="61">
        <f t="shared" si="3"/>
        <v>0</v>
      </c>
      <c r="H42" s="77"/>
      <c r="I42" s="72"/>
      <c r="J42" s="72"/>
      <c r="K42" s="62"/>
      <c r="L42" s="74"/>
      <c r="M42" s="83"/>
      <c r="N42" s="41"/>
      <c r="Q42" s="43" t="e">
        <f>IF(#REF!="","",#REF!)</f>
        <v>#REF!</v>
      </c>
      <c r="R42" s="43">
        <f t="shared" si="1"/>
        <v>0</v>
      </c>
      <c r="S42" s="43" t="str">
        <f t="shared" si="2"/>
        <v>0;</v>
      </c>
      <c r="T42" s="43" t="str">
        <f t="shared" si="4"/>
        <v/>
      </c>
    </row>
    <row r="43" spans="1:20">
      <c r="A43" s="41"/>
      <c r="B43" s="41">
        <v>40</v>
      </c>
      <c r="C43" s="59"/>
      <c r="D43" s="81"/>
      <c r="E43" s="60"/>
      <c r="F43" s="60"/>
      <c r="G43" s="61">
        <f t="shared" si="3"/>
        <v>0</v>
      </c>
      <c r="H43" s="77"/>
      <c r="I43" s="72"/>
      <c r="J43" s="72"/>
      <c r="K43" s="62"/>
      <c r="L43" s="74"/>
      <c r="M43" s="83"/>
      <c r="N43" s="41"/>
      <c r="Q43" s="43" t="e">
        <f>IF(#REF!="","",#REF!)</f>
        <v>#REF!</v>
      </c>
      <c r="R43" s="43">
        <f t="shared" si="1"/>
        <v>0</v>
      </c>
      <c r="S43" s="43" t="str">
        <f t="shared" si="2"/>
        <v>0;</v>
      </c>
      <c r="T43" s="43" t="str">
        <f t="shared" si="4"/>
        <v/>
      </c>
    </row>
    <row r="44" spans="1:20">
      <c r="A44" s="41"/>
      <c r="B44" s="41">
        <v>41</v>
      </c>
      <c r="C44" s="59"/>
      <c r="D44" s="82"/>
      <c r="E44" s="60"/>
      <c r="F44" s="60"/>
      <c r="G44" s="61">
        <f t="shared" si="3"/>
        <v>0</v>
      </c>
      <c r="H44" s="77"/>
      <c r="I44" s="72"/>
      <c r="J44" s="72"/>
      <c r="K44" s="62"/>
      <c r="L44" s="74"/>
      <c r="M44" s="83"/>
      <c r="N44" s="41"/>
      <c r="Q44" s="43" t="e">
        <f>IF(#REF!="","",#REF!)</f>
        <v>#REF!</v>
      </c>
      <c r="R44" s="43">
        <f t="shared" si="1"/>
        <v>0</v>
      </c>
      <c r="S44" s="43" t="str">
        <f t="shared" si="2"/>
        <v>0;</v>
      </c>
      <c r="T44" s="43" t="str">
        <f t="shared" si="4"/>
        <v/>
      </c>
    </row>
    <row r="45" spans="1:20">
      <c r="A45" s="41"/>
      <c r="B45" s="41">
        <v>42</v>
      </c>
      <c r="C45" s="59"/>
      <c r="D45" s="82"/>
      <c r="E45" s="60"/>
      <c r="F45" s="60"/>
      <c r="G45" s="61">
        <f t="shared" si="3"/>
        <v>0</v>
      </c>
      <c r="H45" s="77"/>
      <c r="I45" s="72"/>
      <c r="J45" s="72"/>
      <c r="K45" s="62"/>
      <c r="L45" s="74"/>
      <c r="M45" s="83"/>
      <c r="N45" s="41"/>
      <c r="Q45" s="43" t="e">
        <f>IF(#REF!="","",#REF!)</f>
        <v>#REF!</v>
      </c>
      <c r="R45" s="43">
        <f t="shared" si="1"/>
        <v>0</v>
      </c>
      <c r="S45" s="43" t="str">
        <f t="shared" si="2"/>
        <v>0;</v>
      </c>
      <c r="T45" s="43" t="str">
        <f t="shared" si="4"/>
        <v/>
      </c>
    </row>
    <row r="46" spans="1:20">
      <c r="A46" s="41"/>
      <c r="B46" s="41">
        <v>43</v>
      </c>
      <c r="C46" s="59"/>
      <c r="D46" s="81"/>
      <c r="E46" s="60"/>
      <c r="F46" s="60"/>
      <c r="G46" s="61">
        <f t="shared" si="3"/>
        <v>0</v>
      </c>
      <c r="H46" s="77"/>
      <c r="I46" s="72"/>
      <c r="J46" s="72"/>
      <c r="K46" s="62"/>
      <c r="L46" s="74"/>
      <c r="M46" s="83"/>
      <c r="N46" s="41"/>
      <c r="Q46" s="43" t="e">
        <f>IF(#REF!="","",#REF!)</f>
        <v>#REF!</v>
      </c>
      <c r="R46" s="43">
        <f t="shared" si="1"/>
        <v>0</v>
      </c>
      <c r="S46" s="43" t="str">
        <f t="shared" si="2"/>
        <v>0;</v>
      </c>
      <c r="T46" s="43" t="str">
        <f t="shared" si="4"/>
        <v/>
      </c>
    </row>
    <row r="47" spans="1:20">
      <c r="A47" s="41"/>
      <c r="B47" s="41">
        <v>44</v>
      </c>
      <c r="C47" s="59"/>
      <c r="D47" s="82"/>
      <c r="E47" s="60"/>
      <c r="F47" s="60"/>
      <c r="G47" s="61">
        <f t="shared" si="3"/>
        <v>0</v>
      </c>
      <c r="H47" s="77"/>
      <c r="I47" s="72"/>
      <c r="J47" s="72"/>
      <c r="K47" s="62"/>
      <c r="L47" s="74"/>
      <c r="M47" s="83"/>
      <c r="N47" s="41"/>
      <c r="Q47" s="43" t="e">
        <f>IF(#REF!="","",#REF!)</f>
        <v>#REF!</v>
      </c>
      <c r="R47" s="43">
        <f t="shared" si="1"/>
        <v>0</v>
      </c>
      <c r="S47" s="43" t="str">
        <f t="shared" si="2"/>
        <v>0;</v>
      </c>
      <c r="T47" s="43" t="str">
        <f t="shared" si="4"/>
        <v/>
      </c>
    </row>
    <row r="48" spans="1:20">
      <c r="A48" s="41"/>
      <c r="B48" s="41">
        <v>45</v>
      </c>
      <c r="C48" s="59"/>
      <c r="D48" s="82"/>
      <c r="E48" s="60"/>
      <c r="F48" s="60"/>
      <c r="G48" s="61">
        <f t="shared" si="3"/>
        <v>0</v>
      </c>
      <c r="H48" s="77"/>
      <c r="I48" s="72"/>
      <c r="J48" s="72"/>
      <c r="K48" s="62"/>
      <c r="L48" s="74"/>
      <c r="M48" s="83"/>
      <c r="N48" s="41"/>
      <c r="Q48" s="43" t="e">
        <f>IF(#REF!="","",#REF!)</f>
        <v>#REF!</v>
      </c>
      <c r="R48" s="43">
        <f t="shared" si="1"/>
        <v>0</v>
      </c>
      <c r="S48" s="43" t="str">
        <f t="shared" si="2"/>
        <v>0;</v>
      </c>
      <c r="T48" s="43" t="str">
        <f t="shared" si="4"/>
        <v/>
      </c>
    </row>
    <row r="49" spans="1:20">
      <c r="A49" s="41"/>
      <c r="B49" s="41">
        <v>46</v>
      </c>
      <c r="C49" s="59"/>
      <c r="D49" s="81"/>
      <c r="E49" s="60"/>
      <c r="F49" s="60"/>
      <c r="G49" s="61">
        <f t="shared" si="3"/>
        <v>0</v>
      </c>
      <c r="H49" s="77"/>
      <c r="I49" s="72"/>
      <c r="J49" s="72"/>
      <c r="K49" s="62"/>
      <c r="L49" s="74"/>
      <c r="M49" s="83"/>
      <c r="N49" s="41"/>
      <c r="Q49" s="43" t="e">
        <f>IF(#REF!="","",#REF!)</f>
        <v>#REF!</v>
      </c>
      <c r="R49" s="43">
        <f t="shared" si="1"/>
        <v>0</v>
      </c>
      <c r="S49" s="43" t="str">
        <f t="shared" si="2"/>
        <v>0;</v>
      </c>
      <c r="T49" s="43" t="str">
        <f t="shared" si="4"/>
        <v/>
      </c>
    </row>
    <row r="50" spans="1:20">
      <c r="A50" s="41"/>
      <c r="B50" s="41">
        <v>47</v>
      </c>
      <c r="C50" s="59"/>
      <c r="D50" s="82"/>
      <c r="E50" s="60"/>
      <c r="F50" s="60"/>
      <c r="G50" s="61">
        <f t="shared" si="3"/>
        <v>0</v>
      </c>
      <c r="H50" s="77"/>
      <c r="I50" s="72"/>
      <c r="J50" s="72"/>
      <c r="K50" s="62"/>
      <c r="L50" s="74"/>
      <c r="M50" s="83"/>
      <c r="N50" s="41"/>
      <c r="Q50" s="43" t="e">
        <f>IF(#REF!="","",#REF!)</f>
        <v>#REF!</v>
      </c>
      <c r="R50" s="43">
        <f t="shared" si="1"/>
        <v>0</v>
      </c>
      <c r="S50" s="43" t="str">
        <f t="shared" si="2"/>
        <v>0;</v>
      </c>
      <c r="T50" s="43" t="str">
        <f t="shared" si="4"/>
        <v/>
      </c>
    </row>
    <row r="51" spans="1:20">
      <c r="A51" s="41"/>
      <c r="B51" s="41">
        <v>48</v>
      </c>
      <c r="C51" s="59"/>
      <c r="D51" s="82"/>
      <c r="E51" s="60"/>
      <c r="F51" s="60"/>
      <c r="G51" s="61">
        <f t="shared" si="3"/>
        <v>0</v>
      </c>
      <c r="H51" s="77"/>
      <c r="I51" s="72"/>
      <c r="J51" s="72"/>
      <c r="K51" s="62"/>
      <c r="L51" s="74"/>
      <c r="M51" s="83"/>
      <c r="N51" s="41"/>
      <c r="Q51" s="43" t="e">
        <f>IF(#REF!="","",#REF!)</f>
        <v>#REF!</v>
      </c>
      <c r="R51" s="43">
        <f t="shared" si="1"/>
        <v>0</v>
      </c>
      <c r="S51" s="43" t="str">
        <f t="shared" si="2"/>
        <v>0;</v>
      </c>
      <c r="T51" s="43" t="str">
        <f t="shared" si="4"/>
        <v/>
      </c>
    </row>
    <row r="52" spans="1:20">
      <c r="A52" s="41"/>
      <c r="B52" s="41">
        <v>49</v>
      </c>
      <c r="C52" s="59"/>
      <c r="D52" s="81"/>
      <c r="E52" s="60"/>
      <c r="F52" s="60"/>
      <c r="G52" s="61">
        <f t="shared" si="3"/>
        <v>0</v>
      </c>
      <c r="H52" s="77"/>
      <c r="I52" s="72"/>
      <c r="J52" s="72"/>
      <c r="K52" s="62"/>
      <c r="L52" s="74"/>
      <c r="M52" s="83"/>
      <c r="N52" s="41"/>
      <c r="Q52" s="43" t="e">
        <f>IF(#REF!="","",#REF!)</f>
        <v>#REF!</v>
      </c>
      <c r="R52" s="43">
        <f t="shared" si="1"/>
        <v>0</v>
      </c>
      <c r="S52" s="43" t="str">
        <f t="shared" si="2"/>
        <v>0;</v>
      </c>
      <c r="T52" s="43" t="str">
        <f t="shared" si="4"/>
        <v/>
      </c>
    </row>
    <row r="53" spans="1:20">
      <c r="A53" s="41"/>
      <c r="B53" s="41">
        <v>50</v>
      </c>
      <c r="C53" s="59"/>
      <c r="D53" s="82"/>
      <c r="E53" s="60"/>
      <c r="F53" s="60"/>
      <c r="G53" s="61">
        <f t="shared" si="3"/>
        <v>0</v>
      </c>
      <c r="H53" s="77"/>
      <c r="I53" s="72"/>
      <c r="J53" s="72"/>
      <c r="K53" s="62"/>
      <c r="L53" s="74"/>
      <c r="M53" s="83"/>
      <c r="N53" s="41"/>
      <c r="Q53" s="43" t="e">
        <f>IF(#REF!="","",#REF!)</f>
        <v>#REF!</v>
      </c>
      <c r="R53" s="43">
        <f t="shared" si="1"/>
        <v>0</v>
      </c>
      <c r="S53" s="43" t="str">
        <f t="shared" si="2"/>
        <v>0;</v>
      </c>
      <c r="T53" s="43" t="str">
        <f t="shared" si="4"/>
        <v/>
      </c>
    </row>
    <row r="54" spans="1:20">
      <c r="A54" s="41"/>
      <c r="B54" s="41">
        <v>51</v>
      </c>
      <c r="C54" s="59"/>
      <c r="D54" s="82"/>
      <c r="E54" s="60"/>
      <c r="F54" s="60"/>
      <c r="G54" s="61">
        <f t="shared" si="3"/>
        <v>0</v>
      </c>
      <c r="H54" s="77"/>
      <c r="I54" s="72"/>
      <c r="J54" s="72"/>
      <c r="K54" s="62"/>
      <c r="L54" s="74"/>
      <c r="M54" s="83"/>
      <c r="N54" s="41"/>
      <c r="R54" s="43">
        <f t="shared" si="1"/>
        <v>0</v>
      </c>
      <c r="S54" s="43" t="str">
        <f t="shared" si="2"/>
        <v>0;</v>
      </c>
    </row>
    <row r="55" spans="1:20">
      <c r="A55" s="41"/>
      <c r="B55" s="41">
        <v>52</v>
      </c>
      <c r="C55" s="59"/>
      <c r="D55" s="81"/>
      <c r="E55" s="60"/>
      <c r="F55" s="60"/>
      <c r="G55" s="61">
        <f t="shared" si="3"/>
        <v>0</v>
      </c>
      <c r="H55" s="77"/>
      <c r="I55" s="72"/>
      <c r="J55" s="72"/>
      <c r="K55" s="62"/>
      <c r="L55" s="74"/>
      <c r="M55" s="83"/>
      <c r="N55" s="41"/>
      <c r="R55" s="43">
        <f t="shared" si="1"/>
        <v>0</v>
      </c>
      <c r="S55" s="43" t="str">
        <f t="shared" si="2"/>
        <v>0;</v>
      </c>
    </row>
    <row r="56" spans="1:20">
      <c r="A56" s="41"/>
      <c r="B56" s="41">
        <v>53</v>
      </c>
      <c r="C56" s="59"/>
      <c r="D56" s="82"/>
      <c r="E56" s="60"/>
      <c r="F56" s="60"/>
      <c r="G56" s="61">
        <f t="shared" si="3"/>
        <v>0</v>
      </c>
      <c r="H56" s="77"/>
      <c r="I56" s="72"/>
      <c r="J56" s="72"/>
      <c r="K56" s="62"/>
      <c r="L56" s="74"/>
      <c r="M56" s="83"/>
      <c r="N56" s="41"/>
      <c r="R56" s="43">
        <f t="shared" si="1"/>
        <v>0</v>
      </c>
      <c r="S56" s="43" t="str">
        <f t="shared" si="2"/>
        <v>0;</v>
      </c>
    </row>
    <row r="57" spans="1:20">
      <c r="A57" s="41"/>
      <c r="B57" s="41">
        <v>54</v>
      </c>
      <c r="C57" s="59"/>
      <c r="D57" s="82"/>
      <c r="E57" s="60"/>
      <c r="F57" s="60"/>
      <c r="G57" s="61">
        <f t="shared" si="3"/>
        <v>0</v>
      </c>
      <c r="H57" s="77"/>
      <c r="I57" s="72"/>
      <c r="J57" s="72"/>
      <c r="K57" s="62"/>
      <c r="L57" s="74"/>
      <c r="M57" s="83"/>
      <c r="N57" s="41"/>
      <c r="R57" s="43">
        <f t="shared" si="1"/>
        <v>0</v>
      </c>
      <c r="S57" s="43" t="str">
        <f t="shared" si="2"/>
        <v>0;</v>
      </c>
    </row>
    <row r="58" spans="1:20">
      <c r="A58" s="41"/>
      <c r="B58" s="41">
        <v>55</v>
      </c>
      <c r="C58" s="59"/>
      <c r="D58" s="81"/>
      <c r="E58" s="60"/>
      <c r="F58" s="60"/>
      <c r="G58" s="61">
        <f t="shared" si="3"/>
        <v>0</v>
      </c>
      <c r="H58" s="77"/>
      <c r="I58" s="72"/>
      <c r="J58" s="72"/>
      <c r="K58" s="62"/>
      <c r="L58" s="74"/>
      <c r="M58" s="83"/>
      <c r="N58" s="41"/>
      <c r="R58" s="43">
        <f t="shared" si="1"/>
        <v>0</v>
      </c>
      <c r="S58" s="43" t="str">
        <f t="shared" si="2"/>
        <v>0;</v>
      </c>
    </row>
    <row r="59" spans="1:20">
      <c r="A59" s="41"/>
      <c r="B59" s="41">
        <v>56</v>
      </c>
      <c r="C59" s="59"/>
      <c r="D59" s="82"/>
      <c r="E59" s="60"/>
      <c r="F59" s="60"/>
      <c r="G59" s="61">
        <f t="shared" si="3"/>
        <v>0</v>
      </c>
      <c r="H59" s="77"/>
      <c r="I59" s="72"/>
      <c r="J59" s="72"/>
      <c r="K59" s="62"/>
      <c r="L59" s="74"/>
      <c r="M59" s="83"/>
      <c r="N59" s="41"/>
      <c r="R59" s="43">
        <f t="shared" si="1"/>
        <v>0</v>
      </c>
      <c r="S59" s="43" t="str">
        <f t="shared" si="2"/>
        <v>0;</v>
      </c>
    </row>
    <row r="60" spans="1:20">
      <c r="A60" s="41"/>
      <c r="B60" s="41">
        <v>57</v>
      </c>
      <c r="C60" s="59"/>
      <c r="D60" s="82"/>
      <c r="E60" s="60"/>
      <c r="F60" s="60"/>
      <c r="G60" s="61">
        <f t="shared" si="3"/>
        <v>0</v>
      </c>
      <c r="H60" s="77"/>
      <c r="I60" s="72"/>
      <c r="J60" s="72"/>
      <c r="K60" s="62"/>
      <c r="L60" s="74"/>
      <c r="M60" s="83"/>
      <c r="N60" s="41"/>
      <c r="R60" s="43">
        <f t="shared" si="1"/>
        <v>0</v>
      </c>
      <c r="S60" s="43" t="str">
        <f t="shared" si="2"/>
        <v>0;</v>
      </c>
    </row>
    <row r="61" spans="1:20">
      <c r="A61" s="41"/>
      <c r="B61" s="41">
        <v>58</v>
      </c>
      <c r="C61" s="59"/>
      <c r="D61" s="81"/>
      <c r="E61" s="60"/>
      <c r="F61" s="60"/>
      <c r="G61" s="61">
        <f t="shared" si="3"/>
        <v>0</v>
      </c>
      <c r="H61" s="77"/>
      <c r="I61" s="72"/>
      <c r="J61" s="72"/>
      <c r="K61" s="62"/>
      <c r="L61" s="74"/>
      <c r="M61" s="83"/>
      <c r="N61" s="41"/>
      <c r="R61" s="43">
        <f t="shared" si="1"/>
        <v>0</v>
      </c>
      <c r="S61" s="43" t="str">
        <f t="shared" si="2"/>
        <v>0;</v>
      </c>
    </row>
    <row r="62" spans="1:20">
      <c r="A62" s="41"/>
      <c r="B62" s="41">
        <v>59</v>
      </c>
      <c r="C62" s="59"/>
      <c r="D62" s="82"/>
      <c r="E62" s="60"/>
      <c r="F62" s="60"/>
      <c r="G62" s="61">
        <f t="shared" si="3"/>
        <v>0</v>
      </c>
      <c r="H62" s="77"/>
      <c r="I62" s="72"/>
      <c r="J62" s="72"/>
      <c r="K62" s="62"/>
      <c r="L62" s="74"/>
      <c r="M62" s="83"/>
      <c r="N62" s="41"/>
      <c r="R62" s="43">
        <f t="shared" si="1"/>
        <v>0</v>
      </c>
      <c r="S62" s="43" t="str">
        <f t="shared" si="2"/>
        <v>0;</v>
      </c>
    </row>
    <row r="63" spans="1:20">
      <c r="A63" s="41"/>
      <c r="B63" s="41">
        <v>60</v>
      </c>
      <c r="C63" s="59"/>
      <c r="D63" s="82"/>
      <c r="E63" s="60"/>
      <c r="F63" s="60"/>
      <c r="G63" s="61">
        <f t="shared" si="3"/>
        <v>0</v>
      </c>
      <c r="H63" s="77"/>
      <c r="I63" s="72"/>
      <c r="J63" s="72"/>
      <c r="K63" s="62"/>
      <c r="L63" s="74"/>
      <c r="M63" s="83"/>
      <c r="N63" s="41"/>
      <c r="R63" s="43">
        <f t="shared" si="1"/>
        <v>0</v>
      </c>
      <c r="S63" s="43" t="str">
        <f t="shared" si="2"/>
        <v>0;</v>
      </c>
    </row>
    <row r="64" spans="1:20">
      <c r="A64" s="41"/>
      <c r="B64" s="41">
        <v>61</v>
      </c>
      <c r="C64" s="59"/>
      <c r="D64" s="81"/>
      <c r="E64" s="60"/>
      <c r="F64" s="60"/>
      <c r="G64" s="61">
        <f t="shared" si="3"/>
        <v>0</v>
      </c>
      <c r="H64" s="77"/>
      <c r="I64" s="72"/>
      <c r="J64" s="72"/>
      <c r="K64" s="62"/>
      <c r="L64" s="74"/>
      <c r="M64" s="83"/>
      <c r="N64" s="41"/>
      <c r="R64" s="43">
        <f t="shared" si="1"/>
        <v>0</v>
      </c>
      <c r="S64" s="43" t="str">
        <f t="shared" si="2"/>
        <v>0;</v>
      </c>
    </row>
    <row r="65" spans="1:19">
      <c r="A65" s="41"/>
      <c r="B65" s="41">
        <v>62</v>
      </c>
      <c r="C65" s="59"/>
      <c r="D65" s="82"/>
      <c r="E65" s="60"/>
      <c r="F65" s="60"/>
      <c r="G65" s="61">
        <f t="shared" si="3"/>
        <v>0</v>
      </c>
      <c r="H65" s="77"/>
      <c r="I65" s="72"/>
      <c r="J65" s="72"/>
      <c r="K65" s="62"/>
      <c r="L65" s="74"/>
      <c r="M65" s="83"/>
      <c r="N65" s="41"/>
      <c r="R65" s="43">
        <f t="shared" si="1"/>
        <v>0</v>
      </c>
      <c r="S65" s="43" t="str">
        <f t="shared" si="2"/>
        <v>0;</v>
      </c>
    </row>
    <row r="66" spans="1:19">
      <c r="A66" s="41"/>
      <c r="B66" s="41">
        <v>63</v>
      </c>
      <c r="C66" s="59"/>
      <c r="D66" s="82"/>
      <c r="E66" s="60"/>
      <c r="F66" s="60"/>
      <c r="G66" s="61">
        <f t="shared" si="3"/>
        <v>0</v>
      </c>
      <c r="H66" s="77"/>
      <c r="I66" s="72"/>
      <c r="J66" s="72"/>
      <c r="K66" s="62"/>
      <c r="L66" s="74"/>
      <c r="M66" s="83"/>
      <c r="N66" s="41"/>
      <c r="R66" s="43">
        <f t="shared" si="1"/>
        <v>0</v>
      </c>
      <c r="S66" s="43" t="str">
        <f t="shared" si="2"/>
        <v>0;</v>
      </c>
    </row>
    <row r="67" spans="1:19">
      <c r="A67" s="41"/>
      <c r="B67" s="41">
        <v>64</v>
      </c>
      <c r="C67" s="59"/>
      <c r="D67" s="81"/>
      <c r="E67" s="60"/>
      <c r="F67" s="60"/>
      <c r="G67" s="61">
        <f t="shared" si="3"/>
        <v>0</v>
      </c>
      <c r="H67" s="77"/>
      <c r="I67" s="72"/>
      <c r="J67" s="72"/>
      <c r="K67" s="62"/>
      <c r="L67" s="74"/>
      <c r="M67" s="83"/>
      <c r="N67" s="41"/>
      <c r="R67" s="43">
        <f t="shared" si="1"/>
        <v>0</v>
      </c>
      <c r="S67" s="43" t="str">
        <f t="shared" si="2"/>
        <v>0;</v>
      </c>
    </row>
    <row r="68" spans="1:19">
      <c r="A68" s="41"/>
      <c r="B68" s="41">
        <v>65</v>
      </c>
      <c r="C68" s="59"/>
      <c r="D68" s="82"/>
      <c r="E68" s="60"/>
      <c r="F68" s="60"/>
      <c r="G68" s="61">
        <f t="shared" si="3"/>
        <v>0</v>
      </c>
      <c r="H68" s="77"/>
      <c r="I68" s="72"/>
      <c r="J68" s="72"/>
      <c r="K68" s="62"/>
      <c r="L68" s="74"/>
      <c r="M68" s="83"/>
      <c r="N68" s="41"/>
      <c r="R68" s="43">
        <f t="shared" si="1"/>
        <v>0</v>
      </c>
      <c r="S68" s="43" t="str">
        <f t="shared" si="2"/>
        <v>0;</v>
      </c>
    </row>
    <row r="69" spans="1:19">
      <c r="A69" s="41"/>
      <c r="B69" s="41">
        <v>66</v>
      </c>
      <c r="C69" s="59"/>
      <c r="D69" s="82"/>
      <c r="E69" s="60"/>
      <c r="F69" s="60"/>
      <c r="G69" s="61">
        <f t="shared" si="3"/>
        <v>0</v>
      </c>
      <c r="H69" s="77"/>
      <c r="I69" s="72"/>
      <c r="J69" s="72"/>
      <c r="K69" s="62"/>
      <c r="L69" s="74"/>
      <c r="M69" s="83"/>
      <c r="N69" s="41"/>
      <c r="R69" s="43">
        <f t="shared" ref="R69:R132" si="5">H71</f>
        <v>0</v>
      </c>
      <c r="S69" s="43" t="str">
        <f t="shared" ref="S69:S132" si="6">CONCATENATE(R69,$R$3)</f>
        <v>0;</v>
      </c>
    </row>
    <row r="70" spans="1:19">
      <c r="A70" s="41"/>
      <c r="B70" s="41">
        <v>67</v>
      </c>
      <c r="C70" s="59"/>
      <c r="D70" s="81"/>
      <c r="E70" s="60"/>
      <c r="F70" s="60"/>
      <c r="G70" s="61">
        <f t="shared" si="3"/>
        <v>0</v>
      </c>
      <c r="H70" s="77"/>
      <c r="I70" s="72"/>
      <c r="J70" s="72"/>
      <c r="K70" s="62"/>
      <c r="L70" s="74"/>
      <c r="M70" s="83"/>
      <c r="N70" s="41"/>
      <c r="R70" s="43">
        <f t="shared" si="5"/>
        <v>0</v>
      </c>
      <c r="S70" s="43" t="str">
        <f t="shared" si="6"/>
        <v>0;</v>
      </c>
    </row>
    <row r="71" spans="1:19">
      <c r="A71" s="41"/>
      <c r="B71" s="41">
        <v>68</v>
      </c>
      <c r="C71" s="59"/>
      <c r="D71" s="82"/>
      <c r="E71" s="60"/>
      <c r="F71" s="60"/>
      <c r="G71" s="61">
        <f t="shared" ref="G71:G134" si="7">IF(D71="Da inicio la Ventana de Tiempo","",IF(D71="Dan Fin las Actividades del Plan","",IF(D71="Termina Ventana de Tiempo","",F71-E71)))</f>
        <v>0</v>
      </c>
      <c r="H71" s="77"/>
      <c r="I71" s="72"/>
      <c r="J71" s="72"/>
      <c r="K71" s="62"/>
      <c r="L71" s="74"/>
      <c r="M71" s="83"/>
      <c r="N71" s="41"/>
      <c r="R71" s="43">
        <f t="shared" si="5"/>
        <v>0</v>
      </c>
      <c r="S71" s="43" t="str">
        <f t="shared" si="6"/>
        <v>0;</v>
      </c>
    </row>
    <row r="72" spans="1:19">
      <c r="A72" s="41"/>
      <c r="B72" s="41">
        <v>69</v>
      </c>
      <c r="C72" s="59"/>
      <c r="D72" s="82"/>
      <c r="E72" s="60"/>
      <c r="F72" s="60"/>
      <c r="G72" s="61">
        <f t="shared" si="7"/>
        <v>0</v>
      </c>
      <c r="H72" s="77"/>
      <c r="I72" s="72"/>
      <c r="J72" s="72"/>
      <c r="K72" s="62"/>
      <c r="L72" s="74"/>
      <c r="M72" s="83"/>
      <c r="N72" s="41"/>
      <c r="R72" s="43">
        <f t="shared" si="5"/>
        <v>0</v>
      </c>
      <c r="S72" s="43" t="str">
        <f t="shared" si="6"/>
        <v>0;</v>
      </c>
    </row>
    <row r="73" spans="1:19">
      <c r="A73" s="41"/>
      <c r="B73" s="41">
        <v>70</v>
      </c>
      <c r="C73" s="59"/>
      <c r="D73" s="81"/>
      <c r="E73" s="60"/>
      <c r="F73" s="60"/>
      <c r="G73" s="61">
        <f t="shared" si="7"/>
        <v>0</v>
      </c>
      <c r="H73" s="77"/>
      <c r="I73" s="72"/>
      <c r="J73" s="72"/>
      <c r="K73" s="62"/>
      <c r="L73" s="74"/>
      <c r="M73" s="83"/>
      <c r="N73" s="41"/>
      <c r="R73" s="43">
        <f t="shared" si="5"/>
        <v>0</v>
      </c>
      <c r="S73" s="43" t="str">
        <f t="shared" si="6"/>
        <v>0;</v>
      </c>
    </row>
    <row r="74" spans="1:19">
      <c r="A74" s="41"/>
      <c r="B74" s="41">
        <v>71</v>
      </c>
      <c r="C74" s="59"/>
      <c r="D74" s="82"/>
      <c r="E74" s="60"/>
      <c r="F74" s="60"/>
      <c r="G74" s="61">
        <f t="shared" si="7"/>
        <v>0</v>
      </c>
      <c r="H74" s="77"/>
      <c r="I74" s="72"/>
      <c r="J74" s="72"/>
      <c r="K74" s="62"/>
      <c r="L74" s="74"/>
      <c r="M74" s="83"/>
      <c r="N74" s="41"/>
      <c r="R74" s="43">
        <f t="shared" si="5"/>
        <v>0</v>
      </c>
      <c r="S74" s="43" t="str">
        <f t="shared" si="6"/>
        <v>0;</v>
      </c>
    </row>
    <row r="75" spans="1:19">
      <c r="A75" s="41"/>
      <c r="B75" s="41">
        <v>72</v>
      </c>
      <c r="C75" s="59"/>
      <c r="D75" s="82"/>
      <c r="E75" s="60"/>
      <c r="F75" s="60"/>
      <c r="G75" s="61">
        <f t="shared" si="7"/>
        <v>0</v>
      </c>
      <c r="H75" s="77"/>
      <c r="I75" s="72"/>
      <c r="J75" s="72"/>
      <c r="K75" s="62"/>
      <c r="L75" s="74"/>
      <c r="M75" s="83"/>
      <c r="N75" s="41"/>
      <c r="R75" s="43">
        <f t="shared" si="5"/>
        <v>0</v>
      </c>
      <c r="S75" s="43" t="str">
        <f t="shared" si="6"/>
        <v>0;</v>
      </c>
    </row>
    <row r="76" spans="1:19">
      <c r="A76" s="41"/>
      <c r="B76" s="41">
        <v>73</v>
      </c>
      <c r="C76" s="59"/>
      <c r="D76" s="81"/>
      <c r="E76" s="60"/>
      <c r="F76" s="60"/>
      <c r="G76" s="61">
        <f t="shared" si="7"/>
        <v>0</v>
      </c>
      <c r="H76" s="77"/>
      <c r="I76" s="72"/>
      <c r="J76" s="72"/>
      <c r="K76" s="62"/>
      <c r="L76" s="74"/>
      <c r="M76" s="83"/>
      <c r="N76" s="41"/>
      <c r="R76" s="43">
        <f t="shared" si="5"/>
        <v>0</v>
      </c>
      <c r="S76" s="43" t="str">
        <f t="shared" si="6"/>
        <v>0;</v>
      </c>
    </row>
    <row r="77" spans="1:19">
      <c r="A77" s="41"/>
      <c r="B77" s="41">
        <v>74</v>
      </c>
      <c r="C77" s="59"/>
      <c r="D77" s="82"/>
      <c r="E77" s="60"/>
      <c r="F77" s="60"/>
      <c r="G77" s="61">
        <f t="shared" si="7"/>
        <v>0</v>
      </c>
      <c r="H77" s="77"/>
      <c r="I77" s="72"/>
      <c r="J77" s="72"/>
      <c r="K77" s="62"/>
      <c r="L77" s="74"/>
      <c r="M77" s="83"/>
      <c r="N77" s="41"/>
      <c r="R77" s="43">
        <f t="shared" si="5"/>
        <v>0</v>
      </c>
      <c r="S77" s="43" t="str">
        <f t="shared" si="6"/>
        <v>0;</v>
      </c>
    </row>
    <row r="78" spans="1:19">
      <c r="A78" s="41"/>
      <c r="B78" s="41">
        <v>75</v>
      </c>
      <c r="C78" s="59"/>
      <c r="D78" s="82"/>
      <c r="E78" s="60"/>
      <c r="F78" s="60"/>
      <c r="G78" s="61">
        <f t="shared" si="7"/>
        <v>0</v>
      </c>
      <c r="H78" s="77"/>
      <c r="I78" s="72"/>
      <c r="J78" s="72"/>
      <c r="K78" s="62"/>
      <c r="L78" s="74"/>
      <c r="M78" s="83"/>
      <c r="N78" s="41"/>
      <c r="R78" s="43">
        <f t="shared" si="5"/>
        <v>0</v>
      </c>
      <c r="S78" s="43" t="str">
        <f t="shared" si="6"/>
        <v>0;</v>
      </c>
    </row>
    <row r="79" spans="1:19">
      <c r="A79" s="41"/>
      <c r="B79" s="41">
        <v>76</v>
      </c>
      <c r="C79" s="59"/>
      <c r="D79" s="81"/>
      <c r="E79" s="60"/>
      <c r="F79" s="60"/>
      <c r="G79" s="61">
        <f t="shared" si="7"/>
        <v>0</v>
      </c>
      <c r="H79" s="77"/>
      <c r="I79" s="72"/>
      <c r="J79" s="72"/>
      <c r="K79" s="62"/>
      <c r="L79" s="74"/>
      <c r="M79" s="83"/>
      <c r="N79" s="41"/>
      <c r="R79" s="43">
        <f t="shared" si="5"/>
        <v>0</v>
      </c>
      <c r="S79" s="43" t="str">
        <f t="shared" si="6"/>
        <v>0;</v>
      </c>
    </row>
    <row r="80" spans="1:19">
      <c r="A80" s="41"/>
      <c r="B80" s="41">
        <v>77</v>
      </c>
      <c r="C80" s="59"/>
      <c r="D80" s="82"/>
      <c r="E80" s="60"/>
      <c r="F80" s="60"/>
      <c r="G80" s="61">
        <f t="shared" si="7"/>
        <v>0</v>
      </c>
      <c r="H80" s="77"/>
      <c r="I80" s="72"/>
      <c r="J80" s="72"/>
      <c r="K80" s="62"/>
      <c r="L80" s="74"/>
      <c r="M80" s="83"/>
      <c r="N80" s="41"/>
      <c r="R80" s="43">
        <f t="shared" si="5"/>
        <v>0</v>
      </c>
      <c r="S80" s="43" t="str">
        <f t="shared" si="6"/>
        <v>0;</v>
      </c>
    </row>
    <row r="81" spans="1:19">
      <c r="A81" s="41"/>
      <c r="B81" s="41">
        <v>78</v>
      </c>
      <c r="C81" s="59"/>
      <c r="D81" s="82"/>
      <c r="E81" s="60"/>
      <c r="F81" s="60"/>
      <c r="G81" s="61">
        <f t="shared" si="7"/>
        <v>0</v>
      </c>
      <c r="H81" s="77"/>
      <c r="I81" s="72"/>
      <c r="J81" s="72"/>
      <c r="K81" s="62"/>
      <c r="L81" s="74"/>
      <c r="M81" s="83"/>
      <c r="N81" s="41"/>
      <c r="R81" s="43">
        <f t="shared" si="5"/>
        <v>0</v>
      </c>
      <c r="S81" s="43" t="str">
        <f t="shared" si="6"/>
        <v>0;</v>
      </c>
    </row>
    <row r="82" spans="1:19">
      <c r="A82" s="41"/>
      <c r="B82" s="41">
        <v>79</v>
      </c>
      <c r="C82" s="59"/>
      <c r="D82" s="81"/>
      <c r="E82" s="60"/>
      <c r="F82" s="60"/>
      <c r="G82" s="61">
        <f t="shared" si="7"/>
        <v>0</v>
      </c>
      <c r="H82" s="77"/>
      <c r="I82" s="72"/>
      <c r="J82" s="72"/>
      <c r="K82" s="62"/>
      <c r="L82" s="74"/>
      <c r="M82" s="83"/>
      <c r="N82" s="41"/>
      <c r="R82" s="43">
        <f t="shared" si="5"/>
        <v>0</v>
      </c>
      <c r="S82" s="43" t="str">
        <f t="shared" si="6"/>
        <v>0;</v>
      </c>
    </row>
    <row r="83" spans="1:19">
      <c r="A83" s="41"/>
      <c r="B83" s="41">
        <v>80</v>
      </c>
      <c r="C83" s="59"/>
      <c r="D83" s="82"/>
      <c r="E83" s="60"/>
      <c r="F83" s="60"/>
      <c r="G83" s="61">
        <f t="shared" si="7"/>
        <v>0</v>
      </c>
      <c r="H83" s="77"/>
      <c r="I83" s="72"/>
      <c r="J83" s="72"/>
      <c r="K83" s="62"/>
      <c r="L83" s="74"/>
      <c r="M83" s="83"/>
      <c r="N83" s="41"/>
      <c r="R83" s="43">
        <f t="shared" si="5"/>
        <v>0</v>
      </c>
      <c r="S83" s="43" t="str">
        <f t="shared" si="6"/>
        <v>0;</v>
      </c>
    </row>
    <row r="84" spans="1:19">
      <c r="A84" s="41"/>
      <c r="B84" s="41">
        <v>81</v>
      </c>
      <c r="C84" s="59"/>
      <c r="D84" s="82"/>
      <c r="E84" s="60"/>
      <c r="F84" s="60"/>
      <c r="G84" s="61">
        <f t="shared" si="7"/>
        <v>0</v>
      </c>
      <c r="H84" s="77"/>
      <c r="I84" s="72"/>
      <c r="J84" s="72"/>
      <c r="K84" s="62"/>
      <c r="L84" s="74"/>
      <c r="M84" s="83"/>
      <c r="N84" s="41"/>
      <c r="R84" s="43">
        <f t="shared" si="5"/>
        <v>0</v>
      </c>
      <c r="S84" s="43" t="str">
        <f t="shared" si="6"/>
        <v>0;</v>
      </c>
    </row>
    <row r="85" spans="1:19">
      <c r="A85" s="41"/>
      <c r="B85" s="41">
        <v>82</v>
      </c>
      <c r="C85" s="59"/>
      <c r="D85" s="81"/>
      <c r="E85" s="60"/>
      <c r="F85" s="60"/>
      <c r="G85" s="61">
        <f t="shared" si="7"/>
        <v>0</v>
      </c>
      <c r="H85" s="77"/>
      <c r="I85" s="72"/>
      <c r="J85" s="72"/>
      <c r="K85" s="62"/>
      <c r="L85" s="74"/>
      <c r="M85" s="83"/>
      <c r="N85" s="41"/>
      <c r="R85" s="43">
        <f t="shared" si="5"/>
        <v>0</v>
      </c>
      <c r="S85" s="43" t="str">
        <f t="shared" si="6"/>
        <v>0;</v>
      </c>
    </row>
    <row r="86" spans="1:19">
      <c r="A86" s="41"/>
      <c r="B86" s="41">
        <v>83</v>
      </c>
      <c r="C86" s="59"/>
      <c r="D86" s="82"/>
      <c r="E86" s="60"/>
      <c r="F86" s="60"/>
      <c r="G86" s="61">
        <f t="shared" si="7"/>
        <v>0</v>
      </c>
      <c r="H86" s="77"/>
      <c r="I86" s="72"/>
      <c r="J86" s="72"/>
      <c r="K86" s="62"/>
      <c r="L86" s="74"/>
      <c r="M86" s="83"/>
      <c r="N86" s="41"/>
      <c r="R86" s="43">
        <f t="shared" si="5"/>
        <v>0</v>
      </c>
      <c r="S86" s="43" t="str">
        <f t="shared" si="6"/>
        <v>0;</v>
      </c>
    </row>
    <row r="87" spans="1:19">
      <c r="A87" s="41"/>
      <c r="B87" s="41">
        <v>84</v>
      </c>
      <c r="C87" s="59"/>
      <c r="D87" s="82"/>
      <c r="E87" s="60"/>
      <c r="F87" s="60"/>
      <c r="G87" s="61">
        <f t="shared" si="7"/>
        <v>0</v>
      </c>
      <c r="H87" s="77"/>
      <c r="I87" s="72"/>
      <c r="J87" s="72"/>
      <c r="K87" s="62"/>
      <c r="L87" s="74"/>
      <c r="M87" s="83"/>
      <c r="N87" s="41"/>
      <c r="R87" s="43">
        <f t="shared" si="5"/>
        <v>0</v>
      </c>
      <c r="S87" s="43" t="str">
        <f t="shared" si="6"/>
        <v>0;</v>
      </c>
    </row>
    <row r="88" spans="1:19">
      <c r="A88" s="41"/>
      <c r="B88" s="41">
        <v>85</v>
      </c>
      <c r="C88" s="59"/>
      <c r="D88" s="81"/>
      <c r="E88" s="60"/>
      <c r="F88" s="60"/>
      <c r="G88" s="61">
        <f t="shared" si="7"/>
        <v>0</v>
      </c>
      <c r="H88" s="77"/>
      <c r="I88" s="72"/>
      <c r="J88" s="72"/>
      <c r="K88" s="62"/>
      <c r="L88" s="74"/>
      <c r="M88" s="83"/>
      <c r="N88" s="41"/>
      <c r="R88" s="43">
        <f t="shared" si="5"/>
        <v>0</v>
      </c>
      <c r="S88" s="43" t="str">
        <f t="shared" si="6"/>
        <v>0;</v>
      </c>
    </row>
    <row r="89" spans="1:19">
      <c r="A89" s="41"/>
      <c r="B89" s="41">
        <v>86</v>
      </c>
      <c r="C89" s="59"/>
      <c r="D89" s="82"/>
      <c r="E89" s="60"/>
      <c r="F89" s="60"/>
      <c r="G89" s="61">
        <f t="shared" si="7"/>
        <v>0</v>
      </c>
      <c r="H89" s="77"/>
      <c r="I89" s="72"/>
      <c r="J89" s="72"/>
      <c r="K89" s="62"/>
      <c r="L89" s="74"/>
      <c r="M89" s="83"/>
      <c r="N89" s="41"/>
      <c r="R89" s="43">
        <f t="shared" si="5"/>
        <v>0</v>
      </c>
      <c r="S89" s="43" t="str">
        <f t="shared" si="6"/>
        <v>0;</v>
      </c>
    </row>
    <row r="90" spans="1:19">
      <c r="A90" s="41"/>
      <c r="B90" s="41">
        <v>87</v>
      </c>
      <c r="C90" s="59"/>
      <c r="D90" s="82"/>
      <c r="E90" s="60"/>
      <c r="F90" s="60"/>
      <c r="G90" s="61">
        <f t="shared" si="7"/>
        <v>0</v>
      </c>
      <c r="H90" s="77"/>
      <c r="I90" s="72"/>
      <c r="J90" s="72"/>
      <c r="K90" s="62"/>
      <c r="L90" s="74"/>
      <c r="M90" s="83"/>
      <c r="N90" s="41"/>
      <c r="R90" s="43">
        <f t="shared" si="5"/>
        <v>0</v>
      </c>
      <c r="S90" s="43" t="str">
        <f t="shared" si="6"/>
        <v>0;</v>
      </c>
    </row>
    <row r="91" spans="1:19">
      <c r="A91" s="41"/>
      <c r="B91" s="41">
        <v>88</v>
      </c>
      <c r="C91" s="59"/>
      <c r="D91" s="81"/>
      <c r="E91" s="60"/>
      <c r="F91" s="60"/>
      <c r="G91" s="61">
        <f t="shared" si="7"/>
        <v>0</v>
      </c>
      <c r="H91" s="77"/>
      <c r="I91" s="72"/>
      <c r="J91" s="72"/>
      <c r="K91" s="62"/>
      <c r="L91" s="74"/>
      <c r="M91" s="83"/>
      <c r="N91" s="41"/>
      <c r="R91" s="43">
        <f t="shared" si="5"/>
        <v>0</v>
      </c>
      <c r="S91" s="43" t="str">
        <f t="shared" si="6"/>
        <v>0;</v>
      </c>
    </row>
    <row r="92" spans="1:19">
      <c r="A92" s="41"/>
      <c r="B92" s="41">
        <v>89</v>
      </c>
      <c r="C92" s="59"/>
      <c r="D92" s="82"/>
      <c r="E92" s="60"/>
      <c r="F92" s="60"/>
      <c r="G92" s="61">
        <f t="shared" si="7"/>
        <v>0</v>
      </c>
      <c r="H92" s="77"/>
      <c r="I92" s="72"/>
      <c r="J92" s="72"/>
      <c r="K92" s="62"/>
      <c r="L92" s="74"/>
      <c r="M92" s="83"/>
      <c r="N92" s="41"/>
      <c r="R92" s="43">
        <f t="shared" si="5"/>
        <v>0</v>
      </c>
      <c r="S92" s="43" t="str">
        <f t="shared" si="6"/>
        <v>0;</v>
      </c>
    </row>
    <row r="93" spans="1:19">
      <c r="A93" s="41"/>
      <c r="B93" s="41">
        <v>90</v>
      </c>
      <c r="C93" s="59"/>
      <c r="D93" s="82"/>
      <c r="E93" s="60"/>
      <c r="F93" s="60"/>
      <c r="G93" s="61">
        <f t="shared" si="7"/>
        <v>0</v>
      </c>
      <c r="H93" s="77"/>
      <c r="I93" s="72"/>
      <c r="J93" s="72"/>
      <c r="K93" s="62"/>
      <c r="L93" s="74"/>
      <c r="M93" s="83"/>
      <c r="N93" s="41"/>
      <c r="R93" s="43">
        <f t="shared" si="5"/>
        <v>0</v>
      </c>
      <c r="S93" s="43" t="str">
        <f t="shared" si="6"/>
        <v>0;</v>
      </c>
    </row>
    <row r="94" spans="1:19">
      <c r="A94" s="41"/>
      <c r="B94" s="41">
        <v>91</v>
      </c>
      <c r="C94" s="59"/>
      <c r="D94" s="81"/>
      <c r="E94" s="60"/>
      <c r="F94" s="60"/>
      <c r="G94" s="61">
        <f t="shared" si="7"/>
        <v>0</v>
      </c>
      <c r="H94" s="77"/>
      <c r="I94" s="72"/>
      <c r="J94" s="72"/>
      <c r="K94" s="62"/>
      <c r="L94" s="74"/>
      <c r="M94" s="83"/>
      <c r="N94" s="41"/>
      <c r="R94" s="43">
        <f t="shared" si="5"/>
        <v>0</v>
      </c>
      <c r="S94" s="43" t="str">
        <f t="shared" si="6"/>
        <v>0;</v>
      </c>
    </row>
    <row r="95" spans="1:19">
      <c r="A95" s="41"/>
      <c r="B95" s="41">
        <v>92</v>
      </c>
      <c r="C95" s="59"/>
      <c r="D95" s="82"/>
      <c r="E95" s="60"/>
      <c r="F95" s="60"/>
      <c r="G95" s="61">
        <f t="shared" si="7"/>
        <v>0</v>
      </c>
      <c r="H95" s="77"/>
      <c r="I95" s="72"/>
      <c r="J95" s="72"/>
      <c r="K95" s="62"/>
      <c r="L95" s="74"/>
      <c r="M95" s="83"/>
      <c r="N95" s="41"/>
      <c r="R95" s="43">
        <f t="shared" si="5"/>
        <v>0</v>
      </c>
      <c r="S95" s="43" t="str">
        <f t="shared" si="6"/>
        <v>0;</v>
      </c>
    </row>
    <row r="96" spans="1:19">
      <c r="A96" s="41"/>
      <c r="B96" s="41">
        <v>93</v>
      </c>
      <c r="C96" s="59"/>
      <c r="D96" s="82"/>
      <c r="E96" s="60"/>
      <c r="F96" s="60"/>
      <c r="G96" s="61">
        <f t="shared" si="7"/>
        <v>0</v>
      </c>
      <c r="H96" s="77"/>
      <c r="I96" s="72"/>
      <c r="J96" s="72"/>
      <c r="K96" s="62"/>
      <c r="L96" s="74"/>
      <c r="M96" s="83"/>
      <c r="N96" s="41"/>
      <c r="R96" s="43">
        <f t="shared" si="5"/>
        <v>0</v>
      </c>
      <c r="S96" s="43" t="str">
        <f t="shared" si="6"/>
        <v>0;</v>
      </c>
    </row>
    <row r="97" spans="1:19">
      <c r="A97" s="41"/>
      <c r="B97" s="41">
        <v>94</v>
      </c>
      <c r="C97" s="59"/>
      <c r="D97" s="81"/>
      <c r="E97" s="60"/>
      <c r="F97" s="60"/>
      <c r="G97" s="61">
        <f t="shared" si="7"/>
        <v>0</v>
      </c>
      <c r="H97" s="77"/>
      <c r="I97" s="72"/>
      <c r="J97" s="72"/>
      <c r="K97" s="62"/>
      <c r="L97" s="74"/>
      <c r="M97" s="83"/>
      <c r="N97" s="41"/>
      <c r="R97" s="43">
        <f t="shared" si="5"/>
        <v>0</v>
      </c>
      <c r="S97" s="43" t="str">
        <f t="shared" si="6"/>
        <v>0;</v>
      </c>
    </row>
    <row r="98" spans="1:19">
      <c r="A98" s="41"/>
      <c r="B98" s="41">
        <v>95</v>
      </c>
      <c r="C98" s="59"/>
      <c r="D98" s="82"/>
      <c r="E98" s="60"/>
      <c r="F98" s="60"/>
      <c r="G98" s="61">
        <f t="shared" si="7"/>
        <v>0</v>
      </c>
      <c r="H98" s="77"/>
      <c r="I98" s="72"/>
      <c r="J98" s="72"/>
      <c r="K98" s="62"/>
      <c r="L98" s="74"/>
      <c r="M98" s="83"/>
      <c r="N98" s="41"/>
      <c r="R98" s="43">
        <f t="shared" si="5"/>
        <v>0</v>
      </c>
      <c r="S98" s="43" t="str">
        <f t="shared" si="6"/>
        <v>0;</v>
      </c>
    </row>
    <row r="99" spans="1:19">
      <c r="A99" s="41"/>
      <c r="B99" s="41">
        <v>96</v>
      </c>
      <c r="C99" s="59"/>
      <c r="D99" s="82"/>
      <c r="E99" s="60"/>
      <c r="F99" s="60"/>
      <c r="G99" s="61">
        <f t="shared" si="7"/>
        <v>0</v>
      </c>
      <c r="H99" s="77"/>
      <c r="I99" s="72"/>
      <c r="J99" s="72"/>
      <c r="K99" s="62"/>
      <c r="L99" s="74"/>
      <c r="M99" s="83"/>
      <c r="N99" s="41"/>
      <c r="R99" s="43">
        <f t="shared" si="5"/>
        <v>0</v>
      </c>
      <c r="S99" s="43" t="str">
        <f t="shared" si="6"/>
        <v>0;</v>
      </c>
    </row>
    <row r="100" spans="1:19">
      <c r="A100" s="41"/>
      <c r="B100" s="41">
        <v>97</v>
      </c>
      <c r="C100" s="59"/>
      <c r="D100" s="81"/>
      <c r="E100" s="60"/>
      <c r="F100" s="60"/>
      <c r="G100" s="61">
        <f t="shared" si="7"/>
        <v>0</v>
      </c>
      <c r="H100" s="77"/>
      <c r="I100" s="72"/>
      <c r="J100" s="72"/>
      <c r="K100" s="62"/>
      <c r="L100" s="74"/>
      <c r="M100" s="83"/>
      <c r="N100" s="41"/>
      <c r="R100" s="43">
        <f t="shared" si="5"/>
        <v>0</v>
      </c>
      <c r="S100" s="43" t="str">
        <f t="shared" si="6"/>
        <v>0;</v>
      </c>
    </row>
    <row r="101" spans="1:19">
      <c r="A101" s="41"/>
      <c r="B101" s="41">
        <v>98</v>
      </c>
      <c r="C101" s="59"/>
      <c r="D101" s="82"/>
      <c r="E101" s="60"/>
      <c r="F101" s="60"/>
      <c r="G101" s="61">
        <f t="shared" si="7"/>
        <v>0</v>
      </c>
      <c r="H101" s="77"/>
      <c r="I101" s="72"/>
      <c r="J101" s="72"/>
      <c r="K101" s="62"/>
      <c r="L101" s="74"/>
      <c r="M101" s="83"/>
      <c r="N101" s="41"/>
      <c r="R101" s="43">
        <f t="shared" si="5"/>
        <v>0</v>
      </c>
      <c r="S101" s="43" t="str">
        <f t="shared" si="6"/>
        <v>0;</v>
      </c>
    </row>
    <row r="102" spans="1:19">
      <c r="A102" s="41"/>
      <c r="B102" s="41">
        <v>99</v>
      </c>
      <c r="C102" s="59"/>
      <c r="D102" s="82"/>
      <c r="E102" s="60"/>
      <c r="F102" s="60"/>
      <c r="G102" s="61">
        <f t="shared" si="7"/>
        <v>0</v>
      </c>
      <c r="H102" s="77"/>
      <c r="I102" s="72"/>
      <c r="J102" s="72"/>
      <c r="K102" s="62"/>
      <c r="L102" s="74"/>
      <c r="M102" s="83"/>
      <c r="N102" s="41"/>
      <c r="R102" s="43">
        <f t="shared" si="5"/>
        <v>0</v>
      </c>
      <c r="S102" s="43" t="str">
        <f t="shared" si="6"/>
        <v>0;</v>
      </c>
    </row>
    <row r="103" spans="1:19">
      <c r="A103" s="41"/>
      <c r="B103" s="41">
        <v>100</v>
      </c>
      <c r="C103" s="59"/>
      <c r="D103" s="81"/>
      <c r="E103" s="60"/>
      <c r="F103" s="60"/>
      <c r="G103" s="61">
        <f t="shared" si="7"/>
        <v>0</v>
      </c>
      <c r="H103" s="77"/>
      <c r="I103" s="72"/>
      <c r="J103" s="72"/>
      <c r="K103" s="62"/>
      <c r="L103" s="74"/>
      <c r="M103" s="83"/>
      <c r="N103" s="41"/>
      <c r="R103" s="43">
        <f t="shared" si="5"/>
        <v>0</v>
      </c>
      <c r="S103" s="43" t="str">
        <f t="shared" si="6"/>
        <v>0;</v>
      </c>
    </row>
    <row r="104" spans="1:19">
      <c r="A104" s="41"/>
      <c r="B104" s="41">
        <v>101</v>
      </c>
      <c r="C104" s="59"/>
      <c r="D104" s="82"/>
      <c r="E104" s="60"/>
      <c r="F104" s="60"/>
      <c r="G104" s="61">
        <f t="shared" si="7"/>
        <v>0</v>
      </c>
      <c r="H104" s="77"/>
      <c r="I104" s="72"/>
      <c r="J104" s="72"/>
      <c r="K104" s="62"/>
      <c r="L104" s="74"/>
      <c r="M104" s="83"/>
      <c r="N104" s="41"/>
      <c r="R104" s="43">
        <f t="shared" si="5"/>
        <v>0</v>
      </c>
      <c r="S104" s="43" t="str">
        <f t="shared" si="6"/>
        <v>0;</v>
      </c>
    </row>
    <row r="105" spans="1:19">
      <c r="A105" s="41"/>
      <c r="B105" s="41">
        <v>102</v>
      </c>
      <c r="C105" s="59"/>
      <c r="D105" s="82"/>
      <c r="E105" s="60"/>
      <c r="F105" s="60"/>
      <c r="G105" s="61">
        <f t="shared" si="7"/>
        <v>0</v>
      </c>
      <c r="H105" s="77"/>
      <c r="I105" s="72"/>
      <c r="J105" s="72"/>
      <c r="K105" s="62"/>
      <c r="L105" s="74"/>
      <c r="M105" s="83"/>
      <c r="N105" s="41"/>
      <c r="R105" s="43">
        <f t="shared" si="5"/>
        <v>0</v>
      </c>
      <c r="S105" s="43" t="str">
        <f t="shared" si="6"/>
        <v>0;</v>
      </c>
    </row>
    <row r="106" spans="1:19">
      <c r="A106" s="41"/>
      <c r="B106" s="41">
        <v>103</v>
      </c>
      <c r="C106" s="59"/>
      <c r="D106" s="81"/>
      <c r="E106" s="60"/>
      <c r="F106" s="60"/>
      <c r="G106" s="61">
        <f t="shared" si="7"/>
        <v>0</v>
      </c>
      <c r="H106" s="77"/>
      <c r="I106" s="72"/>
      <c r="J106" s="72"/>
      <c r="K106" s="62"/>
      <c r="L106" s="74"/>
      <c r="M106" s="83"/>
      <c r="N106" s="41"/>
      <c r="R106" s="43">
        <f t="shared" si="5"/>
        <v>0</v>
      </c>
      <c r="S106" s="43" t="str">
        <f t="shared" si="6"/>
        <v>0;</v>
      </c>
    </row>
    <row r="107" spans="1:19">
      <c r="A107" s="41"/>
      <c r="B107" s="41">
        <v>104</v>
      </c>
      <c r="C107" s="59"/>
      <c r="D107" s="82"/>
      <c r="E107" s="60"/>
      <c r="F107" s="60"/>
      <c r="G107" s="61">
        <f t="shared" si="7"/>
        <v>0</v>
      </c>
      <c r="H107" s="77"/>
      <c r="I107" s="72"/>
      <c r="J107" s="72"/>
      <c r="K107" s="62"/>
      <c r="L107" s="74"/>
      <c r="M107" s="83"/>
      <c r="N107" s="41"/>
      <c r="R107" s="43">
        <f t="shared" si="5"/>
        <v>0</v>
      </c>
      <c r="S107" s="43" t="str">
        <f t="shared" si="6"/>
        <v>0;</v>
      </c>
    </row>
    <row r="108" spans="1:19">
      <c r="A108" s="41"/>
      <c r="B108" s="41">
        <v>105</v>
      </c>
      <c r="C108" s="59"/>
      <c r="D108" s="82"/>
      <c r="E108" s="60"/>
      <c r="F108" s="60"/>
      <c r="G108" s="61">
        <f t="shared" si="7"/>
        <v>0</v>
      </c>
      <c r="H108" s="77"/>
      <c r="I108" s="72"/>
      <c r="J108" s="72"/>
      <c r="K108" s="62"/>
      <c r="L108" s="74"/>
      <c r="M108" s="83"/>
      <c r="N108" s="41"/>
      <c r="R108" s="43">
        <f t="shared" si="5"/>
        <v>0</v>
      </c>
      <c r="S108" s="43" t="str">
        <f t="shared" si="6"/>
        <v>0;</v>
      </c>
    </row>
    <row r="109" spans="1:19">
      <c r="A109" s="41"/>
      <c r="B109" s="41">
        <v>106</v>
      </c>
      <c r="C109" s="59"/>
      <c r="D109" s="81"/>
      <c r="E109" s="60"/>
      <c r="F109" s="60"/>
      <c r="G109" s="61">
        <f t="shared" si="7"/>
        <v>0</v>
      </c>
      <c r="H109" s="77"/>
      <c r="I109" s="72"/>
      <c r="J109" s="72"/>
      <c r="K109" s="62"/>
      <c r="L109" s="74"/>
      <c r="M109" s="83"/>
      <c r="N109" s="41"/>
      <c r="R109" s="43">
        <f t="shared" si="5"/>
        <v>0</v>
      </c>
      <c r="S109" s="43" t="str">
        <f t="shared" si="6"/>
        <v>0;</v>
      </c>
    </row>
    <row r="110" spans="1:19">
      <c r="A110" s="41"/>
      <c r="B110" s="41">
        <v>107</v>
      </c>
      <c r="C110" s="59"/>
      <c r="D110" s="82"/>
      <c r="E110" s="60"/>
      <c r="F110" s="60"/>
      <c r="G110" s="61">
        <f t="shared" si="7"/>
        <v>0</v>
      </c>
      <c r="H110" s="77"/>
      <c r="I110" s="72"/>
      <c r="J110" s="72"/>
      <c r="K110" s="62"/>
      <c r="L110" s="74"/>
      <c r="M110" s="83"/>
      <c r="N110" s="41"/>
      <c r="R110" s="43">
        <f t="shared" si="5"/>
        <v>0</v>
      </c>
      <c r="S110" s="43" t="str">
        <f t="shared" si="6"/>
        <v>0;</v>
      </c>
    </row>
    <row r="111" spans="1:19">
      <c r="A111" s="41"/>
      <c r="B111" s="41">
        <v>108</v>
      </c>
      <c r="C111" s="59"/>
      <c r="D111" s="82"/>
      <c r="E111" s="60"/>
      <c r="F111" s="60"/>
      <c r="G111" s="61">
        <f t="shared" si="7"/>
        <v>0</v>
      </c>
      <c r="H111" s="77"/>
      <c r="I111" s="72"/>
      <c r="J111" s="72"/>
      <c r="K111" s="62"/>
      <c r="L111" s="74"/>
      <c r="M111" s="83"/>
      <c r="N111" s="41"/>
      <c r="R111" s="43">
        <f t="shared" si="5"/>
        <v>0</v>
      </c>
      <c r="S111" s="43" t="str">
        <f t="shared" si="6"/>
        <v>0;</v>
      </c>
    </row>
    <row r="112" spans="1:19">
      <c r="A112" s="41"/>
      <c r="B112" s="41">
        <v>109</v>
      </c>
      <c r="C112" s="59"/>
      <c r="D112" s="81"/>
      <c r="E112" s="60"/>
      <c r="F112" s="60"/>
      <c r="G112" s="61">
        <f t="shared" si="7"/>
        <v>0</v>
      </c>
      <c r="H112" s="77"/>
      <c r="I112" s="72"/>
      <c r="J112" s="72"/>
      <c r="K112" s="62"/>
      <c r="L112" s="74"/>
      <c r="M112" s="83"/>
      <c r="N112" s="41"/>
      <c r="R112" s="43">
        <f t="shared" si="5"/>
        <v>0</v>
      </c>
      <c r="S112" s="43" t="str">
        <f t="shared" si="6"/>
        <v>0;</v>
      </c>
    </row>
    <row r="113" spans="1:19">
      <c r="A113" s="41"/>
      <c r="B113" s="41">
        <v>110</v>
      </c>
      <c r="C113" s="59"/>
      <c r="D113" s="82"/>
      <c r="E113" s="60"/>
      <c r="F113" s="60"/>
      <c r="G113" s="61">
        <f t="shared" si="7"/>
        <v>0</v>
      </c>
      <c r="H113" s="77"/>
      <c r="I113" s="72"/>
      <c r="J113" s="72"/>
      <c r="K113" s="62"/>
      <c r="L113" s="74"/>
      <c r="M113" s="83"/>
      <c r="N113" s="41"/>
      <c r="R113" s="43">
        <f t="shared" si="5"/>
        <v>0</v>
      </c>
      <c r="S113" s="43" t="str">
        <f t="shared" si="6"/>
        <v>0;</v>
      </c>
    </row>
    <row r="114" spans="1:19">
      <c r="A114" s="41"/>
      <c r="B114" s="41">
        <v>111</v>
      </c>
      <c r="C114" s="59"/>
      <c r="D114" s="81"/>
      <c r="E114" s="60"/>
      <c r="F114" s="60"/>
      <c r="G114" s="61">
        <f t="shared" si="7"/>
        <v>0</v>
      </c>
      <c r="H114" s="77"/>
      <c r="I114" s="72"/>
      <c r="J114" s="72"/>
      <c r="K114" s="62"/>
      <c r="L114" s="74"/>
      <c r="M114" s="83"/>
      <c r="N114" s="41"/>
      <c r="R114" s="43">
        <f t="shared" si="5"/>
        <v>0</v>
      </c>
      <c r="S114" s="43" t="str">
        <f t="shared" si="6"/>
        <v>0;</v>
      </c>
    </row>
    <row r="115" spans="1:19">
      <c r="A115" s="41"/>
      <c r="B115" s="41">
        <v>112</v>
      </c>
      <c r="C115" s="59"/>
      <c r="D115" s="82"/>
      <c r="E115" s="60"/>
      <c r="F115" s="60"/>
      <c r="G115" s="61">
        <f t="shared" si="7"/>
        <v>0</v>
      </c>
      <c r="H115" s="77"/>
      <c r="I115" s="72"/>
      <c r="J115" s="72"/>
      <c r="K115" s="62"/>
      <c r="L115" s="74"/>
      <c r="M115" s="83"/>
      <c r="N115" s="41"/>
      <c r="R115" s="43">
        <f t="shared" si="5"/>
        <v>0</v>
      </c>
      <c r="S115" s="43" t="str">
        <f t="shared" si="6"/>
        <v>0;</v>
      </c>
    </row>
    <row r="116" spans="1:19">
      <c r="A116" s="41"/>
      <c r="B116" s="41">
        <v>113</v>
      </c>
      <c r="C116" s="59"/>
      <c r="D116" s="81"/>
      <c r="E116" s="60"/>
      <c r="F116" s="60"/>
      <c r="G116" s="61">
        <f t="shared" si="7"/>
        <v>0</v>
      </c>
      <c r="H116" s="77"/>
      <c r="I116" s="72"/>
      <c r="J116" s="72"/>
      <c r="K116" s="62"/>
      <c r="L116" s="74"/>
      <c r="M116" s="83"/>
      <c r="N116" s="41"/>
      <c r="R116" s="43">
        <f t="shared" si="5"/>
        <v>0</v>
      </c>
      <c r="S116" s="43" t="str">
        <f t="shared" si="6"/>
        <v>0;</v>
      </c>
    </row>
    <row r="117" spans="1:19">
      <c r="A117" s="41"/>
      <c r="B117" s="41">
        <v>114</v>
      </c>
      <c r="C117" s="59"/>
      <c r="D117" s="82"/>
      <c r="E117" s="60"/>
      <c r="F117" s="60"/>
      <c r="G117" s="61">
        <f t="shared" si="7"/>
        <v>0</v>
      </c>
      <c r="H117" s="77"/>
      <c r="I117" s="72"/>
      <c r="J117" s="72"/>
      <c r="K117" s="62"/>
      <c r="L117" s="74"/>
      <c r="M117" s="83"/>
      <c r="N117" s="41"/>
      <c r="R117" s="43">
        <f t="shared" si="5"/>
        <v>0</v>
      </c>
      <c r="S117" s="43" t="str">
        <f t="shared" si="6"/>
        <v>0;</v>
      </c>
    </row>
    <row r="118" spans="1:19">
      <c r="A118" s="41"/>
      <c r="B118" s="41">
        <v>115</v>
      </c>
      <c r="C118" s="59"/>
      <c r="D118" s="62"/>
      <c r="E118" s="63"/>
      <c r="F118" s="60"/>
      <c r="G118" s="61">
        <f t="shared" si="7"/>
        <v>0</v>
      </c>
      <c r="H118" s="77"/>
      <c r="I118" s="72"/>
      <c r="J118" s="72"/>
      <c r="K118" s="62"/>
      <c r="L118" s="74"/>
      <c r="M118" s="83"/>
      <c r="N118" s="41"/>
      <c r="R118" s="43">
        <f t="shared" si="5"/>
        <v>0</v>
      </c>
      <c r="S118" s="43" t="str">
        <f t="shared" si="6"/>
        <v>0;</v>
      </c>
    </row>
    <row r="119" spans="1:19">
      <c r="A119" s="41"/>
      <c r="B119" s="41">
        <v>116</v>
      </c>
      <c r="C119" s="59"/>
      <c r="D119" s="62"/>
      <c r="E119" s="63"/>
      <c r="F119" s="63"/>
      <c r="G119" s="61">
        <f t="shared" si="7"/>
        <v>0</v>
      </c>
      <c r="H119" s="77"/>
      <c r="I119" s="72"/>
      <c r="J119" s="72"/>
      <c r="K119" s="62"/>
      <c r="L119" s="74"/>
      <c r="M119" s="83"/>
      <c r="N119" s="41"/>
      <c r="R119" s="43">
        <f t="shared" si="5"/>
        <v>0</v>
      </c>
      <c r="S119" s="43" t="str">
        <f t="shared" si="6"/>
        <v>0;</v>
      </c>
    </row>
    <row r="120" spans="1:19">
      <c r="A120" s="41"/>
      <c r="B120" s="41">
        <v>117</v>
      </c>
      <c r="C120" s="59"/>
      <c r="D120" s="62"/>
      <c r="E120" s="63"/>
      <c r="F120" s="63"/>
      <c r="G120" s="61">
        <f t="shared" si="7"/>
        <v>0</v>
      </c>
      <c r="H120" s="77"/>
      <c r="I120" s="72"/>
      <c r="J120" s="72"/>
      <c r="K120" s="62"/>
      <c r="L120" s="74"/>
      <c r="M120" s="83"/>
      <c r="N120" s="41"/>
      <c r="R120" s="43">
        <f t="shared" si="5"/>
        <v>0</v>
      </c>
      <c r="S120" s="43" t="str">
        <f t="shared" si="6"/>
        <v>0;</v>
      </c>
    </row>
    <row r="121" spans="1:19">
      <c r="A121" s="41"/>
      <c r="B121" s="41">
        <v>118</v>
      </c>
      <c r="C121" s="59"/>
      <c r="D121" s="62"/>
      <c r="E121" s="63"/>
      <c r="F121" s="63"/>
      <c r="G121" s="61">
        <f t="shared" si="7"/>
        <v>0</v>
      </c>
      <c r="H121" s="77"/>
      <c r="I121" s="72"/>
      <c r="J121" s="72"/>
      <c r="K121" s="62"/>
      <c r="L121" s="74"/>
      <c r="M121" s="83"/>
      <c r="N121" s="41"/>
      <c r="R121" s="43">
        <f t="shared" si="5"/>
        <v>0</v>
      </c>
      <c r="S121" s="43" t="str">
        <f t="shared" si="6"/>
        <v>0;</v>
      </c>
    </row>
    <row r="122" spans="1:19">
      <c r="A122" s="41"/>
      <c r="B122" s="41">
        <v>119</v>
      </c>
      <c r="C122" s="59"/>
      <c r="D122" s="62"/>
      <c r="E122" s="63"/>
      <c r="F122" s="63"/>
      <c r="G122" s="61">
        <f t="shared" si="7"/>
        <v>0</v>
      </c>
      <c r="H122" s="77"/>
      <c r="I122" s="72"/>
      <c r="J122" s="72"/>
      <c r="K122" s="62"/>
      <c r="L122" s="74"/>
      <c r="M122" s="83"/>
      <c r="N122" s="41"/>
      <c r="R122" s="43">
        <f t="shared" si="5"/>
        <v>0</v>
      </c>
      <c r="S122" s="43" t="str">
        <f t="shared" si="6"/>
        <v>0;</v>
      </c>
    </row>
    <row r="123" spans="1:19">
      <c r="A123" s="41"/>
      <c r="B123" s="41">
        <v>120</v>
      </c>
      <c r="C123" s="59"/>
      <c r="D123" s="62"/>
      <c r="E123" s="63"/>
      <c r="F123" s="63"/>
      <c r="G123" s="61">
        <f t="shared" si="7"/>
        <v>0</v>
      </c>
      <c r="H123" s="77"/>
      <c r="I123" s="72"/>
      <c r="J123" s="72"/>
      <c r="K123" s="62"/>
      <c r="L123" s="74"/>
      <c r="M123" s="83"/>
      <c r="N123" s="41"/>
      <c r="R123" s="43">
        <f t="shared" si="5"/>
        <v>0</v>
      </c>
      <c r="S123" s="43" t="str">
        <f t="shared" si="6"/>
        <v>0;</v>
      </c>
    </row>
    <row r="124" spans="1:19">
      <c r="A124" s="41"/>
      <c r="B124" s="41">
        <v>121</v>
      </c>
      <c r="C124" s="59"/>
      <c r="D124" s="62"/>
      <c r="E124" s="63"/>
      <c r="F124" s="63"/>
      <c r="G124" s="61">
        <f t="shared" si="7"/>
        <v>0</v>
      </c>
      <c r="H124" s="77"/>
      <c r="I124" s="72"/>
      <c r="J124" s="72"/>
      <c r="K124" s="62"/>
      <c r="L124" s="74"/>
      <c r="M124" s="83"/>
      <c r="N124" s="41"/>
      <c r="R124" s="43">
        <f t="shared" si="5"/>
        <v>0</v>
      </c>
      <c r="S124" s="43" t="str">
        <f t="shared" si="6"/>
        <v>0;</v>
      </c>
    </row>
    <row r="125" spans="1:19">
      <c r="A125" s="41"/>
      <c r="B125" s="41">
        <v>122</v>
      </c>
      <c r="C125" s="59"/>
      <c r="D125" s="62"/>
      <c r="E125" s="63"/>
      <c r="F125" s="63"/>
      <c r="G125" s="61">
        <f t="shared" si="7"/>
        <v>0</v>
      </c>
      <c r="H125" s="77"/>
      <c r="I125" s="72"/>
      <c r="J125" s="72"/>
      <c r="K125" s="62"/>
      <c r="L125" s="74"/>
      <c r="M125" s="83"/>
      <c r="N125" s="41"/>
      <c r="R125" s="43">
        <f t="shared" si="5"/>
        <v>0</v>
      </c>
      <c r="S125" s="43" t="str">
        <f t="shared" si="6"/>
        <v>0;</v>
      </c>
    </row>
    <row r="126" spans="1:19">
      <c r="A126" s="41"/>
      <c r="B126" s="41">
        <v>123</v>
      </c>
      <c r="C126" s="59"/>
      <c r="D126" s="62"/>
      <c r="E126" s="63"/>
      <c r="F126" s="63"/>
      <c r="G126" s="61">
        <f t="shared" si="7"/>
        <v>0</v>
      </c>
      <c r="H126" s="77"/>
      <c r="I126" s="72"/>
      <c r="J126" s="72"/>
      <c r="K126" s="62"/>
      <c r="L126" s="74"/>
      <c r="M126" s="83"/>
      <c r="N126" s="41"/>
      <c r="R126" s="43">
        <f t="shared" si="5"/>
        <v>0</v>
      </c>
      <c r="S126" s="43" t="str">
        <f t="shared" si="6"/>
        <v>0;</v>
      </c>
    </row>
    <row r="127" spans="1:19">
      <c r="A127" s="41"/>
      <c r="B127" s="41">
        <v>124</v>
      </c>
      <c r="C127" s="59"/>
      <c r="D127" s="62"/>
      <c r="E127" s="63"/>
      <c r="F127" s="63"/>
      <c r="G127" s="61">
        <f t="shared" si="7"/>
        <v>0</v>
      </c>
      <c r="H127" s="77"/>
      <c r="I127" s="72"/>
      <c r="J127" s="72"/>
      <c r="K127" s="62"/>
      <c r="L127" s="74"/>
      <c r="M127" s="83"/>
      <c r="N127" s="41"/>
      <c r="R127" s="43">
        <f t="shared" si="5"/>
        <v>0</v>
      </c>
      <c r="S127" s="43" t="str">
        <f t="shared" si="6"/>
        <v>0;</v>
      </c>
    </row>
    <row r="128" spans="1:19">
      <c r="A128" s="41"/>
      <c r="B128" s="41">
        <v>125</v>
      </c>
      <c r="C128" s="59"/>
      <c r="D128" s="62"/>
      <c r="E128" s="63"/>
      <c r="F128" s="63"/>
      <c r="G128" s="61">
        <f t="shared" si="7"/>
        <v>0</v>
      </c>
      <c r="H128" s="77"/>
      <c r="I128" s="72"/>
      <c r="J128" s="72"/>
      <c r="K128" s="62"/>
      <c r="L128" s="74"/>
      <c r="M128" s="83"/>
      <c r="N128" s="41"/>
      <c r="R128" s="43">
        <f t="shared" si="5"/>
        <v>0</v>
      </c>
      <c r="S128" s="43" t="str">
        <f t="shared" si="6"/>
        <v>0;</v>
      </c>
    </row>
    <row r="129" spans="1:19">
      <c r="A129" s="41"/>
      <c r="B129" s="41">
        <v>126</v>
      </c>
      <c r="C129" s="59"/>
      <c r="D129" s="62"/>
      <c r="E129" s="63"/>
      <c r="F129" s="63"/>
      <c r="G129" s="61">
        <f t="shared" si="7"/>
        <v>0</v>
      </c>
      <c r="H129" s="77"/>
      <c r="I129" s="72"/>
      <c r="J129" s="72"/>
      <c r="K129" s="62"/>
      <c r="L129" s="74"/>
      <c r="M129" s="83"/>
      <c r="N129" s="41"/>
      <c r="R129" s="43">
        <f t="shared" si="5"/>
        <v>0</v>
      </c>
      <c r="S129" s="43" t="str">
        <f t="shared" si="6"/>
        <v>0;</v>
      </c>
    </row>
    <row r="130" spans="1:19">
      <c r="A130" s="41"/>
      <c r="B130" s="41">
        <v>127</v>
      </c>
      <c r="C130" s="59"/>
      <c r="D130" s="62"/>
      <c r="E130" s="63"/>
      <c r="F130" s="63"/>
      <c r="G130" s="61">
        <f t="shared" si="7"/>
        <v>0</v>
      </c>
      <c r="H130" s="77"/>
      <c r="I130" s="72"/>
      <c r="J130" s="72"/>
      <c r="K130" s="62"/>
      <c r="L130" s="74"/>
      <c r="M130" s="83"/>
      <c r="N130" s="41"/>
      <c r="R130" s="43">
        <f t="shared" si="5"/>
        <v>0</v>
      </c>
      <c r="S130" s="43" t="str">
        <f t="shared" si="6"/>
        <v>0;</v>
      </c>
    </row>
    <row r="131" spans="1:19">
      <c r="A131" s="41"/>
      <c r="B131" s="41">
        <v>128</v>
      </c>
      <c r="C131" s="59"/>
      <c r="D131" s="62"/>
      <c r="E131" s="63"/>
      <c r="F131" s="63"/>
      <c r="G131" s="61">
        <f t="shared" si="7"/>
        <v>0</v>
      </c>
      <c r="H131" s="77"/>
      <c r="I131" s="72"/>
      <c r="J131" s="72"/>
      <c r="K131" s="62"/>
      <c r="L131" s="74"/>
      <c r="M131" s="83"/>
      <c r="N131" s="41"/>
      <c r="R131" s="43">
        <f t="shared" si="5"/>
        <v>0</v>
      </c>
      <c r="S131" s="43" t="str">
        <f t="shared" si="6"/>
        <v>0;</v>
      </c>
    </row>
    <row r="132" spans="1:19">
      <c r="A132" s="41"/>
      <c r="B132" s="41">
        <v>129</v>
      </c>
      <c r="C132" s="59"/>
      <c r="D132" s="62"/>
      <c r="E132" s="63"/>
      <c r="F132" s="63"/>
      <c r="G132" s="61">
        <f t="shared" si="7"/>
        <v>0</v>
      </c>
      <c r="H132" s="77"/>
      <c r="I132" s="72"/>
      <c r="J132" s="72"/>
      <c r="K132" s="62"/>
      <c r="L132" s="74"/>
      <c r="M132" s="83"/>
      <c r="N132" s="41"/>
      <c r="R132" s="43">
        <f t="shared" si="5"/>
        <v>0</v>
      </c>
      <c r="S132" s="43" t="str">
        <f t="shared" si="6"/>
        <v>0;</v>
      </c>
    </row>
    <row r="133" spans="1:19">
      <c r="A133" s="41"/>
      <c r="B133" s="41">
        <v>130</v>
      </c>
      <c r="C133" s="59"/>
      <c r="D133" s="62"/>
      <c r="E133" s="63"/>
      <c r="F133" s="63"/>
      <c r="G133" s="61">
        <f t="shared" si="7"/>
        <v>0</v>
      </c>
      <c r="H133" s="77"/>
      <c r="I133" s="72"/>
      <c r="J133" s="72"/>
      <c r="K133" s="62"/>
      <c r="L133" s="74"/>
      <c r="M133" s="83"/>
      <c r="N133" s="41"/>
      <c r="R133" s="43">
        <f t="shared" ref="R133:R196" si="8">H135</f>
        <v>0</v>
      </c>
      <c r="S133" s="43" t="str">
        <f t="shared" ref="S133:S196" si="9">CONCATENATE(R133,$R$3)</f>
        <v>0;</v>
      </c>
    </row>
    <row r="134" spans="1:19">
      <c r="A134" s="41"/>
      <c r="B134" s="41">
        <v>131</v>
      </c>
      <c r="C134" s="59"/>
      <c r="D134" s="62"/>
      <c r="E134" s="63"/>
      <c r="F134" s="63"/>
      <c r="G134" s="61">
        <f t="shared" si="7"/>
        <v>0</v>
      </c>
      <c r="H134" s="77"/>
      <c r="I134" s="72"/>
      <c r="J134" s="72"/>
      <c r="K134" s="62"/>
      <c r="L134" s="74"/>
      <c r="M134" s="83"/>
      <c r="N134" s="41"/>
      <c r="R134" s="43">
        <f t="shared" si="8"/>
        <v>0</v>
      </c>
      <c r="S134" s="43" t="str">
        <f t="shared" si="9"/>
        <v>0;</v>
      </c>
    </row>
    <row r="135" spans="1:19">
      <c r="A135" s="41"/>
      <c r="B135" s="41">
        <v>132</v>
      </c>
      <c r="C135" s="59"/>
      <c r="D135" s="62"/>
      <c r="E135" s="63"/>
      <c r="F135" s="63"/>
      <c r="G135" s="61">
        <f t="shared" ref="G135:G198" si="10">IF(D135="Da inicio la Ventana de Tiempo","",IF(D135="Dan Fin las Actividades del Plan","",IF(D135="Termina Ventana de Tiempo","",F135-E135)))</f>
        <v>0</v>
      </c>
      <c r="H135" s="77"/>
      <c r="I135" s="72"/>
      <c r="J135" s="72"/>
      <c r="K135" s="62"/>
      <c r="L135" s="74"/>
      <c r="M135" s="83"/>
      <c r="N135" s="41"/>
      <c r="R135" s="43">
        <f t="shared" si="8"/>
        <v>0</v>
      </c>
      <c r="S135" s="43" t="str">
        <f t="shared" si="9"/>
        <v>0;</v>
      </c>
    </row>
    <row r="136" spans="1:19">
      <c r="A136" s="41"/>
      <c r="B136" s="41">
        <v>133</v>
      </c>
      <c r="C136" s="59"/>
      <c r="D136" s="62"/>
      <c r="E136" s="63"/>
      <c r="F136" s="63"/>
      <c r="G136" s="61">
        <f t="shared" si="10"/>
        <v>0</v>
      </c>
      <c r="H136" s="77"/>
      <c r="I136" s="72"/>
      <c r="J136" s="72"/>
      <c r="K136" s="62"/>
      <c r="L136" s="74"/>
      <c r="M136" s="83"/>
      <c r="N136" s="41"/>
      <c r="R136" s="43">
        <f t="shared" si="8"/>
        <v>0</v>
      </c>
      <c r="S136" s="43" t="str">
        <f t="shared" si="9"/>
        <v>0;</v>
      </c>
    </row>
    <row r="137" spans="1:19">
      <c r="A137" s="41"/>
      <c r="B137" s="41">
        <v>134</v>
      </c>
      <c r="C137" s="59"/>
      <c r="D137" s="62"/>
      <c r="E137" s="63"/>
      <c r="F137" s="63"/>
      <c r="G137" s="61">
        <f t="shared" si="10"/>
        <v>0</v>
      </c>
      <c r="H137" s="77"/>
      <c r="I137" s="72"/>
      <c r="J137" s="72"/>
      <c r="K137" s="62"/>
      <c r="L137" s="74"/>
      <c r="M137" s="83"/>
      <c r="N137" s="41"/>
      <c r="R137" s="43">
        <f t="shared" si="8"/>
        <v>0</v>
      </c>
      <c r="S137" s="43" t="str">
        <f t="shared" si="9"/>
        <v>0;</v>
      </c>
    </row>
    <row r="138" spans="1:19">
      <c r="A138" s="41"/>
      <c r="B138" s="41">
        <v>135</v>
      </c>
      <c r="C138" s="59"/>
      <c r="D138" s="62"/>
      <c r="E138" s="63"/>
      <c r="F138" s="63"/>
      <c r="G138" s="61">
        <f t="shared" si="10"/>
        <v>0</v>
      </c>
      <c r="H138" s="77"/>
      <c r="I138" s="72"/>
      <c r="J138" s="72"/>
      <c r="K138" s="62"/>
      <c r="L138" s="74"/>
      <c r="M138" s="83"/>
      <c r="N138" s="41"/>
      <c r="R138" s="43">
        <f t="shared" si="8"/>
        <v>0</v>
      </c>
      <c r="S138" s="43" t="str">
        <f t="shared" si="9"/>
        <v>0;</v>
      </c>
    </row>
    <row r="139" spans="1:19">
      <c r="A139" s="41"/>
      <c r="B139" s="41">
        <v>136</v>
      </c>
      <c r="C139" s="59"/>
      <c r="D139" s="62"/>
      <c r="E139" s="63"/>
      <c r="F139" s="63"/>
      <c r="G139" s="61">
        <f t="shared" si="10"/>
        <v>0</v>
      </c>
      <c r="H139" s="77"/>
      <c r="I139" s="72"/>
      <c r="J139" s="72"/>
      <c r="K139" s="62"/>
      <c r="L139" s="74"/>
      <c r="M139" s="83"/>
      <c r="N139" s="41"/>
      <c r="R139" s="43">
        <f t="shared" si="8"/>
        <v>0</v>
      </c>
      <c r="S139" s="43" t="str">
        <f t="shared" si="9"/>
        <v>0;</v>
      </c>
    </row>
    <row r="140" spans="1:19">
      <c r="A140" s="41"/>
      <c r="B140" s="41">
        <v>137</v>
      </c>
      <c r="C140" s="59"/>
      <c r="D140" s="62"/>
      <c r="E140" s="63"/>
      <c r="F140" s="63"/>
      <c r="G140" s="61">
        <f t="shared" si="10"/>
        <v>0</v>
      </c>
      <c r="H140" s="77"/>
      <c r="I140" s="72"/>
      <c r="J140" s="72"/>
      <c r="K140" s="62"/>
      <c r="L140" s="74"/>
      <c r="M140" s="83"/>
      <c r="N140" s="41"/>
      <c r="R140" s="43">
        <f t="shared" si="8"/>
        <v>0</v>
      </c>
      <c r="S140" s="43" t="str">
        <f t="shared" si="9"/>
        <v>0;</v>
      </c>
    </row>
    <row r="141" spans="1:19">
      <c r="A141" s="41"/>
      <c r="B141" s="41">
        <v>138</v>
      </c>
      <c r="C141" s="59"/>
      <c r="D141" s="62"/>
      <c r="E141" s="63"/>
      <c r="F141" s="63"/>
      <c r="G141" s="61">
        <f t="shared" si="10"/>
        <v>0</v>
      </c>
      <c r="H141" s="77"/>
      <c r="I141" s="72"/>
      <c r="J141" s="72"/>
      <c r="K141" s="62"/>
      <c r="L141" s="74"/>
      <c r="M141" s="83"/>
      <c r="N141" s="41"/>
      <c r="R141" s="43">
        <f t="shared" si="8"/>
        <v>0</v>
      </c>
      <c r="S141" s="43" t="str">
        <f t="shared" si="9"/>
        <v>0;</v>
      </c>
    </row>
    <row r="142" spans="1:19">
      <c r="A142" s="41"/>
      <c r="B142" s="41">
        <v>139</v>
      </c>
      <c r="C142" s="59"/>
      <c r="D142" s="62"/>
      <c r="E142" s="63"/>
      <c r="F142" s="63"/>
      <c r="G142" s="61">
        <f t="shared" si="10"/>
        <v>0</v>
      </c>
      <c r="H142" s="77"/>
      <c r="I142" s="72"/>
      <c r="J142" s="72"/>
      <c r="K142" s="62"/>
      <c r="L142" s="74"/>
      <c r="M142" s="83"/>
      <c r="N142" s="41"/>
      <c r="R142" s="43">
        <f t="shared" si="8"/>
        <v>0</v>
      </c>
      <c r="S142" s="43" t="str">
        <f t="shared" si="9"/>
        <v>0;</v>
      </c>
    </row>
    <row r="143" spans="1:19">
      <c r="A143" s="41"/>
      <c r="B143" s="41">
        <v>140</v>
      </c>
      <c r="C143" s="59"/>
      <c r="D143" s="62"/>
      <c r="E143" s="63"/>
      <c r="F143" s="63"/>
      <c r="G143" s="61">
        <f t="shared" si="10"/>
        <v>0</v>
      </c>
      <c r="H143" s="77"/>
      <c r="I143" s="72"/>
      <c r="J143" s="72"/>
      <c r="K143" s="62"/>
      <c r="L143" s="74"/>
      <c r="M143" s="83"/>
      <c r="N143" s="41"/>
      <c r="R143" s="43">
        <f t="shared" si="8"/>
        <v>0</v>
      </c>
      <c r="S143" s="43" t="str">
        <f t="shared" si="9"/>
        <v>0;</v>
      </c>
    </row>
    <row r="144" spans="1:19">
      <c r="A144" s="41"/>
      <c r="B144" s="41">
        <v>141</v>
      </c>
      <c r="C144" s="59"/>
      <c r="D144" s="62"/>
      <c r="E144" s="63"/>
      <c r="F144" s="63"/>
      <c r="G144" s="61">
        <f t="shared" si="10"/>
        <v>0</v>
      </c>
      <c r="H144" s="77"/>
      <c r="I144" s="72"/>
      <c r="J144" s="72"/>
      <c r="K144" s="62"/>
      <c r="L144" s="74"/>
      <c r="M144" s="83"/>
      <c r="N144" s="41"/>
      <c r="R144" s="43">
        <f t="shared" si="8"/>
        <v>0</v>
      </c>
      <c r="S144" s="43" t="str">
        <f t="shared" si="9"/>
        <v>0;</v>
      </c>
    </row>
    <row r="145" spans="1:19">
      <c r="A145" s="41"/>
      <c r="B145" s="41">
        <v>142</v>
      </c>
      <c r="C145" s="59"/>
      <c r="D145" s="62"/>
      <c r="E145" s="63"/>
      <c r="F145" s="63"/>
      <c r="G145" s="61">
        <f t="shared" si="10"/>
        <v>0</v>
      </c>
      <c r="H145" s="77"/>
      <c r="I145" s="72"/>
      <c r="J145" s="72"/>
      <c r="K145" s="62"/>
      <c r="L145" s="74"/>
      <c r="M145" s="83"/>
      <c r="N145" s="41"/>
      <c r="R145" s="43">
        <f t="shared" si="8"/>
        <v>0</v>
      </c>
      <c r="S145" s="43" t="str">
        <f t="shared" si="9"/>
        <v>0;</v>
      </c>
    </row>
    <row r="146" spans="1:19">
      <c r="A146" s="41"/>
      <c r="B146" s="41">
        <v>143</v>
      </c>
      <c r="C146" s="59"/>
      <c r="D146" s="62"/>
      <c r="E146" s="63"/>
      <c r="F146" s="63"/>
      <c r="G146" s="61">
        <f t="shared" si="10"/>
        <v>0</v>
      </c>
      <c r="H146" s="77"/>
      <c r="I146" s="72"/>
      <c r="J146" s="72"/>
      <c r="K146" s="62"/>
      <c r="L146" s="74"/>
      <c r="M146" s="83"/>
      <c r="N146" s="41"/>
      <c r="R146" s="43">
        <f t="shared" si="8"/>
        <v>0</v>
      </c>
      <c r="S146" s="43" t="str">
        <f t="shared" si="9"/>
        <v>0;</v>
      </c>
    </row>
    <row r="147" spans="1:19">
      <c r="A147" s="41"/>
      <c r="B147" s="41">
        <v>144</v>
      </c>
      <c r="C147" s="59"/>
      <c r="D147" s="62"/>
      <c r="E147" s="63"/>
      <c r="F147" s="63"/>
      <c r="G147" s="61">
        <f t="shared" si="10"/>
        <v>0</v>
      </c>
      <c r="H147" s="77"/>
      <c r="I147" s="72"/>
      <c r="J147" s="72"/>
      <c r="K147" s="62"/>
      <c r="L147" s="74"/>
      <c r="M147" s="83"/>
      <c r="N147" s="41"/>
      <c r="R147" s="43">
        <f t="shared" si="8"/>
        <v>0</v>
      </c>
      <c r="S147" s="43" t="str">
        <f t="shared" si="9"/>
        <v>0;</v>
      </c>
    </row>
    <row r="148" spans="1:19">
      <c r="A148" s="41"/>
      <c r="B148" s="41">
        <v>145</v>
      </c>
      <c r="C148" s="59"/>
      <c r="D148" s="62"/>
      <c r="E148" s="63"/>
      <c r="F148" s="63"/>
      <c r="G148" s="61">
        <f t="shared" si="10"/>
        <v>0</v>
      </c>
      <c r="H148" s="77"/>
      <c r="I148" s="72"/>
      <c r="J148" s="72"/>
      <c r="K148" s="62"/>
      <c r="L148" s="74"/>
      <c r="M148" s="83"/>
      <c r="N148" s="41"/>
      <c r="R148" s="43">
        <f t="shared" si="8"/>
        <v>0</v>
      </c>
      <c r="S148" s="43" t="str">
        <f t="shared" si="9"/>
        <v>0;</v>
      </c>
    </row>
    <row r="149" spans="1:19">
      <c r="A149" s="41"/>
      <c r="B149" s="41">
        <v>146</v>
      </c>
      <c r="C149" s="59"/>
      <c r="D149" s="62"/>
      <c r="E149" s="63"/>
      <c r="F149" s="63"/>
      <c r="G149" s="61">
        <f t="shared" si="10"/>
        <v>0</v>
      </c>
      <c r="H149" s="77"/>
      <c r="I149" s="72"/>
      <c r="J149" s="72"/>
      <c r="K149" s="62"/>
      <c r="L149" s="74"/>
      <c r="M149" s="83"/>
      <c r="N149" s="41"/>
      <c r="R149" s="43">
        <f t="shared" si="8"/>
        <v>0</v>
      </c>
      <c r="S149" s="43" t="str">
        <f t="shared" si="9"/>
        <v>0;</v>
      </c>
    </row>
    <row r="150" spans="1:19">
      <c r="A150" s="41"/>
      <c r="B150" s="41">
        <v>147</v>
      </c>
      <c r="C150" s="59"/>
      <c r="D150" s="62"/>
      <c r="E150" s="63"/>
      <c r="F150" s="63"/>
      <c r="G150" s="61">
        <f t="shared" si="10"/>
        <v>0</v>
      </c>
      <c r="H150" s="77"/>
      <c r="I150" s="72"/>
      <c r="J150" s="72"/>
      <c r="K150" s="62"/>
      <c r="L150" s="74"/>
      <c r="M150" s="83"/>
      <c r="N150" s="41"/>
      <c r="R150" s="43">
        <f t="shared" si="8"/>
        <v>0</v>
      </c>
      <c r="S150" s="43" t="str">
        <f t="shared" si="9"/>
        <v>0;</v>
      </c>
    </row>
    <row r="151" spans="1:19">
      <c r="A151" s="41"/>
      <c r="B151" s="41">
        <v>148</v>
      </c>
      <c r="C151" s="59"/>
      <c r="D151" s="62"/>
      <c r="E151" s="63"/>
      <c r="F151" s="63"/>
      <c r="G151" s="61">
        <f t="shared" si="10"/>
        <v>0</v>
      </c>
      <c r="H151" s="77"/>
      <c r="I151" s="72"/>
      <c r="J151" s="72"/>
      <c r="K151" s="62"/>
      <c r="L151" s="74"/>
      <c r="M151" s="83"/>
      <c r="N151" s="41"/>
      <c r="R151" s="43">
        <f t="shared" si="8"/>
        <v>0</v>
      </c>
      <c r="S151" s="43" t="str">
        <f t="shared" si="9"/>
        <v>0;</v>
      </c>
    </row>
    <row r="152" spans="1:19">
      <c r="A152" s="41"/>
      <c r="B152" s="41">
        <v>149</v>
      </c>
      <c r="C152" s="59"/>
      <c r="D152" s="62"/>
      <c r="E152" s="63"/>
      <c r="F152" s="63"/>
      <c r="G152" s="61">
        <f t="shared" si="10"/>
        <v>0</v>
      </c>
      <c r="H152" s="77"/>
      <c r="I152" s="72"/>
      <c r="J152" s="72"/>
      <c r="K152" s="62"/>
      <c r="L152" s="74"/>
      <c r="M152" s="83"/>
      <c r="N152" s="41"/>
      <c r="R152" s="43">
        <f t="shared" si="8"/>
        <v>0</v>
      </c>
      <c r="S152" s="43" t="str">
        <f t="shared" si="9"/>
        <v>0;</v>
      </c>
    </row>
    <row r="153" spans="1:19">
      <c r="A153" s="41"/>
      <c r="B153" s="41">
        <v>150</v>
      </c>
      <c r="C153" s="59"/>
      <c r="D153" s="62"/>
      <c r="E153" s="63"/>
      <c r="F153" s="63"/>
      <c r="G153" s="61">
        <f t="shared" si="10"/>
        <v>0</v>
      </c>
      <c r="H153" s="77"/>
      <c r="I153" s="72"/>
      <c r="J153" s="72"/>
      <c r="K153" s="62"/>
      <c r="L153" s="74"/>
      <c r="M153" s="83"/>
      <c r="N153" s="41"/>
      <c r="R153" s="43">
        <f t="shared" si="8"/>
        <v>0</v>
      </c>
      <c r="S153" s="43" t="str">
        <f t="shared" si="9"/>
        <v>0;</v>
      </c>
    </row>
    <row r="154" spans="1:19">
      <c r="A154" s="41"/>
      <c r="B154" s="41">
        <v>151</v>
      </c>
      <c r="C154" s="59"/>
      <c r="D154" s="62"/>
      <c r="E154" s="63"/>
      <c r="F154" s="63"/>
      <c r="G154" s="61">
        <f t="shared" si="10"/>
        <v>0</v>
      </c>
      <c r="H154" s="77"/>
      <c r="I154" s="72"/>
      <c r="J154" s="72"/>
      <c r="K154" s="62"/>
      <c r="L154" s="74"/>
      <c r="M154" s="83"/>
      <c r="N154" s="41"/>
      <c r="R154" s="43">
        <f t="shared" si="8"/>
        <v>0</v>
      </c>
      <c r="S154" s="43" t="str">
        <f t="shared" si="9"/>
        <v>0;</v>
      </c>
    </row>
    <row r="155" spans="1:19">
      <c r="A155" s="41"/>
      <c r="B155" s="41">
        <v>152</v>
      </c>
      <c r="C155" s="59"/>
      <c r="D155" s="62"/>
      <c r="E155" s="63"/>
      <c r="F155" s="63"/>
      <c r="G155" s="61">
        <f t="shared" si="10"/>
        <v>0</v>
      </c>
      <c r="H155" s="77"/>
      <c r="I155" s="72"/>
      <c r="J155" s="72"/>
      <c r="K155" s="62"/>
      <c r="L155" s="74"/>
      <c r="M155" s="83"/>
      <c r="N155" s="41"/>
      <c r="R155" s="43">
        <f t="shared" si="8"/>
        <v>0</v>
      </c>
      <c r="S155" s="43" t="str">
        <f t="shared" si="9"/>
        <v>0;</v>
      </c>
    </row>
    <row r="156" spans="1:19">
      <c r="A156" s="41"/>
      <c r="B156" s="41">
        <v>153</v>
      </c>
      <c r="C156" s="59"/>
      <c r="D156" s="62"/>
      <c r="E156" s="63"/>
      <c r="F156" s="63"/>
      <c r="G156" s="61">
        <f t="shared" si="10"/>
        <v>0</v>
      </c>
      <c r="H156" s="77"/>
      <c r="I156" s="72"/>
      <c r="J156" s="72"/>
      <c r="K156" s="62"/>
      <c r="L156" s="74"/>
      <c r="M156" s="83"/>
      <c r="N156" s="41"/>
      <c r="R156" s="43">
        <f t="shared" si="8"/>
        <v>0</v>
      </c>
      <c r="S156" s="43" t="str">
        <f t="shared" si="9"/>
        <v>0;</v>
      </c>
    </row>
    <row r="157" spans="1:19">
      <c r="A157" s="41"/>
      <c r="B157" s="41">
        <v>154</v>
      </c>
      <c r="C157" s="59"/>
      <c r="D157" s="62"/>
      <c r="E157" s="63"/>
      <c r="F157" s="63"/>
      <c r="G157" s="61">
        <f t="shared" si="10"/>
        <v>0</v>
      </c>
      <c r="H157" s="77"/>
      <c r="I157" s="72"/>
      <c r="J157" s="72"/>
      <c r="K157" s="62"/>
      <c r="L157" s="74"/>
      <c r="M157" s="83"/>
      <c r="N157" s="41"/>
      <c r="R157" s="43">
        <f t="shared" si="8"/>
        <v>0</v>
      </c>
      <c r="S157" s="43" t="str">
        <f t="shared" si="9"/>
        <v>0;</v>
      </c>
    </row>
    <row r="158" spans="1:19">
      <c r="A158" s="41"/>
      <c r="B158" s="41">
        <v>155</v>
      </c>
      <c r="C158" s="59"/>
      <c r="D158" s="62"/>
      <c r="E158" s="63"/>
      <c r="F158" s="63"/>
      <c r="G158" s="61">
        <f t="shared" si="10"/>
        <v>0</v>
      </c>
      <c r="H158" s="77"/>
      <c r="I158" s="72"/>
      <c r="J158" s="72"/>
      <c r="K158" s="62"/>
      <c r="L158" s="74"/>
      <c r="M158" s="83"/>
      <c r="N158" s="41"/>
      <c r="R158" s="43">
        <f t="shared" si="8"/>
        <v>0</v>
      </c>
      <c r="S158" s="43" t="str">
        <f t="shared" si="9"/>
        <v>0;</v>
      </c>
    </row>
    <row r="159" spans="1:19">
      <c r="A159" s="41"/>
      <c r="B159" s="41">
        <v>156</v>
      </c>
      <c r="C159" s="59"/>
      <c r="D159" s="62"/>
      <c r="E159" s="63"/>
      <c r="F159" s="63"/>
      <c r="G159" s="61">
        <f t="shared" si="10"/>
        <v>0</v>
      </c>
      <c r="H159" s="77"/>
      <c r="I159" s="72"/>
      <c r="J159" s="72"/>
      <c r="K159" s="62"/>
      <c r="L159" s="74"/>
      <c r="M159" s="83"/>
      <c r="N159" s="41"/>
      <c r="R159" s="43">
        <f t="shared" si="8"/>
        <v>0</v>
      </c>
      <c r="S159" s="43" t="str">
        <f t="shared" si="9"/>
        <v>0;</v>
      </c>
    </row>
    <row r="160" spans="1:19">
      <c r="A160" s="41"/>
      <c r="B160" s="41">
        <v>157</v>
      </c>
      <c r="C160" s="59"/>
      <c r="D160" s="62"/>
      <c r="E160" s="63"/>
      <c r="F160" s="63"/>
      <c r="G160" s="61">
        <f t="shared" si="10"/>
        <v>0</v>
      </c>
      <c r="H160" s="77"/>
      <c r="I160" s="72"/>
      <c r="J160" s="72"/>
      <c r="K160" s="62"/>
      <c r="L160" s="74"/>
      <c r="M160" s="83"/>
      <c r="N160" s="41"/>
      <c r="R160" s="43">
        <f t="shared" si="8"/>
        <v>0</v>
      </c>
      <c r="S160" s="43" t="str">
        <f t="shared" si="9"/>
        <v>0;</v>
      </c>
    </row>
    <row r="161" spans="1:19">
      <c r="A161" s="41"/>
      <c r="B161" s="41">
        <v>158</v>
      </c>
      <c r="C161" s="59"/>
      <c r="D161" s="62"/>
      <c r="E161" s="63"/>
      <c r="F161" s="63"/>
      <c r="G161" s="61">
        <f t="shared" si="10"/>
        <v>0</v>
      </c>
      <c r="H161" s="77"/>
      <c r="I161" s="72"/>
      <c r="J161" s="72"/>
      <c r="K161" s="62"/>
      <c r="L161" s="74"/>
      <c r="M161" s="83"/>
      <c r="N161" s="41"/>
      <c r="R161" s="43">
        <f t="shared" si="8"/>
        <v>0</v>
      </c>
      <c r="S161" s="43" t="str">
        <f t="shared" si="9"/>
        <v>0;</v>
      </c>
    </row>
    <row r="162" spans="1:19">
      <c r="A162" s="41"/>
      <c r="B162" s="41">
        <v>159</v>
      </c>
      <c r="C162" s="59"/>
      <c r="D162" s="62"/>
      <c r="E162" s="63"/>
      <c r="F162" s="63"/>
      <c r="G162" s="61">
        <f t="shared" si="10"/>
        <v>0</v>
      </c>
      <c r="H162" s="77"/>
      <c r="I162" s="72"/>
      <c r="J162" s="72"/>
      <c r="K162" s="62"/>
      <c r="L162" s="74"/>
      <c r="M162" s="83"/>
      <c r="N162" s="41"/>
      <c r="R162" s="43">
        <f t="shared" si="8"/>
        <v>0</v>
      </c>
      <c r="S162" s="43" t="str">
        <f t="shared" si="9"/>
        <v>0;</v>
      </c>
    </row>
    <row r="163" spans="1:19">
      <c r="A163" s="41"/>
      <c r="B163" s="41">
        <v>160</v>
      </c>
      <c r="C163" s="59"/>
      <c r="D163" s="62"/>
      <c r="E163" s="63"/>
      <c r="F163" s="63"/>
      <c r="G163" s="61">
        <f t="shared" si="10"/>
        <v>0</v>
      </c>
      <c r="H163" s="77"/>
      <c r="I163" s="72"/>
      <c r="J163" s="72"/>
      <c r="K163" s="62"/>
      <c r="L163" s="74"/>
      <c r="M163" s="83"/>
      <c r="N163" s="41"/>
      <c r="R163" s="43">
        <f t="shared" si="8"/>
        <v>0</v>
      </c>
      <c r="S163" s="43" t="str">
        <f t="shared" si="9"/>
        <v>0;</v>
      </c>
    </row>
    <row r="164" spans="1:19">
      <c r="A164" s="41"/>
      <c r="B164" s="41">
        <v>161</v>
      </c>
      <c r="C164" s="59"/>
      <c r="D164" s="62"/>
      <c r="E164" s="63"/>
      <c r="F164" s="63"/>
      <c r="G164" s="61">
        <f t="shared" si="10"/>
        <v>0</v>
      </c>
      <c r="H164" s="77"/>
      <c r="I164" s="72"/>
      <c r="J164" s="72"/>
      <c r="K164" s="62"/>
      <c r="L164" s="74"/>
      <c r="M164" s="83"/>
      <c r="N164" s="41"/>
      <c r="R164" s="43">
        <f t="shared" si="8"/>
        <v>0</v>
      </c>
      <c r="S164" s="43" t="str">
        <f t="shared" si="9"/>
        <v>0;</v>
      </c>
    </row>
    <row r="165" spans="1:19">
      <c r="A165" s="41"/>
      <c r="B165" s="41">
        <v>162</v>
      </c>
      <c r="C165" s="59"/>
      <c r="D165" s="62"/>
      <c r="E165" s="63"/>
      <c r="F165" s="63"/>
      <c r="G165" s="61">
        <f t="shared" si="10"/>
        <v>0</v>
      </c>
      <c r="H165" s="77"/>
      <c r="I165" s="72"/>
      <c r="J165" s="72"/>
      <c r="K165" s="62"/>
      <c r="L165" s="74"/>
      <c r="M165" s="83"/>
      <c r="N165" s="41"/>
      <c r="R165" s="43">
        <f t="shared" si="8"/>
        <v>0</v>
      </c>
      <c r="S165" s="43" t="str">
        <f t="shared" si="9"/>
        <v>0;</v>
      </c>
    </row>
    <row r="166" spans="1:19">
      <c r="A166" s="41"/>
      <c r="B166" s="41">
        <v>163</v>
      </c>
      <c r="C166" s="59"/>
      <c r="D166" s="62"/>
      <c r="E166" s="63"/>
      <c r="F166" s="63"/>
      <c r="G166" s="61">
        <f t="shared" si="10"/>
        <v>0</v>
      </c>
      <c r="H166" s="77"/>
      <c r="I166" s="72"/>
      <c r="J166" s="72"/>
      <c r="K166" s="62"/>
      <c r="L166" s="74"/>
      <c r="M166" s="83"/>
      <c r="N166" s="41"/>
      <c r="R166" s="43">
        <f t="shared" si="8"/>
        <v>0</v>
      </c>
      <c r="S166" s="43" t="str">
        <f t="shared" si="9"/>
        <v>0;</v>
      </c>
    </row>
    <row r="167" spans="1:19">
      <c r="A167" s="41"/>
      <c r="B167" s="41">
        <v>164</v>
      </c>
      <c r="C167" s="59"/>
      <c r="D167" s="62"/>
      <c r="E167" s="63"/>
      <c r="F167" s="63"/>
      <c r="G167" s="61">
        <f t="shared" si="10"/>
        <v>0</v>
      </c>
      <c r="H167" s="77"/>
      <c r="I167" s="72"/>
      <c r="J167" s="72"/>
      <c r="K167" s="62"/>
      <c r="L167" s="74"/>
      <c r="M167" s="83"/>
      <c r="N167" s="41"/>
      <c r="R167" s="43">
        <f t="shared" si="8"/>
        <v>0</v>
      </c>
      <c r="S167" s="43" t="str">
        <f t="shared" si="9"/>
        <v>0;</v>
      </c>
    </row>
    <row r="168" spans="1:19">
      <c r="A168" s="41"/>
      <c r="B168" s="41">
        <v>165</v>
      </c>
      <c r="C168" s="59"/>
      <c r="D168" s="62"/>
      <c r="E168" s="63"/>
      <c r="F168" s="63"/>
      <c r="G168" s="61">
        <f t="shared" si="10"/>
        <v>0</v>
      </c>
      <c r="H168" s="77"/>
      <c r="I168" s="72"/>
      <c r="J168" s="72"/>
      <c r="K168" s="62"/>
      <c r="L168" s="74"/>
      <c r="M168" s="83"/>
      <c r="N168" s="41"/>
      <c r="R168" s="43">
        <f t="shared" si="8"/>
        <v>0</v>
      </c>
      <c r="S168" s="43" t="str">
        <f t="shared" si="9"/>
        <v>0;</v>
      </c>
    </row>
    <row r="169" spans="1:19">
      <c r="A169" s="41"/>
      <c r="B169" s="41">
        <v>166</v>
      </c>
      <c r="C169" s="59"/>
      <c r="D169" s="62"/>
      <c r="E169" s="63"/>
      <c r="F169" s="63"/>
      <c r="G169" s="61">
        <f t="shared" si="10"/>
        <v>0</v>
      </c>
      <c r="H169" s="77"/>
      <c r="I169" s="72"/>
      <c r="J169" s="72"/>
      <c r="K169" s="62"/>
      <c r="L169" s="74"/>
      <c r="M169" s="83"/>
      <c r="N169" s="41"/>
      <c r="R169" s="43">
        <f t="shared" si="8"/>
        <v>0</v>
      </c>
      <c r="S169" s="43" t="str">
        <f t="shared" si="9"/>
        <v>0;</v>
      </c>
    </row>
    <row r="170" spans="1:19">
      <c r="A170" s="41"/>
      <c r="B170" s="41">
        <v>167</v>
      </c>
      <c r="C170" s="59"/>
      <c r="D170" s="62"/>
      <c r="E170" s="63"/>
      <c r="F170" s="63"/>
      <c r="G170" s="61">
        <f t="shared" si="10"/>
        <v>0</v>
      </c>
      <c r="H170" s="77"/>
      <c r="I170" s="72"/>
      <c r="J170" s="72"/>
      <c r="K170" s="62"/>
      <c r="L170" s="74"/>
      <c r="M170" s="83"/>
      <c r="N170" s="41"/>
      <c r="R170" s="43">
        <f t="shared" si="8"/>
        <v>0</v>
      </c>
      <c r="S170" s="43" t="str">
        <f t="shared" si="9"/>
        <v>0;</v>
      </c>
    </row>
    <row r="171" spans="1:19">
      <c r="A171" s="41"/>
      <c r="B171" s="41">
        <v>168</v>
      </c>
      <c r="C171" s="59"/>
      <c r="D171" s="62"/>
      <c r="E171" s="63"/>
      <c r="F171" s="63"/>
      <c r="G171" s="61">
        <f t="shared" si="10"/>
        <v>0</v>
      </c>
      <c r="H171" s="77"/>
      <c r="I171" s="72"/>
      <c r="J171" s="72"/>
      <c r="K171" s="62"/>
      <c r="L171" s="74"/>
      <c r="M171" s="83"/>
      <c r="N171" s="41"/>
      <c r="R171" s="43">
        <f t="shared" si="8"/>
        <v>0</v>
      </c>
      <c r="S171" s="43" t="str">
        <f t="shared" si="9"/>
        <v>0;</v>
      </c>
    </row>
    <row r="172" spans="1:19">
      <c r="A172" s="41"/>
      <c r="B172" s="41">
        <v>169</v>
      </c>
      <c r="C172" s="59"/>
      <c r="D172" s="62"/>
      <c r="E172" s="63"/>
      <c r="F172" s="63"/>
      <c r="G172" s="61">
        <f t="shared" si="10"/>
        <v>0</v>
      </c>
      <c r="H172" s="77"/>
      <c r="I172" s="72"/>
      <c r="J172" s="72"/>
      <c r="K172" s="62"/>
      <c r="L172" s="74"/>
      <c r="M172" s="83"/>
      <c r="N172" s="41"/>
      <c r="R172" s="43">
        <f t="shared" si="8"/>
        <v>0</v>
      </c>
      <c r="S172" s="43" t="str">
        <f t="shared" si="9"/>
        <v>0;</v>
      </c>
    </row>
    <row r="173" spans="1:19">
      <c r="A173" s="41"/>
      <c r="B173" s="41">
        <v>170</v>
      </c>
      <c r="C173" s="59"/>
      <c r="D173" s="62"/>
      <c r="E173" s="63"/>
      <c r="F173" s="63"/>
      <c r="G173" s="61">
        <f t="shared" si="10"/>
        <v>0</v>
      </c>
      <c r="H173" s="77"/>
      <c r="I173" s="72"/>
      <c r="J173" s="72"/>
      <c r="K173" s="62"/>
      <c r="L173" s="74"/>
      <c r="M173" s="83"/>
      <c r="N173" s="41"/>
      <c r="R173" s="43">
        <f t="shared" si="8"/>
        <v>0</v>
      </c>
      <c r="S173" s="43" t="str">
        <f t="shared" si="9"/>
        <v>0;</v>
      </c>
    </row>
    <row r="174" spans="1:19">
      <c r="A174" s="41"/>
      <c r="B174" s="41">
        <v>171</v>
      </c>
      <c r="C174" s="59"/>
      <c r="D174" s="62"/>
      <c r="E174" s="63"/>
      <c r="F174" s="63"/>
      <c r="G174" s="61">
        <f t="shared" si="10"/>
        <v>0</v>
      </c>
      <c r="H174" s="77"/>
      <c r="I174" s="72"/>
      <c r="J174" s="72"/>
      <c r="K174" s="62"/>
      <c r="L174" s="74"/>
      <c r="M174" s="83"/>
      <c r="N174" s="41"/>
      <c r="R174" s="43">
        <f t="shared" si="8"/>
        <v>0</v>
      </c>
      <c r="S174" s="43" t="str">
        <f t="shared" si="9"/>
        <v>0;</v>
      </c>
    </row>
    <row r="175" spans="1:19">
      <c r="A175" s="41"/>
      <c r="B175" s="41">
        <v>172</v>
      </c>
      <c r="C175" s="59"/>
      <c r="D175" s="62"/>
      <c r="E175" s="63"/>
      <c r="F175" s="63"/>
      <c r="G175" s="61">
        <f t="shared" si="10"/>
        <v>0</v>
      </c>
      <c r="H175" s="77"/>
      <c r="I175" s="72"/>
      <c r="J175" s="72"/>
      <c r="K175" s="62"/>
      <c r="L175" s="74"/>
      <c r="M175" s="83"/>
      <c r="N175" s="41"/>
      <c r="R175" s="43">
        <f t="shared" si="8"/>
        <v>0</v>
      </c>
      <c r="S175" s="43" t="str">
        <f t="shared" si="9"/>
        <v>0;</v>
      </c>
    </row>
    <row r="176" spans="1:19">
      <c r="A176" s="41"/>
      <c r="B176" s="41">
        <v>173</v>
      </c>
      <c r="C176" s="59"/>
      <c r="D176" s="62"/>
      <c r="E176" s="63"/>
      <c r="F176" s="63"/>
      <c r="G176" s="61">
        <f t="shared" si="10"/>
        <v>0</v>
      </c>
      <c r="H176" s="77"/>
      <c r="I176" s="72"/>
      <c r="J176" s="72"/>
      <c r="K176" s="62"/>
      <c r="L176" s="74"/>
      <c r="M176" s="83"/>
      <c r="N176" s="41"/>
      <c r="R176" s="43">
        <f t="shared" si="8"/>
        <v>0</v>
      </c>
      <c r="S176" s="43" t="str">
        <f t="shared" si="9"/>
        <v>0;</v>
      </c>
    </row>
    <row r="177" spans="1:19">
      <c r="A177" s="41"/>
      <c r="B177" s="41">
        <v>174</v>
      </c>
      <c r="C177" s="59"/>
      <c r="D177" s="62"/>
      <c r="E177" s="63"/>
      <c r="F177" s="63"/>
      <c r="G177" s="61">
        <f t="shared" si="10"/>
        <v>0</v>
      </c>
      <c r="H177" s="77"/>
      <c r="I177" s="72"/>
      <c r="J177" s="72"/>
      <c r="K177" s="62"/>
      <c r="L177" s="74"/>
      <c r="M177" s="83"/>
      <c r="N177" s="41"/>
      <c r="R177" s="43">
        <f t="shared" si="8"/>
        <v>0</v>
      </c>
      <c r="S177" s="43" t="str">
        <f t="shared" si="9"/>
        <v>0;</v>
      </c>
    </row>
    <row r="178" spans="1:19">
      <c r="A178" s="41"/>
      <c r="B178" s="41">
        <v>175</v>
      </c>
      <c r="C178" s="59"/>
      <c r="D178" s="62"/>
      <c r="E178" s="63"/>
      <c r="F178" s="63"/>
      <c r="G178" s="61">
        <f t="shared" si="10"/>
        <v>0</v>
      </c>
      <c r="H178" s="77"/>
      <c r="I178" s="72"/>
      <c r="J178" s="72"/>
      <c r="K178" s="62"/>
      <c r="L178" s="74"/>
      <c r="M178" s="83"/>
      <c r="N178" s="41"/>
      <c r="R178" s="43">
        <f t="shared" si="8"/>
        <v>0</v>
      </c>
      <c r="S178" s="43" t="str">
        <f t="shared" si="9"/>
        <v>0;</v>
      </c>
    </row>
    <row r="179" spans="1:19">
      <c r="A179" s="41"/>
      <c r="B179" s="41">
        <v>176</v>
      </c>
      <c r="C179" s="59"/>
      <c r="D179" s="62"/>
      <c r="E179" s="63"/>
      <c r="F179" s="63"/>
      <c r="G179" s="61">
        <f t="shared" si="10"/>
        <v>0</v>
      </c>
      <c r="H179" s="77"/>
      <c r="I179" s="72"/>
      <c r="J179" s="72"/>
      <c r="K179" s="62"/>
      <c r="L179" s="74"/>
      <c r="M179" s="83"/>
      <c r="N179" s="41"/>
      <c r="R179" s="43">
        <f t="shared" si="8"/>
        <v>0</v>
      </c>
      <c r="S179" s="43" t="str">
        <f t="shared" si="9"/>
        <v>0;</v>
      </c>
    </row>
    <row r="180" spans="1:19">
      <c r="A180" s="41"/>
      <c r="B180" s="41">
        <v>177</v>
      </c>
      <c r="C180" s="59"/>
      <c r="D180" s="62"/>
      <c r="E180" s="63"/>
      <c r="F180" s="63"/>
      <c r="G180" s="61">
        <f t="shared" si="10"/>
        <v>0</v>
      </c>
      <c r="H180" s="77"/>
      <c r="I180" s="72"/>
      <c r="J180" s="72"/>
      <c r="K180" s="62"/>
      <c r="L180" s="74"/>
      <c r="M180" s="83"/>
      <c r="N180" s="41"/>
      <c r="R180" s="43">
        <f t="shared" si="8"/>
        <v>0</v>
      </c>
      <c r="S180" s="43" t="str">
        <f t="shared" si="9"/>
        <v>0;</v>
      </c>
    </row>
    <row r="181" spans="1:19">
      <c r="A181" s="41"/>
      <c r="B181" s="41">
        <v>178</v>
      </c>
      <c r="C181" s="59"/>
      <c r="D181" s="62"/>
      <c r="E181" s="63"/>
      <c r="F181" s="63"/>
      <c r="G181" s="61">
        <f t="shared" si="10"/>
        <v>0</v>
      </c>
      <c r="H181" s="77"/>
      <c r="I181" s="72"/>
      <c r="J181" s="72"/>
      <c r="K181" s="62"/>
      <c r="L181" s="74"/>
      <c r="M181" s="83"/>
      <c r="N181" s="41"/>
      <c r="R181" s="43">
        <f t="shared" si="8"/>
        <v>0</v>
      </c>
      <c r="S181" s="43" t="str">
        <f t="shared" si="9"/>
        <v>0;</v>
      </c>
    </row>
    <row r="182" spans="1:19">
      <c r="A182" s="41"/>
      <c r="B182" s="41">
        <v>179</v>
      </c>
      <c r="C182" s="59"/>
      <c r="D182" s="62"/>
      <c r="E182" s="63"/>
      <c r="F182" s="63"/>
      <c r="G182" s="61">
        <f t="shared" si="10"/>
        <v>0</v>
      </c>
      <c r="H182" s="77"/>
      <c r="I182" s="72"/>
      <c r="J182" s="72"/>
      <c r="K182" s="62"/>
      <c r="L182" s="74"/>
      <c r="M182" s="83"/>
      <c r="N182" s="41"/>
      <c r="R182" s="43">
        <f t="shared" si="8"/>
        <v>0</v>
      </c>
      <c r="S182" s="43" t="str">
        <f t="shared" si="9"/>
        <v>0;</v>
      </c>
    </row>
    <row r="183" spans="1:19">
      <c r="A183" s="41"/>
      <c r="B183" s="41">
        <v>180</v>
      </c>
      <c r="C183" s="59"/>
      <c r="D183" s="62"/>
      <c r="E183" s="63"/>
      <c r="F183" s="63"/>
      <c r="G183" s="61">
        <f t="shared" si="10"/>
        <v>0</v>
      </c>
      <c r="H183" s="77"/>
      <c r="I183" s="72"/>
      <c r="J183" s="72"/>
      <c r="K183" s="62"/>
      <c r="L183" s="74"/>
      <c r="M183" s="83"/>
      <c r="N183" s="41"/>
      <c r="R183" s="43">
        <f t="shared" si="8"/>
        <v>0</v>
      </c>
      <c r="S183" s="43" t="str">
        <f t="shared" si="9"/>
        <v>0;</v>
      </c>
    </row>
    <row r="184" spans="1:19">
      <c r="A184" s="41"/>
      <c r="B184" s="41">
        <v>181</v>
      </c>
      <c r="C184" s="59"/>
      <c r="D184" s="62"/>
      <c r="E184" s="63"/>
      <c r="F184" s="63"/>
      <c r="G184" s="61">
        <f t="shared" si="10"/>
        <v>0</v>
      </c>
      <c r="H184" s="77"/>
      <c r="I184" s="72"/>
      <c r="J184" s="72"/>
      <c r="K184" s="62"/>
      <c r="L184" s="74"/>
      <c r="M184" s="83"/>
      <c r="N184" s="41"/>
      <c r="R184" s="43">
        <f t="shared" si="8"/>
        <v>0</v>
      </c>
      <c r="S184" s="43" t="str">
        <f t="shared" si="9"/>
        <v>0;</v>
      </c>
    </row>
    <row r="185" spans="1:19">
      <c r="A185" s="41"/>
      <c r="B185" s="41">
        <v>182</v>
      </c>
      <c r="C185" s="59"/>
      <c r="D185" s="62"/>
      <c r="E185" s="63"/>
      <c r="F185" s="63"/>
      <c r="G185" s="61">
        <f t="shared" si="10"/>
        <v>0</v>
      </c>
      <c r="H185" s="77"/>
      <c r="I185" s="72"/>
      <c r="J185" s="72"/>
      <c r="K185" s="62"/>
      <c r="L185" s="74"/>
      <c r="M185" s="83"/>
      <c r="N185" s="41"/>
      <c r="R185" s="43">
        <f t="shared" si="8"/>
        <v>0</v>
      </c>
      <c r="S185" s="43" t="str">
        <f t="shared" si="9"/>
        <v>0;</v>
      </c>
    </row>
    <row r="186" spans="1:19">
      <c r="A186" s="41"/>
      <c r="B186" s="41">
        <v>183</v>
      </c>
      <c r="C186" s="59"/>
      <c r="D186" s="62"/>
      <c r="E186" s="63"/>
      <c r="F186" s="63"/>
      <c r="G186" s="61">
        <f t="shared" si="10"/>
        <v>0</v>
      </c>
      <c r="H186" s="77"/>
      <c r="I186" s="72"/>
      <c r="J186" s="72"/>
      <c r="K186" s="62"/>
      <c r="L186" s="74"/>
      <c r="M186" s="83"/>
      <c r="N186" s="41"/>
      <c r="R186" s="43">
        <f t="shared" si="8"/>
        <v>0</v>
      </c>
      <c r="S186" s="43" t="str">
        <f t="shared" si="9"/>
        <v>0;</v>
      </c>
    </row>
    <row r="187" spans="1:19">
      <c r="A187" s="41"/>
      <c r="B187" s="41">
        <v>184</v>
      </c>
      <c r="C187" s="59"/>
      <c r="D187" s="62"/>
      <c r="E187" s="63"/>
      <c r="F187" s="63"/>
      <c r="G187" s="61">
        <f t="shared" si="10"/>
        <v>0</v>
      </c>
      <c r="H187" s="77"/>
      <c r="I187" s="72"/>
      <c r="J187" s="72"/>
      <c r="K187" s="62"/>
      <c r="L187" s="74"/>
      <c r="M187" s="83"/>
      <c r="N187" s="41"/>
      <c r="R187" s="43">
        <f t="shared" si="8"/>
        <v>0</v>
      </c>
      <c r="S187" s="43" t="str">
        <f t="shared" si="9"/>
        <v>0;</v>
      </c>
    </row>
    <row r="188" spans="1:19">
      <c r="A188" s="41"/>
      <c r="B188" s="41">
        <v>185</v>
      </c>
      <c r="C188" s="59"/>
      <c r="D188" s="62"/>
      <c r="E188" s="63"/>
      <c r="F188" s="63"/>
      <c r="G188" s="61">
        <f t="shared" si="10"/>
        <v>0</v>
      </c>
      <c r="H188" s="77"/>
      <c r="I188" s="72"/>
      <c r="J188" s="72"/>
      <c r="K188" s="62"/>
      <c r="L188" s="74"/>
      <c r="M188" s="83"/>
      <c r="N188" s="41"/>
      <c r="R188" s="43">
        <f t="shared" si="8"/>
        <v>0</v>
      </c>
      <c r="S188" s="43" t="str">
        <f t="shared" si="9"/>
        <v>0;</v>
      </c>
    </row>
    <row r="189" spans="1:19">
      <c r="A189" s="41"/>
      <c r="B189" s="41">
        <v>186</v>
      </c>
      <c r="C189" s="59"/>
      <c r="D189" s="62"/>
      <c r="E189" s="63"/>
      <c r="F189" s="63"/>
      <c r="G189" s="61">
        <f t="shared" si="10"/>
        <v>0</v>
      </c>
      <c r="H189" s="77"/>
      <c r="I189" s="72"/>
      <c r="J189" s="72"/>
      <c r="K189" s="62"/>
      <c r="L189" s="74"/>
      <c r="M189" s="83"/>
      <c r="N189" s="41"/>
      <c r="R189" s="43">
        <f t="shared" si="8"/>
        <v>0</v>
      </c>
      <c r="S189" s="43" t="str">
        <f t="shared" si="9"/>
        <v>0;</v>
      </c>
    </row>
    <row r="190" spans="1:19">
      <c r="A190" s="41"/>
      <c r="B190" s="41">
        <v>187</v>
      </c>
      <c r="C190" s="59"/>
      <c r="D190" s="62"/>
      <c r="E190" s="63"/>
      <c r="F190" s="63"/>
      <c r="G190" s="61">
        <f t="shared" si="10"/>
        <v>0</v>
      </c>
      <c r="H190" s="77"/>
      <c r="I190" s="72"/>
      <c r="J190" s="72"/>
      <c r="K190" s="62"/>
      <c r="L190" s="74"/>
      <c r="M190" s="83"/>
      <c r="N190" s="41"/>
      <c r="R190" s="43">
        <f t="shared" si="8"/>
        <v>0</v>
      </c>
      <c r="S190" s="43" t="str">
        <f t="shared" si="9"/>
        <v>0;</v>
      </c>
    </row>
    <row r="191" spans="1:19">
      <c r="A191" s="41"/>
      <c r="B191" s="41">
        <v>188</v>
      </c>
      <c r="C191" s="59"/>
      <c r="D191" s="62"/>
      <c r="E191" s="63"/>
      <c r="F191" s="63"/>
      <c r="G191" s="61">
        <f t="shared" si="10"/>
        <v>0</v>
      </c>
      <c r="H191" s="77"/>
      <c r="I191" s="72"/>
      <c r="J191" s="72"/>
      <c r="K191" s="62"/>
      <c r="L191" s="74"/>
      <c r="M191" s="83"/>
      <c r="N191" s="41"/>
      <c r="R191" s="43">
        <f t="shared" si="8"/>
        <v>0</v>
      </c>
      <c r="S191" s="43" t="str">
        <f t="shared" si="9"/>
        <v>0;</v>
      </c>
    </row>
    <row r="192" spans="1:19">
      <c r="A192" s="41"/>
      <c r="B192" s="41">
        <v>189</v>
      </c>
      <c r="C192" s="59"/>
      <c r="D192" s="62"/>
      <c r="E192" s="63"/>
      <c r="F192" s="63"/>
      <c r="G192" s="61">
        <f t="shared" si="10"/>
        <v>0</v>
      </c>
      <c r="H192" s="77"/>
      <c r="I192" s="72"/>
      <c r="J192" s="72"/>
      <c r="K192" s="62"/>
      <c r="L192" s="74"/>
      <c r="M192" s="83"/>
      <c r="N192" s="41"/>
      <c r="R192" s="43">
        <f t="shared" si="8"/>
        <v>0</v>
      </c>
      <c r="S192" s="43" t="str">
        <f t="shared" si="9"/>
        <v>0;</v>
      </c>
    </row>
    <row r="193" spans="1:19">
      <c r="A193" s="41"/>
      <c r="B193" s="41">
        <v>190</v>
      </c>
      <c r="C193" s="59"/>
      <c r="D193" s="62"/>
      <c r="E193" s="63"/>
      <c r="F193" s="63"/>
      <c r="G193" s="61">
        <f t="shared" si="10"/>
        <v>0</v>
      </c>
      <c r="H193" s="77"/>
      <c r="I193" s="72"/>
      <c r="J193" s="72"/>
      <c r="K193" s="62"/>
      <c r="L193" s="74"/>
      <c r="M193" s="83"/>
      <c r="N193" s="41"/>
      <c r="R193" s="43">
        <f t="shared" si="8"/>
        <v>0</v>
      </c>
      <c r="S193" s="43" t="str">
        <f t="shared" si="9"/>
        <v>0;</v>
      </c>
    </row>
    <row r="194" spans="1:19">
      <c r="A194" s="41"/>
      <c r="B194" s="41">
        <v>191</v>
      </c>
      <c r="C194" s="59"/>
      <c r="D194" s="62"/>
      <c r="E194" s="63"/>
      <c r="F194" s="63"/>
      <c r="G194" s="61">
        <f t="shared" si="10"/>
        <v>0</v>
      </c>
      <c r="H194" s="77"/>
      <c r="I194" s="72"/>
      <c r="J194" s="72"/>
      <c r="K194" s="62"/>
      <c r="L194" s="74"/>
      <c r="M194" s="83"/>
      <c r="N194" s="41"/>
      <c r="R194" s="43">
        <f t="shared" si="8"/>
        <v>0</v>
      </c>
      <c r="S194" s="43" t="str">
        <f t="shared" si="9"/>
        <v>0;</v>
      </c>
    </row>
    <row r="195" spans="1:19">
      <c r="A195" s="41"/>
      <c r="B195" s="41">
        <v>192</v>
      </c>
      <c r="C195" s="59"/>
      <c r="D195" s="62"/>
      <c r="E195" s="63"/>
      <c r="F195" s="63"/>
      <c r="G195" s="61">
        <f t="shared" si="10"/>
        <v>0</v>
      </c>
      <c r="H195" s="77"/>
      <c r="I195" s="72"/>
      <c r="J195" s="72"/>
      <c r="K195" s="62"/>
      <c r="L195" s="74"/>
      <c r="M195" s="83"/>
      <c r="N195" s="41"/>
      <c r="R195" s="43">
        <f t="shared" si="8"/>
        <v>0</v>
      </c>
      <c r="S195" s="43" t="str">
        <f t="shared" si="9"/>
        <v>0;</v>
      </c>
    </row>
    <row r="196" spans="1:19">
      <c r="A196" s="41"/>
      <c r="B196" s="41">
        <v>193</v>
      </c>
      <c r="C196" s="59"/>
      <c r="D196" s="62"/>
      <c r="E196" s="63"/>
      <c r="F196" s="63"/>
      <c r="G196" s="61">
        <f t="shared" si="10"/>
        <v>0</v>
      </c>
      <c r="H196" s="77"/>
      <c r="I196" s="72"/>
      <c r="J196" s="72"/>
      <c r="K196" s="62"/>
      <c r="L196" s="74"/>
      <c r="M196" s="83"/>
      <c r="N196" s="41"/>
      <c r="R196" s="43">
        <f t="shared" si="8"/>
        <v>0</v>
      </c>
      <c r="S196" s="43" t="str">
        <f t="shared" si="9"/>
        <v>0;</v>
      </c>
    </row>
    <row r="197" spans="1:19">
      <c r="A197" s="41"/>
      <c r="B197" s="41">
        <v>194</v>
      </c>
      <c r="C197" s="59"/>
      <c r="D197" s="62"/>
      <c r="E197" s="63"/>
      <c r="F197" s="63"/>
      <c r="G197" s="61">
        <f t="shared" si="10"/>
        <v>0</v>
      </c>
      <c r="H197" s="77"/>
      <c r="I197" s="72"/>
      <c r="J197" s="72"/>
      <c r="K197" s="62"/>
      <c r="L197" s="74"/>
      <c r="M197" s="83"/>
      <c r="N197" s="41"/>
      <c r="R197" s="43">
        <f t="shared" ref="R197:R201" si="11">H199</f>
        <v>0</v>
      </c>
      <c r="S197" s="43" t="str">
        <f t="shared" ref="S197:S201" si="12">CONCATENATE(R197,$R$3)</f>
        <v>0;</v>
      </c>
    </row>
    <row r="198" spans="1:19">
      <c r="A198" s="41"/>
      <c r="B198" s="41">
        <v>195</v>
      </c>
      <c r="C198" s="59"/>
      <c r="D198" s="62"/>
      <c r="E198" s="63"/>
      <c r="F198" s="63"/>
      <c r="G198" s="61">
        <f t="shared" si="10"/>
        <v>0</v>
      </c>
      <c r="H198" s="77"/>
      <c r="I198" s="72"/>
      <c r="J198" s="72"/>
      <c r="K198" s="62"/>
      <c r="L198" s="74"/>
      <c r="M198" s="83"/>
      <c r="N198" s="41"/>
      <c r="R198" s="43">
        <f t="shared" si="11"/>
        <v>0</v>
      </c>
      <c r="S198" s="43" t="str">
        <f t="shared" si="12"/>
        <v>0;</v>
      </c>
    </row>
    <row r="199" spans="1:19">
      <c r="A199" s="41"/>
      <c r="B199" s="41">
        <v>196</v>
      </c>
      <c r="C199" s="59"/>
      <c r="D199" s="62"/>
      <c r="E199" s="63"/>
      <c r="F199" s="63"/>
      <c r="G199" s="61">
        <f t="shared" ref="G199:G201" si="13">IF(D199="Da inicio la Ventana de Tiempo","",IF(D199="Dan Fin las Actividades del Plan","",IF(D199="Termina Ventana de Tiempo","",F199-E199)))</f>
        <v>0</v>
      </c>
      <c r="H199" s="77"/>
      <c r="I199" s="72"/>
      <c r="J199" s="72"/>
      <c r="K199" s="62"/>
      <c r="L199" s="74"/>
      <c r="M199" s="83"/>
      <c r="N199" s="41"/>
      <c r="R199" s="43">
        <f t="shared" si="11"/>
        <v>0</v>
      </c>
      <c r="S199" s="43" t="str">
        <f t="shared" si="12"/>
        <v>0;</v>
      </c>
    </row>
    <row r="200" spans="1:19">
      <c r="A200" s="41"/>
      <c r="B200" s="41">
        <v>197</v>
      </c>
      <c r="C200" s="59"/>
      <c r="D200" s="62"/>
      <c r="E200" s="63"/>
      <c r="F200" s="63"/>
      <c r="G200" s="61">
        <f t="shared" si="13"/>
        <v>0</v>
      </c>
      <c r="H200" s="77"/>
      <c r="I200" s="72"/>
      <c r="J200" s="72"/>
      <c r="K200" s="62"/>
      <c r="L200" s="74"/>
      <c r="M200" s="83"/>
      <c r="N200" s="41"/>
      <c r="R200" s="43">
        <f t="shared" si="11"/>
        <v>0</v>
      </c>
      <c r="S200" s="43" t="str">
        <f t="shared" si="12"/>
        <v>0;</v>
      </c>
    </row>
    <row r="201" spans="1:19">
      <c r="A201" s="41"/>
      <c r="B201" s="41">
        <v>198</v>
      </c>
      <c r="C201" s="59"/>
      <c r="D201" s="62"/>
      <c r="E201" s="63"/>
      <c r="F201" s="63"/>
      <c r="G201" s="61">
        <f t="shared" si="13"/>
        <v>0</v>
      </c>
      <c r="H201" s="77"/>
      <c r="I201" s="72"/>
      <c r="J201" s="72"/>
      <c r="K201" s="62"/>
      <c r="L201" s="74"/>
      <c r="M201" s="83"/>
      <c r="N201" s="41"/>
      <c r="R201" s="43">
        <f t="shared" si="11"/>
        <v>0</v>
      </c>
      <c r="S201" s="43" t="str">
        <f t="shared" si="12"/>
        <v>0;</v>
      </c>
    </row>
    <row r="202" spans="1:19">
      <c r="A202" s="41"/>
      <c r="B202" s="41"/>
      <c r="C202" s="64" t="s">
        <v>57</v>
      </c>
      <c r="D202" s="57" t="s">
        <v>61</v>
      </c>
      <c r="E202" s="65"/>
      <c r="F202" s="65"/>
      <c r="G202" s="66"/>
      <c r="H202" s="84"/>
      <c r="I202" s="85"/>
      <c r="J202" s="85"/>
      <c r="K202" s="86"/>
      <c r="L202" s="87"/>
      <c r="M202" s="83"/>
      <c r="N202" s="41"/>
    </row>
    <row r="203" spans="1:19">
      <c r="C203" s="67" t="s">
        <v>59</v>
      </c>
      <c r="D203" s="57" t="s">
        <v>66</v>
      </c>
      <c r="E203" s="88"/>
      <c r="F203" s="88"/>
      <c r="G203" s="88"/>
      <c r="H203" s="88"/>
      <c r="I203" s="88"/>
      <c r="J203" s="88"/>
      <c r="K203" s="88"/>
      <c r="L203" s="88"/>
      <c r="M203" s="88"/>
    </row>
    <row r="204" spans="1:19">
      <c r="C204" s="67" t="s">
        <v>58</v>
      </c>
      <c r="D204" s="57" t="s">
        <v>67</v>
      </c>
      <c r="E204" s="88"/>
      <c r="F204" s="88"/>
      <c r="G204" s="88"/>
      <c r="H204" s="88"/>
      <c r="I204" s="88"/>
      <c r="J204" s="88"/>
      <c r="K204" s="88"/>
      <c r="L204" s="88"/>
      <c r="M204" s="88"/>
    </row>
    <row r="205" spans="1:19">
      <c r="C205" s="88"/>
      <c r="D205" s="88"/>
      <c r="E205" s="88"/>
      <c r="F205" s="88"/>
      <c r="G205" s="88"/>
      <c r="H205" s="88"/>
      <c r="I205" s="88"/>
      <c r="J205" s="88"/>
      <c r="K205" s="88"/>
      <c r="L205" s="88"/>
      <c r="M205" s="88"/>
    </row>
    <row r="206" spans="1:19">
      <c r="C206" s="88"/>
      <c r="D206" s="88"/>
      <c r="E206" s="88"/>
      <c r="F206" s="88"/>
      <c r="G206" s="88"/>
      <c r="H206" s="88"/>
      <c r="I206" s="88"/>
      <c r="J206" s="88"/>
      <c r="K206" s="88"/>
      <c r="L206" s="88"/>
      <c r="M206" s="88"/>
    </row>
    <row r="207" spans="1:19">
      <c r="C207" s="88"/>
      <c r="D207" s="88"/>
      <c r="E207" s="88"/>
      <c r="F207" s="88"/>
      <c r="G207" s="88"/>
      <c r="H207" s="88"/>
      <c r="I207" s="88"/>
      <c r="J207" s="88"/>
      <c r="K207" s="88"/>
      <c r="L207" s="88"/>
      <c r="M207" s="88"/>
    </row>
    <row r="208" spans="1:19">
      <c r="C208" s="88"/>
      <c r="D208" s="88"/>
      <c r="E208" s="88"/>
      <c r="F208" s="88"/>
      <c r="G208" s="88"/>
      <c r="H208" s="88"/>
      <c r="I208" s="88"/>
      <c r="J208" s="88"/>
      <c r="K208" s="88"/>
      <c r="L208" s="88"/>
      <c r="M208" s="88"/>
    </row>
    <row r="209" spans="3:13">
      <c r="C209" s="88"/>
      <c r="D209" s="88"/>
      <c r="E209" s="88"/>
      <c r="F209" s="88"/>
      <c r="G209" s="88"/>
      <c r="H209" s="88"/>
      <c r="I209" s="88"/>
      <c r="J209" s="88"/>
      <c r="K209" s="88"/>
      <c r="L209" s="88"/>
      <c r="M209" s="88"/>
    </row>
    <row r="210" spans="3:13">
      <c r="C210" s="88"/>
      <c r="D210" s="88"/>
      <c r="E210" s="88"/>
      <c r="F210" s="88"/>
      <c r="G210" s="88"/>
      <c r="H210" s="88"/>
      <c r="I210" s="88"/>
      <c r="J210" s="88"/>
      <c r="K210" s="88"/>
      <c r="L210" s="88"/>
      <c r="M210" s="88"/>
    </row>
    <row r="211" spans="3:13">
      <c r="C211" s="88"/>
      <c r="D211" s="88"/>
      <c r="E211" s="88"/>
      <c r="F211" s="88"/>
      <c r="G211" s="88"/>
      <c r="H211" s="88"/>
      <c r="I211" s="88"/>
      <c r="J211" s="88"/>
      <c r="K211" s="88"/>
      <c r="L211" s="88"/>
      <c r="M211" s="88"/>
    </row>
    <row r="212" spans="3:13">
      <c r="C212" s="88"/>
      <c r="D212" s="88"/>
      <c r="E212" s="88"/>
      <c r="F212" s="88"/>
      <c r="G212" s="88"/>
      <c r="H212" s="88"/>
      <c r="I212" s="88"/>
      <c r="J212" s="88"/>
      <c r="K212" s="88"/>
      <c r="L212" s="88"/>
      <c r="M212" s="88"/>
    </row>
    <row r="213" spans="3:13">
      <c r="C213" s="88"/>
      <c r="D213" s="88"/>
      <c r="E213" s="88"/>
      <c r="F213" s="88"/>
      <c r="G213" s="88"/>
      <c r="H213" s="88"/>
      <c r="I213" s="88"/>
      <c r="J213" s="88"/>
      <c r="K213" s="88"/>
      <c r="L213" s="88"/>
      <c r="M213" s="88"/>
    </row>
    <row r="214" spans="3:13">
      <c r="C214" s="88"/>
      <c r="D214" s="88"/>
      <c r="E214" s="88"/>
      <c r="F214" s="88"/>
      <c r="G214" s="88"/>
      <c r="H214" s="88"/>
      <c r="I214" s="88"/>
      <c r="J214" s="88"/>
      <c r="K214" s="88"/>
      <c r="L214" s="88"/>
      <c r="M214" s="88"/>
    </row>
    <row r="215" spans="3:13">
      <c r="C215" s="88"/>
      <c r="D215" s="88"/>
      <c r="E215" s="88"/>
      <c r="F215" s="88"/>
      <c r="G215" s="88"/>
      <c r="H215" s="88"/>
      <c r="I215" s="88"/>
      <c r="J215" s="88"/>
      <c r="K215" s="88"/>
      <c r="L215" s="88"/>
      <c r="M215" s="88"/>
    </row>
    <row r="216" spans="3:13">
      <c r="C216" s="88"/>
      <c r="D216" s="88"/>
      <c r="E216" s="88"/>
      <c r="F216" s="88"/>
      <c r="G216" s="88"/>
      <c r="H216" s="88"/>
      <c r="I216" s="88"/>
      <c r="J216" s="88"/>
      <c r="K216" s="88"/>
      <c r="L216" s="88"/>
      <c r="M216" s="88"/>
    </row>
    <row r="217" spans="3:13">
      <c r="C217" s="88"/>
      <c r="D217" s="88"/>
      <c r="E217" s="88"/>
      <c r="F217" s="88"/>
      <c r="G217" s="88"/>
      <c r="H217" s="88"/>
      <c r="I217" s="88"/>
      <c r="J217" s="88"/>
      <c r="K217" s="88"/>
      <c r="L217" s="88"/>
      <c r="M217" s="88"/>
    </row>
    <row r="218" spans="3:13">
      <c r="C218" s="88"/>
      <c r="D218" s="88"/>
      <c r="E218" s="88"/>
      <c r="F218" s="88"/>
      <c r="G218" s="88"/>
      <c r="H218" s="88"/>
      <c r="I218" s="88"/>
      <c r="J218" s="88"/>
      <c r="K218" s="88"/>
      <c r="L218" s="88"/>
      <c r="M218" s="88"/>
    </row>
    <row r="219" spans="3:13">
      <c r="C219" s="88"/>
      <c r="D219" s="88"/>
      <c r="E219" s="88"/>
      <c r="F219" s="88"/>
      <c r="G219" s="88"/>
      <c r="H219" s="88"/>
      <c r="I219" s="88"/>
      <c r="J219" s="88"/>
      <c r="K219" s="88"/>
      <c r="L219" s="88"/>
      <c r="M219" s="88"/>
    </row>
    <row r="220" spans="3:13">
      <c r="C220" s="88"/>
      <c r="D220" s="88"/>
      <c r="E220" s="88"/>
      <c r="F220" s="88"/>
      <c r="G220" s="88"/>
      <c r="H220" s="88"/>
      <c r="I220" s="88"/>
      <c r="J220" s="88"/>
      <c r="K220" s="88"/>
      <c r="L220" s="88"/>
      <c r="M220" s="88"/>
    </row>
    <row r="221" spans="3:13">
      <c r="C221" s="88"/>
      <c r="D221" s="88"/>
      <c r="E221" s="88"/>
      <c r="F221" s="88"/>
      <c r="G221" s="88"/>
      <c r="H221" s="88"/>
      <c r="I221" s="88"/>
      <c r="J221" s="88"/>
      <c r="K221" s="88"/>
      <c r="L221" s="88"/>
      <c r="M221" s="88"/>
    </row>
    <row r="222" spans="3:13">
      <c r="C222" s="88"/>
      <c r="D222" s="88"/>
      <c r="E222" s="88"/>
      <c r="F222" s="88"/>
      <c r="G222" s="88"/>
      <c r="H222" s="88"/>
      <c r="I222" s="88"/>
      <c r="J222" s="88"/>
      <c r="K222" s="88"/>
      <c r="L222" s="88"/>
      <c r="M222" s="88"/>
    </row>
    <row r="223" spans="3:13">
      <c r="C223" s="88"/>
      <c r="D223" s="88"/>
      <c r="E223" s="88"/>
      <c r="F223" s="88"/>
      <c r="G223" s="88"/>
      <c r="H223" s="88"/>
      <c r="I223" s="88"/>
      <c r="J223" s="88"/>
      <c r="K223" s="88"/>
      <c r="L223" s="88"/>
      <c r="M223" s="88"/>
    </row>
    <row r="224" spans="3:13">
      <c r="C224" s="88"/>
      <c r="D224" s="88"/>
      <c r="E224" s="88"/>
      <c r="F224" s="88"/>
      <c r="G224" s="88"/>
      <c r="H224" s="88"/>
      <c r="I224" s="88"/>
      <c r="J224" s="88"/>
      <c r="K224" s="88"/>
      <c r="L224" s="88"/>
      <c r="M224" s="88"/>
    </row>
    <row r="225" spans="3:13">
      <c r="C225" s="88"/>
      <c r="D225" s="88"/>
      <c r="E225" s="88"/>
      <c r="F225" s="88"/>
      <c r="G225" s="88"/>
      <c r="H225" s="88"/>
      <c r="I225" s="88"/>
      <c r="J225" s="88"/>
      <c r="K225" s="88"/>
      <c r="L225" s="88"/>
      <c r="M225" s="88"/>
    </row>
    <row r="226" spans="3:13">
      <c r="C226" s="88"/>
      <c r="D226" s="88"/>
      <c r="E226" s="88"/>
      <c r="F226" s="88"/>
      <c r="G226" s="88"/>
      <c r="H226" s="88"/>
      <c r="I226" s="88"/>
      <c r="J226" s="88"/>
      <c r="K226" s="88"/>
      <c r="L226" s="88"/>
      <c r="M226" s="88"/>
    </row>
    <row r="227" spans="3:13">
      <c r="C227" s="88"/>
      <c r="D227" s="88"/>
      <c r="E227" s="88"/>
      <c r="F227" s="88"/>
      <c r="G227" s="88"/>
      <c r="H227" s="88"/>
      <c r="I227" s="88"/>
      <c r="J227" s="88"/>
      <c r="K227" s="88"/>
      <c r="L227" s="88"/>
      <c r="M227" s="88"/>
    </row>
    <row r="228" spans="3:13">
      <c r="C228" s="88"/>
      <c r="D228" s="88"/>
      <c r="E228" s="88"/>
      <c r="F228" s="88"/>
      <c r="G228" s="88"/>
      <c r="H228" s="88"/>
      <c r="I228" s="88"/>
      <c r="J228" s="88"/>
      <c r="K228" s="88"/>
      <c r="L228" s="88"/>
      <c r="M228" s="88"/>
    </row>
    <row r="229" spans="3:13">
      <c r="C229" s="88"/>
      <c r="D229" s="88"/>
      <c r="E229" s="88"/>
      <c r="F229" s="88"/>
      <c r="G229" s="88"/>
      <c r="H229" s="88"/>
      <c r="I229" s="88"/>
      <c r="J229" s="88"/>
      <c r="K229" s="88"/>
      <c r="L229" s="88"/>
      <c r="M229" s="88"/>
    </row>
    <row r="230" spans="3:13">
      <c r="C230" s="88"/>
      <c r="D230" s="88"/>
      <c r="E230" s="88"/>
      <c r="F230" s="88"/>
      <c r="G230" s="88"/>
      <c r="H230" s="88"/>
      <c r="I230" s="88"/>
      <c r="J230" s="88"/>
      <c r="K230" s="88"/>
      <c r="L230" s="88"/>
      <c r="M230" s="88"/>
    </row>
    <row r="231" spans="3:13">
      <c r="C231" s="88"/>
      <c r="D231" s="88"/>
      <c r="E231" s="88"/>
      <c r="F231" s="88"/>
      <c r="G231" s="88"/>
      <c r="H231" s="88"/>
      <c r="I231" s="88"/>
      <c r="J231" s="88"/>
      <c r="K231" s="88"/>
      <c r="L231" s="88"/>
      <c r="M231" s="88"/>
    </row>
    <row r="232" spans="3:13">
      <c r="C232" s="88"/>
      <c r="D232" s="88"/>
      <c r="E232" s="88"/>
      <c r="F232" s="88"/>
      <c r="G232" s="88"/>
      <c r="H232" s="88"/>
      <c r="I232" s="88"/>
      <c r="J232" s="88"/>
      <c r="K232" s="88"/>
      <c r="L232" s="88"/>
      <c r="M232" s="88"/>
    </row>
    <row r="233" spans="3:13">
      <c r="C233" s="88"/>
      <c r="D233" s="88"/>
      <c r="E233" s="88"/>
      <c r="F233" s="88"/>
      <c r="G233" s="88"/>
      <c r="H233" s="88"/>
      <c r="I233" s="88"/>
      <c r="J233" s="88"/>
      <c r="K233" s="88"/>
      <c r="L233" s="88"/>
      <c r="M233" s="88"/>
    </row>
    <row r="234" spans="3:13">
      <c r="C234" s="88"/>
      <c r="D234" s="88"/>
      <c r="E234" s="88"/>
      <c r="F234" s="88"/>
      <c r="G234" s="88"/>
      <c r="H234" s="88"/>
      <c r="I234" s="88"/>
      <c r="J234" s="88"/>
      <c r="K234" s="88"/>
      <c r="L234" s="88"/>
      <c r="M234" s="88"/>
    </row>
    <row r="235" spans="3:13">
      <c r="C235" s="88"/>
      <c r="D235" s="88"/>
      <c r="E235" s="88"/>
      <c r="F235" s="88"/>
      <c r="G235" s="88"/>
      <c r="H235" s="88"/>
      <c r="I235" s="88"/>
      <c r="J235" s="88"/>
      <c r="K235" s="88"/>
      <c r="L235" s="88"/>
      <c r="M235" s="88"/>
    </row>
    <row r="236" spans="3:13">
      <c r="C236" s="88"/>
      <c r="D236" s="88"/>
      <c r="E236" s="88"/>
      <c r="F236" s="88"/>
      <c r="G236" s="88"/>
      <c r="H236" s="88"/>
      <c r="I236" s="88"/>
      <c r="J236" s="88"/>
      <c r="K236" s="88"/>
      <c r="L236" s="88"/>
      <c r="M236" s="88"/>
    </row>
    <row r="237" spans="3:13">
      <c r="C237" s="88"/>
      <c r="D237" s="88"/>
      <c r="E237" s="88"/>
      <c r="F237" s="88"/>
      <c r="G237" s="88"/>
      <c r="H237" s="88"/>
      <c r="I237" s="88"/>
      <c r="J237" s="88"/>
      <c r="K237" s="88"/>
      <c r="L237" s="88"/>
      <c r="M237" s="88"/>
    </row>
    <row r="238" spans="3:13">
      <c r="C238" s="88"/>
      <c r="D238" s="88"/>
      <c r="E238" s="88"/>
      <c r="F238" s="88"/>
      <c r="G238" s="88"/>
      <c r="H238" s="88"/>
      <c r="I238" s="88"/>
      <c r="J238" s="88"/>
      <c r="K238" s="88"/>
      <c r="L238" s="88"/>
      <c r="M238" s="88"/>
    </row>
    <row r="239" spans="3:13">
      <c r="C239" s="88"/>
      <c r="D239" s="88"/>
      <c r="E239" s="88"/>
      <c r="F239" s="88"/>
      <c r="G239" s="88"/>
      <c r="H239" s="88"/>
      <c r="I239" s="88"/>
      <c r="J239" s="88"/>
      <c r="K239" s="88"/>
      <c r="L239" s="88"/>
      <c r="M239" s="88"/>
    </row>
    <row r="240" spans="3:13">
      <c r="C240" s="88"/>
      <c r="D240" s="88"/>
      <c r="E240" s="88"/>
      <c r="F240" s="88"/>
      <c r="G240" s="88"/>
      <c r="H240" s="88"/>
      <c r="I240" s="88"/>
      <c r="J240" s="88"/>
      <c r="K240" s="88"/>
      <c r="L240" s="88"/>
      <c r="M240" s="88"/>
    </row>
    <row r="241" spans="3:13">
      <c r="C241" s="88"/>
      <c r="D241" s="88"/>
      <c r="E241" s="88"/>
      <c r="F241" s="88"/>
      <c r="G241" s="88"/>
      <c r="H241" s="88"/>
      <c r="I241" s="88"/>
      <c r="J241" s="88"/>
      <c r="K241" s="88"/>
      <c r="L241" s="88"/>
      <c r="M241" s="88"/>
    </row>
    <row r="242" spans="3:13">
      <c r="C242" s="88"/>
      <c r="D242" s="88"/>
      <c r="E242" s="88"/>
      <c r="F242" s="88"/>
      <c r="G242" s="88"/>
      <c r="H242" s="88"/>
      <c r="I242" s="88"/>
      <c r="J242" s="88"/>
      <c r="K242" s="88"/>
      <c r="L242" s="88"/>
      <c r="M242" s="88"/>
    </row>
    <row r="243" spans="3:13">
      <c r="C243" s="88"/>
      <c r="D243" s="88"/>
      <c r="E243" s="88"/>
      <c r="F243" s="88"/>
      <c r="G243" s="88"/>
      <c r="H243" s="88"/>
      <c r="I243" s="88"/>
      <c r="J243" s="88"/>
      <c r="K243" s="88"/>
      <c r="L243" s="88"/>
      <c r="M243" s="88"/>
    </row>
    <row r="244" spans="3:13">
      <c r="C244" s="88"/>
      <c r="D244" s="88"/>
      <c r="E244" s="88"/>
      <c r="F244" s="88"/>
      <c r="G244" s="88"/>
      <c r="H244" s="88"/>
      <c r="I244" s="88"/>
      <c r="J244" s="88"/>
      <c r="K244" s="88"/>
      <c r="L244" s="88"/>
      <c r="M244" s="88"/>
    </row>
    <row r="245" spans="3:13">
      <c r="C245" s="88"/>
      <c r="D245" s="88"/>
      <c r="E245" s="88"/>
      <c r="F245" s="88"/>
      <c r="G245" s="88"/>
      <c r="H245" s="88"/>
      <c r="I245" s="88"/>
      <c r="J245" s="88"/>
      <c r="K245" s="88"/>
      <c r="L245" s="88"/>
      <c r="M245" s="88"/>
    </row>
    <row r="246" spans="3:13">
      <c r="C246" s="88"/>
      <c r="D246" s="88"/>
      <c r="E246" s="88"/>
      <c r="F246" s="88"/>
      <c r="G246" s="88"/>
      <c r="H246" s="88"/>
      <c r="I246" s="88"/>
      <c r="J246" s="88"/>
      <c r="K246" s="88"/>
      <c r="L246" s="88"/>
      <c r="M246" s="88"/>
    </row>
    <row r="247" spans="3:13">
      <c r="C247" s="88"/>
      <c r="D247" s="88"/>
      <c r="E247" s="88"/>
      <c r="F247" s="88"/>
      <c r="G247" s="88"/>
      <c r="H247" s="88"/>
      <c r="I247" s="88"/>
      <c r="J247" s="88"/>
      <c r="K247" s="88"/>
      <c r="L247" s="88"/>
      <c r="M247" s="88"/>
    </row>
  </sheetData>
  <sheetProtection algorithmName="SHA-512" hashValue="epFHvf5MW3qmM/MBgS+qcJP1EVMUV/6Kp8QiGUkE+KKrlvT93qI2ocMLZo8KlbWLpwUXnb5ze417eQJWU3+L3Q==" saltValue="Tp5UyHH0ttjuGD336p69MA==" spinCount="100000" sheet="1" format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968" priority="1347">
      <formula>$A5="Inicio Liberación"</formula>
    </cfRule>
  </conditionalFormatting>
  <conditionalFormatting sqref="C5">
    <cfRule type="expression" dxfId="967" priority="1346">
      <formula>$A5="Fin Liberación"</formula>
    </cfRule>
  </conditionalFormatting>
  <conditionalFormatting sqref="L4">
    <cfRule type="expression" dxfId="966" priority="1344">
      <formula>$A4="Fin Liberación"</formula>
    </cfRule>
    <cfRule type="expression" dxfId="965" priority="1345">
      <formula>$A4="Inicio Liberación"</formula>
    </cfRule>
  </conditionalFormatting>
  <conditionalFormatting sqref="L4:L34">
    <cfRule type="cellIs" dxfId="964" priority="1341" operator="equal">
      <formula>"S"</formula>
    </cfRule>
  </conditionalFormatting>
  <conditionalFormatting sqref="L4:L34">
    <cfRule type="cellIs" dxfId="963" priority="1338" operator="equal">
      <formula>"N"</formula>
    </cfRule>
    <cfRule type="cellIs" dxfId="962" priority="1339" operator="equal">
      <formula>"P"</formula>
    </cfRule>
    <cfRule type="cellIs" dxfId="961" priority="1340" operator="equal">
      <formula>"T"</formula>
    </cfRule>
  </conditionalFormatting>
  <conditionalFormatting sqref="L5:L34">
    <cfRule type="expression" dxfId="960" priority="1336">
      <formula>$A5="Fin Liberación"</formula>
    </cfRule>
    <cfRule type="expression" dxfId="959" priority="1337">
      <formula>$A5="Inicio Liberación"</formula>
    </cfRule>
  </conditionalFormatting>
  <conditionalFormatting sqref="C4">
    <cfRule type="expression" dxfId="958" priority="1333">
      <formula>$A4="Inicio Liberación"</formula>
    </cfRule>
  </conditionalFormatting>
  <conditionalFormatting sqref="C4">
    <cfRule type="expression" dxfId="957" priority="1332">
      <formula>$A4="Fin Liberación"</formula>
    </cfRule>
  </conditionalFormatting>
  <conditionalFormatting sqref="G6:G202">
    <cfRule type="expression" dxfId="956" priority="1324">
      <formula>$A6="Fin Liberación"</formula>
    </cfRule>
    <cfRule type="expression" dxfId="955" priority="1325">
      <formula>$A6="Inicio Liberación"</formula>
    </cfRule>
  </conditionalFormatting>
  <conditionalFormatting sqref="F202">
    <cfRule type="expression" dxfId="954" priority="1320">
      <formula>$A202="Fin Liberación"</formula>
    </cfRule>
    <cfRule type="expression" dxfId="953" priority="1321">
      <formula>$A202="Inicio Liberación"</formula>
    </cfRule>
  </conditionalFormatting>
  <conditionalFormatting sqref="L35:L202">
    <cfRule type="cellIs" dxfId="952" priority="1319" operator="equal">
      <formula>"S"</formula>
    </cfRule>
  </conditionalFormatting>
  <conditionalFormatting sqref="L35:L202">
    <cfRule type="cellIs" dxfId="951" priority="1316" operator="equal">
      <formula>"N"</formula>
    </cfRule>
    <cfRule type="cellIs" dxfId="950" priority="1317" operator="equal">
      <formula>"P"</formula>
    </cfRule>
    <cfRule type="cellIs" dxfId="949" priority="1318" operator="equal">
      <formula>"T"</formula>
    </cfRule>
  </conditionalFormatting>
  <conditionalFormatting sqref="L35:L202">
    <cfRule type="expression" dxfId="948" priority="1314">
      <formula>$A35="Fin Liberación"</formula>
    </cfRule>
    <cfRule type="expression" dxfId="947" priority="1315">
      <formula>$A35="Inicio Liberación"</formula>
    </cfRule>
  </conditionalFormatting>
  <conditionalFormatting sqref="G36:G202">
    <cfRule type="expression" dxfId="946" priority="1310">
      <formula>$A36="Fin Liberación"</formula>
    </cfRule>
    <cfRule type="expression" dxfId="945" priority="1311">
      <formula>$A36="Inicio Liberación"</formula>
    </cfRule>
  </conditionalFormatting>
  <conditionalFormatting sqref="E202">
    <cfRule type="expression" dxfId="944" priority="1293">
      <formula>$A202="Fin Liberación"</formula>
    </cfRule>
    <cfRule type="expression" dxfId="943" priority="1294">
      <formula>$A202="Inicio Liberación"</formula>
    </cfRule>
  </conditionalFormatting>
  <conditionalFormatting sqref="G34">
    <cfRule type="expression" dxfId="942" priority="1291">
      <formula>$A34="Fin Liberación"</formula>
    </cfRule>
    <cfRule type="expression" dxfId="941" priority="1292">
      <formula>$A34="Inicio Liberación"</formula>
    </cfRule>
  </conditionalFormatting>
  <conditionalFormatting sqref="G33">
    <cfRule type="expression" dxfId="940" priority="1281">
      <formula>$A33="Fin Liberación"</formula>
    </cfRule>
    <cfRule type="expression" dxfId="939" priority="1282">
      <formula>$A33="Inicio Liberación"</formula>
    </cfRule>
  </conditionalFormatting>
  <conditionalFormatting sqref="G6:G202">
    <cfRule type="expression" dxfId="938" priority="1279">
      <formula>$A6="Fin Liberación"</formula>
    </cfRule>
    <cfRule type="expression" dxfId="937" priority="1280">
      <formula>$A6="Inicio Liberación"</formula>
    </cfRule>
  </conditionalFormatting>
  <conditionalFormatting sqref="G6:G202">
    <cfRule type="containsErrors" dxfId="936" priority="1278">
      <formula>ISERROR(G6)</formula>
    </cfRule>
  </conditionalFormatting>
  <conditionalFormatting sqref="G6:G202">
    <cfRule type="expression" dxfId="935" priority="1276">
      <formula>$A6="Fin Liberación"</formula>
    </cfRule>
    <cfRule type="expression" dxfId="934" priority="1277">
      <formula>$A6="Inicio Liberación"</formula>
    </cfRule>
  </conditionalFormatting>
  <conditionalFormatting sqref="G6:G202">
    <cfRule type="expression" dxfId="933" priority="1274">
      <formula>$A6="Fin Liberación"</formula>
    </cfRule>
    <cfRule type="expression" dxfId="932" priority="1275">
      <formula>$A6="Inicio Liberación"</formula>
    </cfRule>
  </conditionalFormatting>
  <conditionalFormatting sqref="G6:G202">
    <cfRule type="expression" dxfId="931" priority="1272">
      <formula>$A6="Fin Liberación"</formula>
    </cfRule>
    <cfRule type="expression" dxfId="930" priority="1273">
      <formula>$A6="Inicio Liberación"</formula>
    </cfRule>
  </conditionalFormatting>
  <conditionalFormatting sqref="G5">
    <cfRule type="containsErrors" dxfId="929" priority="1263">
      <formula>ISERROR(G5)</formula>
    </cfRule>
    <cfRule type="expression" dxfId="928" priority="1264">
      <formula>$A5="Fin Liberación"</formula>
    </cfRule>
    <cfRule type="expression" dxfId="927" priority="1265">
      <formula>$A5="Inicio Liberación"</formula>
    </cfRule>
  </conditionalFormatting>
  <conditionalFormatting sqref="C17:C202">
    <cfRule type="expression" dxfId="926" priority="1260">
      <formula>$A17="Inicio Liberación"</formula>
    </cfRule>
  </conditionalFormatting>
  <conditionalFormatting sqref="C17:C202">
    <cfRule type="expression" dxfId="925" priority="1259">
      <formula>$A17="Fin Liberación"</formula>
    </cfRule>
  </conditionalFormatting>
  <conditionalFormatting sqref="C203">
    <cfRule type="expression" dxfId="924" priority="1258">
      <formula>$A203="Inicio Liberación"</formula>
    </cfRule>
  </conditionalFormatting>
  <conditionalFormatting sqref="C203">
    <cfRule type="expression" dxfId="923" priority="1257">
      <formula>$A203="Fin Liberación"</formula>
    </cfRule>
  </conditionalFormatting>
  <conditionalFormatting sqref="G4">
    <cfRule type="containsErrors" dxfId="922" priority="1237">
      <formula>ISERROR(G4)</formula>
    </cfRule>
    <cfRule type="expression" dxfId="921" priority="1238">
      <formula>$A4="Fin Liberación"</formula>
    </cfRule>
    <cfRule type="expression" dxfId="920" priority="1239">
      <formula>$A4="Inicio Liberación"</formula>
    </cfRule>
  </conditionalFormatting>
  <conditionalFormatting sqref="C204">
    <cfRule type="expression" dxfId="919" priority="1234">
      <formula>$A204="Inicio Liberación"</formula>
    </cfRule>
  </conditionalFormatting>
  <conditionalFormatting sqref="C204">
    <cfRule type="expression" dxfId="918" priority="1233">
      <formula>$A204="Fin Liberación"</formula>
    </cfRule>
  </conditionalFormatting>
  <conditionalFormatting sqref="E5">
    <cfRule type="containsText" dxfId="917" priority="1205" operator="containsText" text="Captura F/H Primer Actividad pestaña Plan">
      <formula>NOT(ISERROR(SEARCH("Captura F/H Primer Actividad pestaña Plan",E5)))</formula>
    </cfRule>
  </conditionalFormatting>
  <conditionalFormatting sqref="F5">
    <cfRule type="containsText" dxfId="916" priority="1181" operator="containsText" text="Captura la F/H FIN de Actividad actividad FIN del Plan">
      <formula>NOT(ISERROR(SEARCH("Captura la F/H FIN de Actividad actividad FIN del Plan",F5)))</formula>
    </cfRule>
    <cfRule type="containsText" dxfId="915" priority="1214" operator="containsText" text="Captura Actividad Macro">
      <formula>NOT(ISERROR(SEARCH("Captura Actividad Macro",F5)))</formula>
    </cfRule>
  </conditionalFormatting>
  <conditionalFormatting sqref="E4">
    <cfRule type="containsText" dxfId="914" priority="1211" operator="containsText" text="Captura Actividad Macro VTI">
      <formula>NOT(ISERROR(SEARCH("Captura Actividad Macro VTI",E4)))</formula>
    </cfRule>
  </conditionalFormatting>
  <conditionalFormatting sqref="F4">
    <cfRule type="containsText" dxfId="913" priority="1208" operator="containsText" text="Captura Actividad Macro VTF pestaña Plan">
      <formula>NOT(ISERROR(SEARCH("Captura Actividad Macro VTF pestaña Plan",F4)))</formula>
    </cfRule>
  </conditionalFormatting>
  <conditionalFormatting sqref="F119:F201">
    <cfRule type="expression" dxfId="912" priority="1097">
      <formula>$B119="Fin Liberación"</formula>
    </cfRule>
    <cfRule type="expression" dxfId="911" priority="1098">
      <formula>$B119="Inicio Liberación"</formula>
    </cfRule>
  </conditionalFormatting>
  <conditionalFormatting sqref="E118:E201">
    <cfRule type="expression" dxfId="910" priority="1095">
      <formula>$B118="Fin Liberación"</formula>
    </cfRule>
    <cfRule type="expression" dxfId="909" priority="1096">
      <formula>$B118="Inicio Liberación"</formula>
    </cfRule>
  </conditionalFormatting>
  <conditionalFormatting sqref="C17:C201">
    <cfRule type="containsText" dxfId="908" priority="981" operator="containsText" text="VTF">
      <formula>NOT(ISERROR(SEARCH("VTF",C17)))</formula>
    </cfRule>
    <cfRule type="containsText" dxfId="907" priority="982" operator="containsText" text="VTI">
      <formula>NOT(ISERROR(SEARCH("VTI",C17)))</formula>
    </cfRule>
  </conditionalFormatting>
  <conditionalFormatting sqref="E72">
    <cfRule type="expression" dxfId="906" priority="703">
      <formula>$B72="Fin Liberación"</formula>
    </cfRule>
    <cfRule type="expression" dxfId="905" priority="704">
      <formula>$B72="Inicio Liberación"</formula>
    </cfRule>
  </conditionalFormatting>
  <conditionalFormatting sqref="F89">
    <cfRule type="expression" dxfId="904" priority="759">
      <formula>$B87="Fin Liberación"</formula>
    </cfRule>
    <cfRule type="expression" dxfId="903" priority="760">
      <formula>$B87="Inicio Liberación"</formula>
    </cfRule>
  </conditionalFormatting>
  <conditionalFormatting sqref="E90">
    <cfRule type="expression" dxfId="902" priority="757">
      <formula>$B88="Fin Liberación"</formula>
    </cfRule>
    <cfRule type="expression" dxfId="901" priority="758">
      <formula>$B88="Inicio Liberación"</formula>
    </cfRule>
  </conditionalFormatting>
  <conditionalFormatting sqref="F11">
    <cfRule type="expression" dxfId="900" priority="743">
      <formula>$B11="Fin Liberación"</formula>
    </cfRule>
    <cfRule type="expression" dxfId="899" priority="744">
      <formula>$B11="Inicio Liberación"</formula>
    </cfRule>
  </conditionalFormatting>
  <conditionalFormatting sqref="F17">
    <cfRule type="expression" dxfId="898" priority="741">
      <formula>$B17="Fin Liberación"</formula>
    </cfRule>
    <cfRule type="expression" dxfId="897" priority="742">
      <formula>$B17="Inicio Liberación"</formula>
    </cfRule>
  </conditionalFormatting>
  <conditionalFormatting sqref="E18">
    <cfRule type="expression" dxfId="896" priority="739">
      <formula>$B18="Fin Liberación"</formula>
    </cfRule>
    <cfRule type="expression" dxfId="895" priority="740">
      <formula>$B18="Inicio Liberación"</formula>
    </cfRule>
  </conditionalFormatting>
  <conditionalFormatting sqref="F23">
    <cfRule type="expression" dxfId="894" priority="737">
      <formula>$B23="Fin Liberación"</formula>
    </cfRule>
    <cfRule type="expression" dxfId="893" priority="738">
      <formula>$B23="Inicio Liberación"</formula>
    </cfRule>
  </conditionalFormatting>
  <conditionalFormatting sqref="E24">
    <cfRule type="expression" dxfId="892" priority="735">
      <formula>$B24="Fin Liberación"</formula>
    </cfRule>
    <cfRule type="expression" dxfId="891" priority="736">
      <formula>$B24="Inicio Liberación"</formula>
    </cfRule>
  </conditionalFormatting>
  <conditionalFormatting sqref="F29">
    <cfRule type="expression" dxfId="890" priority="733">
      <formula>$B29="Fin Liberación"</formula>
    </cfRule>
    <cfRule type="expression" dxfId="889" priority="734">
      <formula>$B29="Inicio Liberación"</formula>
    </cfRule>
  </conditionalFormatting>
  <conditionalFormatting sqref="E30">
    <cfRule type="expression" dxfId="888" priority="731">
      <formula>$B30="Fin Liberación"</formula>
    </cfRule>
    <cfRule type="expression" dxfId="887" priority="732">
      <formula>$B30="Inicio Liberación"</formula>
    </cfRule>
  </conditionalFormatting>
  <conditionalFormatting sqref="F35">
    <cfRule type="expression" dxfId="886" priority="729">
      <formula>$B35="Fin Liberación"</formula>
    </cfRule>
    <cfRule type="expression" dxfId="885" priority="730">
      <formula>$B35="Inicio Liberación"</formula>
    </cfRule>
  </conditionalFormatting>
  <conditionalFormatting sqref="E36">
    <cfRule type="expression" dxfId="884" priority="727">
      <formula>$B36="Fin Liberación"</formula>
    </cfRule>
    <cfRule type="expression" dxfId="883" priority="728">
      <formula>$B36="Inicio Liberación"</formula>
    </cfRule>
  </conditionalFormatting>
  <conditionalFormatting sqref="F41">
    <cfRule type="expression" dxfId="882" priority="725">
      <formula>$B41="Fin Liberación"</formula>
    </cfRule>
    <cfRule type="expression" dxfId="881" priority="726">
      <formula>$B41="Inicio Liberación"</formula>
    </cfRule>
  </conditionalFormatting>
  <conditionalFormatting sqref="E42">
    <cfRule type="expression" dxfId="880" priority="723">
      <formula>$B42="Fin Liberación"</formula>
    </cfRule>
    <cfRule type="expression" dxfId="879" priority="724">
      <formula>$B42="Inicio Liberación"</formula>
    </cfRule>
  </conditionalFormatting>
  <conditionalFormatting sqref="F47">
    <cfRule type="expression" dxfId="878" priority="721">
      <formula>$B47="Fin Liberación"</formula>
    </cfRule>
    <cfRule type="expression" dxfId="877" priority="722">
      <formula>$B47="Inicio Liberación"</formula>
    </cfRule>
  </conditionalFormatting>
  <conditionalFormatting sqref="E48">
    <cfRule type="expression" dxfId="876" priority="719">
      <formula>$B48="Fin Liberación"</formula>
    </cfRule>
    <cfRule type="expression" dxfId="875" priority="720">
      <formula>$B48="Inicio Liberación"</formula>
    </cfRule>
  </conditionalFormatting>
  <conditionalFormatting sqref="F53">
    <cfRule type="expression" dxfId="874" priority="717">
      <formula>$B53="Fin Liberación"</formula>
    </cfRule>
    <cfRule type="expression" dxfId="873" priority="718">
      <formula>$B53="Inicio Liberación"</formula>
    </cfRule>
  </conditionalFormatting>
  <conditionalFormatting sqref="E54">
    <cfRule type="expression" dxfId="872" priority="715">
      <formula>$B54="Fin Liberación"</formula>
    </cfRule>
    <cfRule type="expression" dxfId="871" priority="716">
      <formula>$B54="Inicio Liberación"</formula>
    </cfRule>
  </conditionalFormatting>
  <conditionalFormatting sqref="F59">
    <cfRule type="expression" dxfId="870" priority="713">
      <formula>$B59="Fin Liberación"</formula>
    </cfRule>
    <cfRule type="expression" dxfId="869" priority="714">
      <formula>$B59="Inicio Liberación"</formula>
    </cfRule>
  </conditionalFormatting>
  <conditionalFormatting sqref="E60">
    <cfRule type="expression" dxfId="868" priority="711">
      <formula>$B60="Fin Liberación"</formula>
    </cfRule>
    <cfRule type="expression" dxfId="867" priority="712">
      <formula>$B60="Inicio Liberación"</formula>
    </cfRule>
  </conditionalFormatting>
  <conditionalFormatting sqref="F65">
    <cfRule type="expression" dxfId="866" priority="709">
      <formula>$B65="Fin Liberación"</formula>
    </cfRule>
    <cfRule type="expression" dxfId="865" priority="710">
      <formula>$B65="Inicio Liberación"</formula>
    </cfRule>
  </conditionalFormatting>
  <conditionalFormatting sqref="E66">
    <cfRule type="expression" dxfId="864" priority="707">
      <formula>$B66="Fin Liberación"</formula>
    </cfRule>
    <cfRule type="expression" dxfId="863" priority="708">
      <formula>$B66="Inicio Liberación"</formula>
    </cfRule>
  </conditionalFormatting>
  <conditionalFormatting sqref="F71">
    <cfRule type="expression" dxfId="862" priority="705">
      <formula>$B71="Fin Liberación"</formula>
    </cfRule>
    <cfRule type="expression" dxfId="861" priority="706">
      <formula>$B71="Inicio Liberación"</formula>
    </cfRule>
  </conditionalFormatting>
  <conditionalFormatting sqref="F77">
    <cfRule type="expression" dxfId="860" priority="701">
      <formula>$B77="Fin Liberación"</formula>
    </cfRule>
    <cfRule type="expression" dxfId="859" priority="702">
      <formula>$B77="Inicio Liberación"</formula>
    </cfRule>
  </conditionalFormatting>
  <conditionalFormatting sqref="E78">
    <cfRule type="expression" dxfId="858" priority="699">
      <formula>$B78="Fin Liberación"</formula>
    </cfRule>
    <cfRule type="expression" dxfId="857" priority="700">
      <formula>$B78="Inicio Liberación"</formula>
    </cfRule>
  </conditionalFormatting>
  <conditionalFormatting sqref="F83">
    <cfRule type="expression" dxfId="856" priority="697">
      <formula>$B83="Fin Liberación"</formula>
    </cfRule>
    <cfRule type="expression" dxfId="855" priority="698">
      <formula>$B83="Inicio Liberación"</formula>
    </cfRule>
  </conditionalFormatting>
  <conditionalFormatting sqref="E84">
    <cfRule type="expression" dxfId="854" priority="695">
      <formula>$B84="Fin Liberación"</formula>
    </cfRule>
    <cfRule type="expression" dxfId="853" priority="696">
      <formula>$B84="Inicio Liberación"</formula>
    </cfRule>
  </conditionalFormatting>
  <conditionalFormatting sqref="F95">
    <cfRule type="expression" dxfId="852" priority="693">
      <formula>$B95="Fin Liberación"</formula>
    </cfRule>
    <cfRule type="expression" dxfId="851" priority="694">
      <formula>$B95="Inicio Liberación"</formula>
    </cfRule>
  </conditionalFormatting>
  <conditionalFormatting sqref="E96">
    <cfRule type="expression" dxfId="850" priority="691">
      <formula>$B96="Fin Liberación"</formula>
    </cfRule>
    <cfRule type="expression" dxfId="849" priority="692">
      <formula>$B96="Inicio Liberación"</formula>
    </cfRule>
  </conditionalFormatting>
  <conditionalFormatting sqref="F107">
    <cfRule type="expression" dxfId="848" priority="689">
      <formula>$B107="Fin Liberación"</formula>
    </cfRule>
    <cfRule type="expression" dxfId="847" priority="690">
      <formula>$B107="Inicio Liberación"</formula>
    </cfRule>
  </conditionalFormatting>
  <conditionalFormatting sqref="E108">
    <cfRule type="expression" dxfId="846" priority="687">
      <formula>$B108="Fin Liberación"</formula>
    </cfRule>
    <cfRule type="expression" dxfId="845" priority="688">
      <formula>$B108="Inicio Liberación"</formula>
    </cfRule>
  </conditionalFormatting>
  <conditionalFormatting sqref="F117">
    <cfRule type="expression" dxfId="844" priority="683">
      <formula>$B117="Fin Liberación"</formula>
    </cfRule>
    <cfRule type="expression" dxfId="843" priority="684">
      <formula>$B117="Inicio Liberación"</formula>
    </cfRule>
  </conditionalFormatting>
  <conditionalFormatting sqref="E11">
    <cfRule type="expression" dxfId="842" priority="663">
      <formula>$B11="Fin Liberación"</formula>
    </cfRule>
    <cfRule type="expression" dxfId="841" priority="664">
      <formula>$B11="Inicio Liberación"</formula>
    </cfRule>
  </conditionalFormatting>
  <conditionalFormatting sqref="E13">
    <cfRule type="expression" dxfId="840" priority="659">
      <formula>$B13="Fin Liberación"</formula>
    </cfRule>
    <cfRule type="expression" dxfId="839" priority="660">
      <formula>$B13="Inicio Liberación"</formula>
    </cfRule>
  </conditionalFormatting>
  <conditionalFormatting sqref="F13">
    <cfRule type="expression" dxfId="838" priority="657">
      <formula>$B13="Fin Liberación"</formula>
    </cfRule>
    <cfRule type="expression" dxfId="837" priority="658">
      <formula>$B13="Inicio Liberación"</formula>
    </cfRule>
  </conditionalFormatting>
  <conditionalFormatting sqref="E14">
    <cfRule type="expression" dxfId="836" priority="655">
      <formula>$B14="Fin Liberación"</formula>
    </cfRule>
    <cfRule type="expression" dxfId="835" priority="656">
      <formula>$B14="Inicio Liberación"</formula>
    </cfRule>
  </conditionalFormatting>
  <conditionalFormatting sqref="F14">
    <cfRule type="expression" dxfId="834" priority="653">
      <formula>$B14="Fin Liberación"</formula>
    </cfRule>
    <cfRule type="expression" dxfId="833" priority="654">
      <formula>$B14="Inicio Liberación"</formula>
    </cfRule>
  </conditionalFormatting>
  <conditionalFormatting sqref="E15">
    <cfRule type="expression" dxfId="832" priority="651">
      <formula>$B15="Fin Liberación"</formula>
    </cfRule>
    <cfRule type="expression" dxfId="831" priority="652">
      <formula>$B15="Inicio Liberación"</formula>
    </cfRule>
  </conditionalFormatting>
  <conditionalFormatting sqref="F15">
    <cfRule type="expression" dxfId="830" priority="649">
      <formula>$B15="Fin Liberación"</formula>
    </cfRule>
    <cfRule type="expression" dxfId="829" priority="650">
      <formula>$B15="Inicio Liberación"</formula>
    </cfRule>
  </conditionalFormatting>
  <conditionalFormatting sqref="E16">
    <cfRule type="expression" dxfId="828" priority="647">
      <formula>$B16="Fin Liberación"</formula>
    </cfRule>
    <cfRule type="expression" dxfId="827" priority="648">
      <formula>$B16="Inicio Liberación"</formula>
    </cfRule>
  </conditionalFormatting>
  <conditionalFormatting sqref="F16">
    <cfRule type="expression" dxfId="826" priority="645">
      <formula>$B16="Fin Liberación"</formula>
    </cfRule>
    <cfRule type="expression" dxfId="825" priority="646">
      <formula>$B16="Inicio Liberación"</formula>
    </cfRule>
  </conditionalFormatting>
  <conditionalFormatting sqref="E17">
    <cfRule type="expression" dxfId="824" priority="643">
      <formula>$B17="Fin Liberación"</formula>
    </cfRule>
    <cfRule type="expression" dxfId="823" priority="644">
      <formula>$B17="Inicio Liberación"</formula>
    </cfRule>
  </conditionalFormatting>
  <conditionalFormatting sqref="F18">
    <cfRule type="expression" dxfId="822" priority="641">
      <formula>$B18="Fin Liberación"</formula>
    </cfRule>
    <cfRule type="expression" dxfId="821" priority="642">
      <formula>$B18="Inicio Liberación"</formula>
    </cfRule>
  </conditionalFormatting>
  <conditionalFormatting sqref="E19">
    <cfRule type="expression" dxfId="820" priority="639">
      <formula>$B19="Fin Liberación"</formula>
    </cfRule>
    <cfRule type="expression" dxfId="819" priority="640">
      <formula>$B19="Inicio Liberación"</formula>
    </cfRule>
  </conditionalFormatting>
  <conditionalFormatting sqref="F19">
    <cfRule type="expression" dxfId="818" priority="637">
      <formula>$B19="Fin Liberación"</formula>
    </cfRule>
    <cfRule type="expression" dxfId="817" priority="638">
      <formula>$B19="Inicio Liberación"</formula>
    </cfRule>
  </conditionalFormatting>
  <conditionalFormatting sqref="E20">
    <cfRule type="expression" dxfId="816" priority="635">
      <formula>$B20="Fin Liberación"</formula>
    </cfRule>
    <cfRule type="expression" dxfId="815" priority="636">
      <formula>$B20="Inicio Liberación"</formula>
    </cfRule>
  </conditionalFormatting>
  <conditionalFormatting sqref="F20">
    <cfRule type="expression" dxfId="814" priority="633">
      <formula>$B20="Fin Liberación"</formula>
    </cfRule>
    <cfRule type="expression" dxfId="813" priority="634">
      <formula>$B20="Inicio Liberación"</formula>
    </cfRule>
  </conditionalFormatting>
  <conditionalFormatting sqref="E21">
    <cfRule type="expression" dxfId="812" priority="631">
      <formula>$B21="Fin Liberación"</formula>
    </cfRule>
    <cfRule type="expression" dxfId="811" priority="632">
      <formula>$B21="Inicio Liberación"</formula>
    </cfRule>
  </conditionalFormatting>
  <conditionalFormatting sqref="F21">
    <cfRule type="expression" dxfId="810" priority="629">
      <formula>$B21="Fin Liberación"</formula>
    </cfRule>
    <cfRule type="expression" dxfId="809" priority="630">
      <formula>$B21="Inicio Liberación"</formula>
    </cfRule>
  </conditionalFormatting>
  <conditionalFormatting sqref="E22">
    <cfRule type="expression" dxfId="808" priority="627">
      <formula>$B22="Fin Liberación"</formula>
    </cfRule>
    <cfRule type="expression" dxfId="807" priority="628">
      <formula>$B22="Inicio Liberación"</formula>
    </cfRule>
  </conditionalFormatting>
  <conditionalFormatting sqref="F22">
    <cfRule type="expression" dxfId="806" priority="625">
      <formula>$B22="Fin Liberación"</formula>
    </cfRule>
    <cfRule type="expression" dxfId="805" priority="626">
      <formula>$B22="Inicio Liberación"</formula>
    </cfRule>
  </conditionalFormatting>
  <conditionalFormatting sqref="E23">
    <cfRule type="expression" dxfId="804" priority="623">
      <formula>$B23="Fin Liberación"</formula>
    </cfRule>
    <cfRule type="expression" dxfId="803" priority="624">
      <formula>$B23="Inicio Liberación"</formula>
    </cfRule>
  </conditionalFormatting>
  <conditionalFormatting sqref="F24">
    <cfRule type="expression" dxfId="802" priority="621">
      <formula>$B24="Fin Liberación"</formula>
    </cfRule>
    <cfRule type="expression" dxfId="801" priority="622">
      <formula>$B24="Inicio Liberación"</formula>
    </cfRule>
  </conditionalFormatting>
  <conditionalFormatting sqref="F25">
    <cfRule type="expression" dxfId="800" priority="619">
      <formula>$B25="Fin Liberación"</formula>
    </cfRule>
    <cfRule type="expression" dxfId="799" priority="620">
      <formula>$B25="Inicio Liberación"</formula>
    </cfRule>
  </conditionalFormatting>
  <conditionalFormatting sqref="E25">
    <cfRule type="expression" dxfId="798" priority="617">
      <formula>$B25="Fin Liberación"</formula>
    </cfRule>
    <cfRule type="expression" dxfId="797" priority="618">
      <formula>$B25="Inicio Liberación"</formula>
    </cfRule>
  </conditionalFormatting>
  <conditionalFormatting sqref="E26">
    <cfRule type="expression" dxfId="796" priority="615">
      <formula>$B26="Fin Liberación"</formula>
    </cfRule>
    <cfRule type="expression" dxfId="795" priority="616">
      <formula>$B26="Inicio Liberación"</formula>
    </cfRule>
  </conditionalFormatting>
  <conditionalFormatting sqref="F26">
    <cfRule type="expression" dxfId="794" priority="613">
      <formula>$B26="Fin Liberación"</formula>
    </cfRule>
    <cfRule type="expression" dxfId="793" priority="614">
      <formula>$B26="Inicio Liberación"</formula>
    </cfRule>
  </conditionalFormatting>
  <conditionalFormatting sqref="E27">
    <cfRule type="expression" dxfId="792" priority="611">
      <formula>$B27="Fin Liberación"</formula>
    </cfRule>
    <cfRule type="expression" dxfId="791" priority="612">
      <formula>$B27="Inicio Liberación"</formula>
    </cfRule>
  </conditionalFormatting>
  <conditionalFormatting sqref="F27">
    <cfRule type="expression" dxfId="790" priority="609">
      <formula>$B27="Fin Liberación"</formula>
    </cfRule>
    <cfRule type="expression" dxfId="789" priority="610">
      <formula>$B27="Inicio Liberación"</formula>
    </cfRule>
  </conditionalFormatting>
  <conditionalFormatting sqref="E28">
    <cfRule type="expression" dxfId="788" priority="607">
      <formula>$B28="Fin Liberación"</formula>
    </cfRule>
    <cfRule type="expression" dxfId="787" priority="608">
      <formula>$B28="Inicio Liberación"</formula>
    </cfRule>
  </conditionalFormatting>
  <conditionalFormatting sqref="F28">
    <cfRule type="expression" dxfId="786" priority="605">
      <formula>$B28="Fin Liberación"</formula>
    </cfRule>
    <cfRule type="expression" dxfId="785" priority="606">
      <formula>$B28="Inicio Liberación"</formula>
    </cfRule>
  </conditionalFormatting>
  <conditionalFormatting sqref="E29">
    <cfRule type="expression" dxfId="784" priority="603">
      <formula>$B29="Fin Liberación"</formula>
    </cfRule>
    <cfRule type="expression" dxfId="783" priority="604">
      <formula>$B29="Inicio Liberación"</formula>
    </cfRule>
  </conditionalFormatting>
  <conditionalFormatting sqref="F30">
    <cfRule type="expression" dxfId="782" priority="601">
      <formula>$B30="Fin Liberación"</formula>
    </cfRule>
    <cfRule type="expression" dxfId="781" priority="602">
      <formula>$B30="Inicio Liberación"</formula>
    </cfRule>
  </conditionalFormatting>
  <conditionalFormatting sqref="E31">
    <cfRule type="expression" dxfId="780" priority="599">
      <formula>$B31="Fin Liberación"</formula>
    </cfRule>
    <cfRule type="expression" dxfId="779" priority="600">
      <formula>$B31="Inicio Liberación"</formula>
    </cfRule>
  </conditionalFormatting>
  <conditionalFormatting sqref="F31">
    <cfRule type="expression" dxfId="778" priority="597">
      <formula>$B31="Fin Liberación"</formula>
    </cfRule>
    <cfRule type="expression" dxfId="777" priority="598">
      <formula>$B31="Inicio Liberación"</formula>
    </cfRule>
  </conditionalFormatting>
  <conditionalFormatting sqref="E32">
    <cfRule type="expression" dxfId="776" priority="595">
      <formula>$B32="Fin Liberación"</formula>
    </cfRule>
    <cfRule type="expression" dxfId="775" priority="596">
      <formula>$B32="Inicio Liberación"</formula>
    </cfRule>
  </conditionalFormatting>
  <conditionalFormatting sqref="F32">
    <cfRule type="expression" dxfId="774" priority="593">
      <formula>$B32="Fin Liberación"</formula>
    </cfRule>
    <cfRule type="expression" dxfId="773" priority="594">
      <formula>$B32="Inicio Liberación"</formula>
    </cfRule>
  </conditionalFormatting>
  <conditionalFormatting sqref="E33">
    <cfRule type="expression" dxfId="772" priority="591">
      <formula>$B33="Fin Liberación"</formula>
    </cfRule>
    <cfRule type="expression" dxfId="771" priority="592">
      <formula>$B33="Inicio Liberación"</formula>
    </cfRule>
  </conditionalFormatting>
  <conditionalFormatting sqref="F33">
    <cfRule type="expression" dxfId="770" priority="589">
      <formula>$B33="Fin Liberación"</formula>
    </cfRule>
    <cfRule type="expression" dxfId="769" priority="590">
      <formula>$B33="Inicio Liberación"</formula>
    </cfRule>
  </conditionalFormatting>
  <conditionalFormatting sqref="E34">
    <cfRule type="expression" dxfId="768" priority="587">
      <formula>$B34="Fin Liberación"</formula>
    </cfRule>
    <cfRule type="expression" dxfId="767" priority="588">
      <formula>$B34="Inicio Liberación"</formula>
    </cfRule>
  </conditionalFormatting>
  <conditionalFormatting sqref="F34">
    <cfRule type="expression" dxfId="766" priority="585">
      <formula>$B34="Fin Liberación"</formula>
    </cfRule>
    <cfRule type="expression" dxfId="765" priority="586">
      <formula>$B34="Inicio Liberación"</formula>
    </cfRule>
  </conditionalFormatting>
  <conditionalFormatting sqref="E35">
    <cfRule type="expression" dxfId="764" priority="583">
      <formula>$B35="Fin Liberación"</formula>
    </cfRule>
    <cfRule type="expression" dxfId="763" priority="584">
      <formula>$B35="Inicio Liberación"</formula>
    </cfRule>
  </conditionalFormatting>
  <conditionalFormatting sqref="F36">
    <cfRule type="expression" dxfId="762" priority="581">
      <formula>$B36="Fin Liberación"</formula>
    </cfRule>
    <cfRule type="expression" dxfId="761" priority="582">
      <formula>$B36="Inicio Liberación"</formula>
    </cfRule>
  </conditionalFormatting>
  <conditionalFormatting sqref="E37">
    <cfRule type="expression" dxfId="760" priority="579">
      <formula>$B37="Fin Liberación"</formula>
    </cfRule>
    <cfRule type="expression" dxfId="759" priority="580">
      <formula>$B37="Inicio Liberación"</formula>
    </cfRule>
  </conditionalFormatting>
  <conditionalFormatting sqref="F37">
    <cfRule type="expression" dxfId="758" priority="577">
      <formula>$B37="Fin Liberación"</formula>
    </cfRule>
    <cfRule type="expression" dxfId="757" priority="578">
      <formula>$B37="Inicio Liberación"</formula>
    </cfRule>
  </conditionalFormatting>
  <conditionalFormatting sqref="E38">
    <cfRule type="expression" dxfId="756" priority="575">
      <formula>$B38="Fin Liberación"</formula>
    </cfRule>
    <cfRule type="expression" dxfId="755" priority="576">
      <formula>$B38="Inicio Liberación"</formula>
    </cfRule>
  </conditionalFormatting>
  <conditionalFormatting sqref="F38">
    <cfRule type="expression" dxfId="754" priority="573">
      <formula>$B38="Fin Liberación"</formula>
    </cfRule>
    <cfRule type="expression" dxfId="753" priority="574">
      <formula>$B38="Inicio Liberación"</formula>
    </cfRule>
  </conditionalFormatting>
  <conditionalFormatting sqref="E39">
    <cfRule type="expression" dxfId="752" priority="571">
      <formula>$B39="Fin Liberación"</formula>
    </cfRule>
    <cfRule type="expression" dxfId="751" priority="572">
      <formula>$B39="Inicio Liberación"</formula>
    </cfRule>
  </conditionalFormatting>
  <conditionalFormatting sqref="F39">
    <cfRule type="expression" dxfId="750" priority="569">
      <formula>$B39="Fin Liberación"</formula>
    </cfRule>
    <cfRule type="expression" dxfId="749" priority="570">
      <formula>$B39="Inicio Liberación"</formula>
    </cfRule>
  </conditionalFormatting>
  <conditionalFormatting sqref="E40">
    <cfRule type="expression" dxfId="748" priority="567">
      <formula>$B40="Fin Liberación"</formula>
    </cfRule>
    <cfRule type="expression" dxfId="747" priority="568">
      <formula>$B40="Inicio Liberación"</formula>
    </cfRule>
  </conditionalFormatting>
  <conditionalFormatting sqref="F40">
    <cfRule type="expression" dxfId="746" priority="565">
      <formula>$B40="Fin Liberación"</formula>
    </cfRule>
    <cfRule type="expression" dxfId="745" priority="566">
      <formula>$B40="Inicio Liberación"</formula>
    </cfRule>
  </conditionalFormatting>
  <conditionalFormatting sqref="E41">
    <cfRule type="expression" dxfId="744" priority="563">
      <formula>$B41="Fin Liberación"</formula>
    </cfRule>
    <cfRule type="expression" dxfId="743" priority="564">
      <formula>$B41="Inicio Liberación"</formula>
    </cfRule>
  </conditionalFormatting>
  <conditionalFormatting sqref="F42">
    <cfRule type="expression" dxfId="742" priority="561">
      <formula>$B42="Fin Liberación"</formula>
    </cfRule>
    <cfRule type="expression" dxfId="741" priority="562">
      <formula>$B42="Inicio Liberación"</formula>
    </cfRule>
  </conditionalFormatting>
  <conditionalFormatting sqref="E43">
    <cfRule type="expression" dxfId="740" priority="559">
      <formula>$B43="Fin Liberación"</formula>
    </cfRule>
    <cfRule type="expression" dxfId="739" priority="560">
      <formula>$B43="Inicio Liberación"</formula>
    </cfRule>
  </conditionalFormatting>
  <conditionalFormatting sqref="F43">
    <cfRule type="expression" dxfId="738" priority="557">
      <formula>$B43="Fin Liberación"</formula>
    </cfRule>
    <cfRule type="expression" dxfId="737" priority="558">
      <formula>$B43="Inicio Liberación"</formula>
    </cfRule>
  </conditionalFormatting>
  <conditionalFormatting sqref="E44">
    <cfRule type="expression" dxfId="736" priority="555">
      <formula>$B44="Fin Liberación"</formula>
    </cfRule>
    <cfRule type="expression" dxfId="735" priority="556">
      <formula>$B44="Inicio Liberación"</formula>
    </cfRule>
  </conditionalFormatting>
  <conditionalFormatting sqref="F44">
    <cfRule type="expression" dxfId="734" priority="553">
      <formula>$B44="Fin Liberación"</formula>
    </cfRule>
    <cfRule type="expression" dxfId="733" priority="554">
      <formula>$B44="Inicio Liberación"</formula>
    </cfRule>
  </conditionalFormatting>
  <conditionalFormatting sqref="E45">
    <cfRule type="expression" dxfId="732" priority="551">
      <formula>$B45="Fin Liberación"</formula>
    </cfRule>
    <cfRule type="expression" dxfId="731" priority="552">
      <formula>$B45="Inicio Liberación"</formula>
    </cfRule>
  </conditionalFormatting>
  <conditionalFormatting sqref="F45">
    <cfRule type="expression" dxfId="730" priority="549">
      <formula>$B45="Fin Liberación"</formula>
    </cfRule>
    <cfRule type="expression" dxfId="729" priority="550">
      <formula>$B45="Inicio Liberación"</formula>
    </cfRule>
  </conditionalFormatting>
  <conditionalFormatting sqref="E46">
    <cfRule type="expression" dxfId="728" priority="547">
      <formula>$B46="Fin Liberación"</formula>
    </cfRule>
    <cfRule type="expression" dxfId="727" priority="548">
      <formula>$B46="Inicio Liberación"</formula>
    </cfRule>
  </conditionalFormatting>
  <conditionalFormatting sqref="F46">
    <cfRule type="expression" dxfId="726" priority="545">
      <formula>$B46="Fin Liberación"</formula>
    </cfRule>
    <cfRule type="expression" dxfId="725" priority="546">
      <formula>$B46="Inicio Liberación"</formula>
    </cfRule>
  </conditionalFormatting>
  <conditionalFormatting sqref="E47">
    <cfRule type="expression" dxfId="724" priority="543">
      <formula>$B47="Fin Liberación"</formula>
    </cfRule>
    <cfRule type="expression" dxfId="723" priority="544">
      <formula>$B47="Inicio Liberación"</formula>
    </cfRule>
  </conditionalFormatting>
  <conditionalFormatting sqref="F48">
    <cfRule type="expression" dxfId="722" priority="541">
      <formula>$B48="Fin Liberación"</formula>
    </cfRule>
    <cfRule type="expression" dxfId="721" priority="542">
      <formula>$B48="Inicio Liberación"</formula>
    </cfRule>
  </conditionalFormatting>
  <conditionalFormatting sqref="E49">
    <cfRule type="expression" dxfId="720" priority="539">
      <formula>$B49="Fin Liberación"</formula>
    </cfRule>
    <cfRule type="expression" dxfId="719" priority="540">
      <formula>$B49="Inicio Liberación"</formula>
    </cfRule>
  </conditionalFormatting>
  <conditionalFormatting sqref="F49">
    <cfRule type="expression" dxfId="718" priority="537">
      <formula>$B49="Fin Liberación"</formula>
    </cfRule>
    <cfRule type="expression" dxfId="717" priority="538">
      <formula>$B49="Inicio Liberación"</formula>
    </cfRule>
  </conditionalFormatting>
  <conditionalFormatting sqref="E50">
    <cfRule type="expression" dxfId="716" priority="535">
      <formula>$B50="Fin Liberación"</formula>
    </cfRule>
    <cfRule type="expression" dxfId="715" priority="536">
      <formula>$B50="Inicio Liberación"</formula>
    </cfRule>
  </conditionalFormatting>
  <conditionalFormatting sqref="F50">
    <cfRule type="expression" dxfId="714" priority="533">
      <formula>$B50="Fin Liberación"</formula>
    </cfRule>
    <cfRule type="expression" dxfId="713" priority="534">
      <formula>$B50="Inicio Liberación"</formula>
    </cfRule>
  </conditionalFormatting>
  <conditionalFormatting sqref="E51">
    <cfRule type="expression" dxfId="712" priority="531">
      <formula>$B51="Fin Liberación"</formula>
    </cfRule>
    <cfRule type="expression" dxfId="711" priority="532">
      <formula>$B51="Inicio Liberación"</formula>
    </cfRule>
  </conditionalFormatting>
  <conditionalFormatting sqref="F51">
    <cfRule type="expression" dxfId="710" priority="529">
      <formula>$B51="Fin Liberación"</formula>
    </cfRule>
    <cfRule type="expression" dxfId="709" priority="530">
      <formula>$B51="Inicio Liberación"</formula>
    </cfRule>
  </conditionalFormatting>
  <conditionalFormatting sqref="E52">
    <cfRule type="expression" dxfId="708" priority="527">
      <formula>$B52="Fin Liberación"</formula>
    </cfRule>
    <cfRule type="expression" dxfId="707" priority="528">
      <formula>$B52="Inicio Liberación"</formula>
    </cfRule>
  </conditionalFormatting>
  <conditionalFormatting sqref="F52">
    <cfRule type="expression" dxfId="706" priority="525">
      <formula>$B52="Fin Liberación"</formula>
    </cfRule>
    <cfRule type="expression" dxfId="705" priority="526">
      <formula>$B52="Inicio Liberación"</formula>
    </cfRule>
  </conditionalFormatting>
  <conditionalFormatting sqref="E53">
    <cfRule type="expression" dxfId="704" priority="523">
      <formula>$B53="Fin Liberación"</formula>
    </cfRule>
    <cfRule type="expression" dxfId="703" priority="524">
      <formula>$B53="Inicio Liberación"</formula>
    </cfRule>
  </conditionalFormatting>
  <conditionalFormatting sqref="F54">
    <cfRule type="expression" dxfId="702" priority="521">
      <formula>$B54="Fin Liberación"</formula>
    </cfRule>
    <cfRule type="expression" dxfId="701" priority="522">
      <formula>$B54="Inicio Liberación"</formula>
    </cfRule>
  </conditionalFormatting>
  <conditionalFormatting sqref="E55">
    <cfRule type="expression" dxfId="700" priority="519">
      <formula>$B55="Fin Liberación"</formula>
    </cfRule>
    <cfRule type="expression" dxfId="699" priority="520">
      <formula>$B55="Inicio Liberación"</formula>
    </cfRule>
  </conditionalFormatting>
  <conditionalFormatting sqref="F55">
    <cfRule type="expression" dxfId="698" priority="517">
      <formula>$B55="Fin Liberación"</formula>
    </cfRule>
    <cfRule type="expression" dxfId="697" priority="518">
      <formula>$B55="Inicio Liberación"</formula>
    </cfRule>
  </conditionalFormatting>
  <conditionalFormatting sqref="E56">
    <cfRule type="expression" dxfId="696" priority="515">
      <formula>$B56="Fin Liberación"</formula>
    </cfRule>
    <cfRule type="expression" dxfId="695" priority="516">
      <formula>$B56="Inicio Liberación"</formula>
    </cfRule>
  </conditionalFormatting>
  <conditionalFormatting sqref="F56">
    <cfRule type="expression" dxfId="694" priority="513">
      <formula>$B56="Fin Liberación"</formula>
    </cfRule>
    <cfRule type="expression" dxfId="693" priority="514">
      <formula>$B56="Inicio Liberación"</formula>
    </cfRule>
  </conditionalFormatting>
  <conditionalFormatting sqref="E57">
    <cfRule type="expression" dxfId="692" priority="511">
      <formula>$B57="Fin Liberación"</formula>
    </cfRule>
    <cfRule type="expression" dxfId="691" priority="512">
      <formula>$B57="Inicio Liberación"</formula>
    </cfRule>
  </conditionalFormatting>
  <conditionalFormatting sqref="F57">
    <cfRule type="expression" dxfId="690" priority="509">
      <formula>$B57="Fin Liberación"</formula>
    </cfRule>
    <cfRule type="expression" dxfId="689" priority="510">
      <formula>$B57="Inicio Liberación"</formula>
    </cfRule>
  </conditionalFormatting>
  <conditionalFormatting sqref="E58">
    <cfRule type="expression" dxfId="688" priority="507">
      <formula>$B58="Fin Liberación"</formula>
    </cfRule>
    <cfRule type="expression" dxfId="687" priority="508">
      <formula>$B58="Inicio Liberación"</formula>
    </cfRule>
  </conditionalFormatting>
  <conditionalFormatting sqref="F58">
    <cfRule type="expression" dxfId="686" priority="505">
      <formula>$B58="Fin Liberación"</formula>
    </cfRule>
    <cfRule type="expression" dxfId="685" priority="506">
      <formula>$B58="Inicio Liberación"</formula>
    </cfRule>
  </conditionalFormatting>
  <conditionalFormatting sqref="E59">
    <cfRule type="expression" dxfId="684" priority="503">
      <formula>$B59="Fin Liberación"</formula>
    </cfRule>
    <cfRule type="expression" dxfId="683" priority="504">
      <formula>$B59="Inicio Liberación"</formula>
    </cfRule>
  </conditionalFormatting>
  <conditionalFormatting sqref="F60">
    <cfRule type="expression" dxfId="682" priority="501">
      <formula>$B60="Fin Liberación"</formula>
    </cfRule>
    <cfRule type="expression" dxfId="681" priority="502">
      <formula>$B60="Inicio Liberación"</formula>
    </cfRule>
  </conditionalFormatting>
  <conditionalFormatting sqref="E61">
    <cfRule type="expression" dxfId="680" priority="499">
      <formula>$B61="Fin Liberación"</formula>
    </cfRule>
    <cfRule type="expression" dxfId="679" priority="500">
      <formula>$B61="Inicio Liberación"</formula>
    </cfRule>
  </conditionalFormatting>
  <conditionalFormatting sqref="F61">
    <cfRule type="expression" dxfId="678" priority="497">
      <formula>$B61="Fin Liberación"</formula>
    </cfRule>
    <cfRule type="expression" dxfId="677" priority="498">
      <formula>$B61="Inicio Liberación"</formula>
    </cfRule>
  </conditionalFormatting>
  <conditionalFormatting sqref="E62">
    <cfRule type="expression" dxfId="676" priority="495">
      <formula>$B62="Fin Liberación"</formula>
    </cfRule>
    <cfRule type="expression" dxfId="675" priority="496">
      <formula>$B62="Inicio Liberación"</formula>
    </cfRule>
  </conditionalFormatting>
  <conditionalFormatting sqref="F62">
    <cfRule type="expression" dxfId="674" priority="493">
      <formula>$B62="Fin Liberación"</formula>
    </cfRule>
    <cfRule type="expression" dxfId="673" priority="494">
      <formula>$B62="Inicio Liberación"</formula>
    </cfRule>
  </conditionalFormatting>
  <conditionalFormatting sqref="E63">
    <cfRule type="expression" dxfId="672" priority="491">
      <formula>$B63="Fin Liberación"</formula>
    </cfRule>
    <cfRule type="expression" dxfId="671" priority="492">
      <formula>$B63="Inicio Liberación"</formula>
    </cfRule>
  </conditionalFormatting>
  <conditionalFormatting sqref="F63">
    <cfRule type="expression" dxfId="670" priority="489">
      <formula>$B63="Fin Liberación"</formula>
    </cfRule>
    <cfRule type="expression" dxfId="669" priority="490">
      <formula>$B63="Inicio Liberación"</formula>
    </cfRule>
  </conditionalFormatting>
  <conditionalFormatting sqref="E64">
    <cfRule type="expression" dxfId="668" priority="487">
      <formula>$B64="Fin Liberación"</formula>
    </cfRule>
    <cfRule type="expression" dxfId="667" priority="488">
      <formula>$B64="Inicio Liberación"</formula>
    </cfRule>
  </conditionalFormatting>
  <conditionalFormatting sqref="F64">
    <cfRule type="expression" dxfId="666" priority="485">
      <formula>$B64="Fin Liberación"</formula>
    </cfRule>
    <cfRule type="expression" dxfId="665" priority="486">
      <formula>$B64="Inicio Liberación"</formula>
    </cfRule>
  </conditionalFormatting>
  <conditionalFormatting sqref="E65">
    <cfRule type="expression" dxfId="664" priority="483">
      <formula>$B65="Fin Liberación"</formula>
    </cfRule>
    <cfRule type="expression" dxfId="663" priority="484">
      <formula>$B65="Inicio Liberación"</formula>
    </cfRule>
  </conditionalFormatting>
  <conditionalFormatting sqref="F66">
    <cfRule type="expression" dxfId="662" priority="481">
      <formula>$B66="Fin Liberación"</formula>
    </cfRule>
    <cfRule type="expression" dxfId="661" priority="482">
      <formula>$B66="Inicio Liberación"</formula>
    </cfRule>
  </conditionalFormatting>
  <conditionalFormatting sqref="E67">
    <cfRule type="expression" dxfId="660" priority="479">
      <formula>$B67="Fin Liberación"</formula>
    </cfRule>
    <cfRule type="expression" dxfId="659" priority="480">
      <formula>$B67="Inicio Liberación"</formula>
    </cfRule>
  </conditionalFormatting>
  <conditionalFormatting sqref="F67">
    <cfRule type="expression" dxfId="658" priority="477">
      <formula>$B67="Fin Liberación"</formula>
    </cfRule>
    <cfRule type="expression" dxfId="657" priority="478">
      <formula>$B67="Inicio Liberación"</formula>
    </cfRule>
  </conditionalFormatting>
  <conditionalFormatting sqref="E68">
    <cfRule type="expression" dxfId="656" priority="475">
      <formula>$B68="Fin Liberación"</formula>
    </cfRule>
    <cfRule type="expression" dxfId="655" priority="476">
      <formula>$B68="Inicio Liberación"</formula>
    </cfRule>
  </conditionalFormatting>
  <conditionalFormatting sqref="F68">
    <cfRule type="expression" dxfId="654" priority="473">
      <formula>$B68="Fin Liberación"</formula>
    </cfRule>
    <cfRule type="expression" dxfId="653" priority="474">
      <formula>$B68="Inicio Liberación"</formula>
    </cfRule>
  </conditionalFormatting>
  <conditionalFormatting sqref="E69">
    <cfRule type="expression" dxfId="652" priority="471">
      <formula>$B69="Fin Liberación"</formula>
    </cfRule>
    <cfRule type="expression" dxfId="651" priority="472">
      <formula>$B69="Inicio Liberación"</formula>
    </cfRule>
  </conditionalFormatting>
  <conditionalFormatting sqref="F69">
    <cfRule type="expression" dxfId="650" priority="469">
      <formula>$B69="Fin Liberación"</formula>
    </cfRule>
    <cfRule type="expression" dxfId="649" priority="470">
      <formula>$B69="Inicio Liberación"</formula>
    </cfRule>
  </conditionalFormatting>
  <conditionalFormatting sqref="E70">
    <cfRule type="expression" dxfId="648" priority="467">
      <formula>$B70="Fin Liberación"</formula>
    </cfRule>
    <cfRule type="expression" dxfId="647" priority="468">
      <formula>$B70="Inicio Liberación"</formula>
    </cfRule>
  </conditionalFormatting>
  <conditionalFormatting sqref="F70">
    <cfRule type="expression" dxfId="646" priority="463">
      <formula>$B70="Fin Liberación"</formula>
    </cfRule>
    <cfRule type="expression" dxfId="645" priority="464">
      <formula>$B70="Inicio Liberación"</formula>
    </cfRule>
  </conditionalFormatting>
  <conditionalFormatting sqref="E71">
    <cfRule type="expression" dxfId="644" priority="461">
      <formula>$B71="Fin Liberación"</formula>
    </cfRule>
    <cfRule type="expression" dxfId="643" priority="462">
      <formula>$B71="Inicio Liberación"</formula>
    </cfRule>
  </conditionalFormatting>
  <conditionalFormatting sqref="F72">
    <cfRule type="expression" dxfId="642" priority="459">
      <formula>$B72="Fin Liberación"</formula>
    </cfRule>
    <cfRule type="expression" dxfId="641" priority="460">
      <formula>$B72="Inicio Liberación"</formula>
    </cfRule>
  </conditionalFormatting>
  <conditionalFormatting sqref="E73">
    <cfRule type="expression" dxfId="640" priority="457">
      <formula>$B73="Fin Liberación"</formula>
    </cfRule>
    <cfRule type="expression" dxfId="639" priority="458">
      <formula>$B73="Inicio Liberación"</formula>
    </cfRule>
  </conditionalFormatting>
  <conditionalFormatting sqref="F73">
    <cfRule type="expression" dxfId="638" priority="455">
      <formula>$B73="Fin Liberación"</formula>
    </cfRule>
    <cfRule type="expression" dxfId="637" priority="456">
      <formula>$B73="Inicio Liberación"</formula>
    </cfRule>
  </conditionalFormatting>
  <conditionalFormatting sqref="E74">
    <cfRule type="expression" dxfId="636" priority="453">
      <formula>$B74="Fin Liberación"</formula>
    </cfRule>
    <cfRule type="expression" dxfId="635" priority="454">
      <formula>$B74="Inicio Liberación"</formula>
    </cfRule>
  </conditionalFormatting>
  <conditionalFormatting sqref="F74">
    <cfRule type="expression" dxfId="634" priority="451">
      <formula>$B74="Fin Liberación"</formula>
    </cfRule>
    <cfRule type="expression" dxfId="633" priority="452">
      <formula>$B74="Inicio Liberación"</formula>
    </cfRule>
  </conditionalFormatting>
  <conditionalFormatting sqref="E75">
    <cfRule type="expression" dxfId="632" priority="449">
      <formula>$B75="Fin Liberación"</formula>
    </cfRule>
    <cfRule type="expression" dxfId="631" priority="450">
      <formula>$B75="Inicio Liberación"</formula>
    </cfRule>
  </conditionalFormatting>
  <conditionalFormatting sqref="F75">
    <cfRule type="expression" dxfId="630" priority="447">
      <formula>$B75="Fin Liberación"</formula>
    </cfRule>
    <cfRule type="expression" dxfId="629" priority="448">
      <formula>$B75="Inicio Liberación"</formula>
    </cfRule>
  </conditionalFormatting>
  <conditionalFormatting sqref="E76">
    <cfRule type="expression" dxfId="628" priority="445">
      <formula>$B76="Fin Liberación"</formula>
    </cfRule>
    <cfRule type="expression" dxfId="627" priority="446">
      <formula>$B76="Inicio Liberación"</formula>
    </cfRule>
  </conditionalFormatting>
  <conditionalFormatting sqref="F76">
    <cfRule type="expression" dxfId="626" priority="443">
      <formula>$B76="Fin Liberación"</formula>
    </cfRule>
    <cfRule type="expression" dxfId="625" priority="444">
      <formula>$B76="Inicio Liberación"</formula>
    </cfRule>
  </conditionalFormatting>
  <conditionalFormatting sqref="E77">
    <cfRule type="expression" dxfId="624" priority="441">
      <formula>$B77="Fin Liberación"</formula>
    </cfRule>
    <cfRule type="expression" dxfId="623" priority="442">
      <formula>$B77="Inicio Liberación"</formula>
    </cfRule>
  </conditionalFormatting>
  <conditionalFormatting sqref="F78">
    <cfRule type="expression" dxfId="622" priority="439">
      <formula>$B78="Fin Liberación"</formula>
    </cfRule>
    <cfRule type="expression" dxfId="621" priority="440">
      <formula>$B78="Inicio Liberación"</formula>
    </cfRule>
  </conditionalFormatting>
  <conditionalFormatting sqref="E79">
    <cfRule type="expression" dxfId="620" priority="437">
      <formula>$B79="Fin Liberación"</formula>
    </cfRule>
    <cfRule type="expression" dxfId="619" priority="438">
      <formula>$B79="Inicio Liberación"</formula>
    </cfRule>
  </conditionalFormatting>
  <conditionalFormatting sqref="F79">
    <cfRule type="expression" dxfId="618" priority="435">
      <formula>$B79="Fin Liberación"</formula>
    </cfRule>
    <cfRule type="expression" dxfId="617" priority="436">
      <formula>$B79="Inicio Liberación"</formula>
    </cfRule>
  </conditionalFormatting>
  <conditionalFormatting sqref="E80">
    <cfRule type="expression" dxfId="616" priority="433">
      <formula>$B80="Fin Liberación"</formula>
    </cfRule>
    <cfRule type="expression" dxfId="615" priority="434">
      <formula>$B80="Inicio Liberación"</formula>
    </cfRule>
  </conditionalFormatting>
  <conditionalFormatting sqref="F80">
    <cfRule type="expression" dxfId="614" priority="431">
      <formula>$B80="Fin Liberación"</formula>
    </cfRule>
    <cfRule type="expression" dxfId="613" priority="432">
      <formula>$B80="Inicio Liberación"</formula>
    </cfRule>
  </conditionalFormatting>
  <conditionalFormatting sqref="E81">
    <cfRule type="expression" dxfId="612" priority="429">
      <formula>$B81="Fin Liberación"</formula>
    </cfRule>
    <cfRule type="expression" dxfId="611" priority="430">
      <formula>$B81="Inicio Liberación"</formula>
    </cfRule>
  </conditionalFormatting>
  <conditionalFormatting sqref="F81">
    <cfRule type="expression" dxfId="610" priority="427">
      <formula>$B81="Fin Liberación"</formula>
    </cfRule>
    <cfRule type="expression" dxfId="609" priority="428">
      <formula>$B81="Inicio Liberación"</formula>
    </cfRule>
  </conditionalFormatting>
  <conditionalFormatting sqref="E82">
    <cfRule type="expression" dxfId="608" priority="425">
      <formula>$B82="Fin Liberación"</formula>
    </cfRule>
    <cfRule type="expression" dxfId="607" priority="426">
      <formula>$B82="Inicio Liberación"</formula>
    </cfRule>
  </conditionalFormatting>
  <conditionalFormatting sqref="F82">
    <cfRule type="expression" dxfId="606" priority="423">
      <formula>$B82="Fin Liberación"</formula>
    </cfRule>
    <cfRule type="expression" dxfId="605" priority="424">
      <formula>$B82="Inicio Liberación"</formula>
    </cfRule>
  </conditionalFormatting>
  <conditionalFormatting sqref="E83">
    <cfRule type="expression" dxfId="604" priority="421">
      <formula>$B83="Fin Liberación"</formula>
    </cfRule>
    <cfRule type="expression" dxfId="603" priority="422">
      <formula>$B83="Inicio Liberación"</formula>
    </cfRule>
  </conditionalFormatting>
  <conditionalFormatting sqref="F84">
    <cfRule type="expression" dxfId="602" priority="419">
      <formula>$B84="Fin Liberación"</formula>
    </cfRule>
    <cfRule type="expression" dxfId="601" priority="420">
      <formula>$B84="Inicio Liberación"</formula>
    </cfRule>
  </conditionalFormatting>
  <conditionalFormatting sqref="E85">
    <cfRule type="expression" dxfId="600" priority="417">
      <formula>$B85="Fin Liberación"</formula>
    </cfRule>
    <cfRule type="expression" dxfId="599" priority="418">
      <formula>$B85="Inicio Liberación"</formula>
    </cfRule>
  </conditionalFormatting>
  <conditionalFormatting sqref="F85">
    <cfRule type="expression" dxfId="598" priority="415">
      <formula>$B85="Fin Liberación"</formula>
    </cfRule>
    <cfRule type="expression" dxfId="597" priority="416">
      <formula>$B85="Inicio Liberación"</formula>
    </cfRule>
  </conditionalFormatting>
  <conditionalFormatting sqref="E86">
    <cfRule type="expression" dxfId="596" priority="413">
      <formula>$B86="Fin Liberación"</formula>
    </cfRule>
    <cfRule type="expression" dxfId="595" priority="414">
      <formula>$B86="Inicio Liberación"</formula>
    </cfRule>
  </conditionalFormatting>
  <conditionalFormatting sqref="F86">
    <cfRule type="expression" dxfId="594" priority="411">
      <formula>$B86="Fin Liberación"</formula>
    </cfRule>
    <cfRule type="expression" dxfId="593" priority="412">
      <formula>$B86="Inicio Liberación"</formula>
    </cfRule>
  </conditionalFormatting>
  <conditionalFormatting sqref="E87">
    <cfRule type="expression" dxfId="592" priority="409">
      <formula>$B87="Fin Liberación"</formula>
    </cfRule>
    <cfRule type="expression" dxfId="591" priority="410">
      <formula>$B87="Inicio Liberación"</formula>
    </cfRule>
  </conditionalFormatting>
  <conditionalFormatting sqref="F87">
    <cfRule type="expression" dxfId="590" priority="407">
      <formula>$B87="Fin Liberación"</formula>
    </cfRule>
    <cfRule type="expression" dxfId="589" priority="408">
      <formula>$B87="Inicio Liberación"</formula>
    </cfRule>
  </conditionalFormatting>
  <conditionalFormatting sqref="E89">
    <cfRule type="expression" dxfId="588" priority="401">
      <formula>$B89="Fin Liberación"</formula>
    </cfRule>
    <cfRule type="expression" dxfId="587" priority="402">
      <formula>$B89="Inicio Liberación"</formula>
    </cfRule>
  </conditionalFormatting>
  <conditionalFormatting sqref="F90">
    <cfRule type="expression" dxfId="586" priority="399">
      <formula>$B88="Fin Liberación"</formula>
    </cfRule>
    <cfRule type="expression" dxfId="585" priority="400">
      <formula>$B88="Inicio Liberación"</formula>
    </cfRule>
  </conditionalFormatting>
  <conditionalFormatting sqref="E91">
    <cfRule type="expression" dxfId="584" priority="397">
      <formula>$B89="Fin Liberación"</formula>
    </cfRule>
    <cfRule type="expression" dxfId="583" priority="398">
      <formula>$B89="Inicio Liberación"</formula>
    </cfRule>
  </conditionalFormatting>
  <conditionalFormatting sqref="F91">
    <cfRule type="expression" dxfId="582" priority="395">
      <formula>$B89="Fin Liberación"</formula>
    </cfRule>
    <cfRule type="expression" dxfId="581" priority="396">
      <formula>$B89="Inicio Liberación"</formula>
    </cfRule>
  </conditionalFormatting>
  <conditionalFormatting sqref="E92">
    <cfRule type="expression" dxfId="580" priority="393">
      <formula>$B90="Fin Liberación"</formula>
    </cfRule>
    <cfRule type="expression" dxfId="579" priority="394">
      <formula>$B90="Inicio Liberación"</formula>
    </cfRule>
  </conditionalFormatting>
  <conditionalFormatting sqref="F92">
    <cfRule type="expression" dxfId="578" priority="391">
      <formula>$B90="Fin Liberación"</formula>
    </cfRule>
    <cfRule type="expression" dxfId="577" priority="392">
      <formula>$B90="Inicio Liberación"</formula>
    </cfRule>
  </conditionalFormatting>
  <conditionalFormatting sqref="F93">
    <cfRule type="expression" dxfId="576" priority="387">
      <formula>$B91="Fin Liberación"</formula>
    </cfRule>
    <cfRule type="expression" dxfId="575" priority="388">
      <formula>$B91="Inicio Liberación"</formula>
    </cfRule>
  </conditionalFormatting>
  <conditionalFormatting sqref="E93">
    <cfRule type="expression" dxfId="574" priority="381">
      <formula>$B91="Fin Liberación"</formula>
    </cfRule>
    <cfRule type="expression" dxfId="573" priority="382">
      <formula>$B91="Inicio Liberación"</formula>
    </cfRule>
  </conditionalFormatting>
  <conditionalFormatting sqref="E94">
    <cfRule type="expression" dxfId="572" priority="379">
      <formula>$B92="Fin Liberación"</formula>
    </cfRule>
    <cfRule type="expression" dxfId="571" priority="380">
      <formula>$B92="Inicio Liberación"</formula>
    </cfRule>
  </conditionalFormatting>
  <conditionalFormatting sqref="F94">
    <cfRule type="expression" dxfId="570" priority="377">
      <formula>$B92="Fin Liberación"</formula>
    </cfRule>
    <cfRule type="expression" dxfId="569" priority="378">
      <formula>$B92="Inicio Liberación"</formula>
    </cfRule>
  </conditionalFormatting>
  <conditionalFormatting sqref="E95">
    <cfRule type="expression" dxfId="568" priority="375">
      <formula>$B93="Fin Liberación"</formula>
    </cfRule>
    <cfRule type="expression" dxfId="567" priority="376">
      <formula>$B93="Inicio Liberación"</formula>
    </cfRule>
  </conditionalFormatting>
  <conditionalFormatting sqref="F96">
    <cfRule type="expression" dxfId="566" priority="373">
      <formula>$B96="Fin Liberación"</formula>
    </cfRule>
    <cfRule type="expression" dxfId="565" priority="374">
      <formula>$B96="Inicio Liberación"</formula>
    </cfRule>
  </conditionalFormatting>
  <conditionalFormatting sqref="E97">
    <cfRule type="expression" dxfId="564" priority="371">
      <formula>$B97="Fin Liberación"</formula>
    </cfRule>
    <cfRule type="expression" dxfId="563" priority="372">
      <formula>$B97="Inicio Liberación"</formula>
    </cfRule>
  </conditionalFormatting>
  <conditionalFormatting sqref="F97">
    <cfRule type="expression" dxfId="562" priority="369">
      <formula>$B97="Fin Liberación"</formula>
    </cfRule>
    <cfRule type="expression" dxfId="561" priority="370">
      <formula>$B97="Inicio Liberación"</formula>
    </cfRule>
  </conditionalFormatting>
  <conditionalFormatting sqref="E98">
    <cfRule type="expression" dxfId="560" priority="367">
      <formula>$B98="Fin Liberación"</formula>
    </cfRule>
    <cfRule type="expression" dxfId="559" priority="368">
      <formula>$B98="Inicio Liberación"</formula>
    </cfRule>
  </conditionalFormatting>
  <conditionalFormatting sqref="F98">
    <cfRule type="expression" dxfId="558" priority="365">
      <formula>$B98="Fin Liberación"</formula>
    </cfRule>
    <cfRule type="expression" dxfId="557" priority="366">
      <formula>$B98="Inicio Liberación"</formula>
    </cfRule>
  </conditionalFormatting>
  <conditionalFormatting sqref="F99">
    <cfRule type="expression" dxfId="556" priority="361">
      <formula>$B99="Fin Liberación"</formula>
    </cfRule>
    <cfRule type="expression" dxfId="555" priority="362">
      <formula>$B99="Inicio Liberación"</formula>
    </cfRule>
  </conditionalFormatting>
  <conditionalFormatting sqref="F100">
    <cfRule type="expression" dxfId="554" priority="357">
      <formula>$B100="Fin Liberación"</formula>
    </cfRule>
    <cfRule type="expression" dxfId="553" priority="358">
      <formula>$B100="Inicio Liberación"</formula>
    </cfRule>
  </conditionalFormatting>
  <conditionalFormatting sqref="E101">
    <cfRule type="expression" dxfId="552" priority="331">
      <formula>$B101="Fin Liberación"</formula>
    </cfRule>
    <cfRule type="expression" dxfId="551" priority="332">
      <formula>$B101="Inicio Liberación"</formula>
    </cfRule>
  </conditionalFormatting>
  <conditionalFormatting sqref="F101">
    <cfRule type="expression" dxfId="550" priority="329">
      <formula>$B101="Fin Liberación"</formula>
    </cfRule>
    <cfRule type="expression" dxfId="549" priority="330">
      <formula>$B101="Inicio Liberación"</formula>
    </cfRule>
  </conditionalFormatting>
  <conditionalFormatting sqref="F103">
    <cfRule type="expression" dxfId="548" priority="321">
      <formula>$B103="Fin Liberación"</formula>
    </cfRule>
    <cfRule type="expression" dxfId="547" priority="322">
      <formula>$B103="Inicio Liberación"</formula>
    </cfRule>
  </conditionalFormatting>
  <conditionalFormatting sqref="E104">
    <cfRule type="expression" dxfId="546" priority="319">
      <formula>$B104="Fin Liberación"</formula>
    </cfRule>
    <cfRule type="expression" dxfId="545" priority="320">
      <formula>$B104="Inicio Liberación"</formula>
    </cfRule>
  </conditionalFormatting>
  <conditionalFormatting sqref="F104">
    <cfRule type="expression" dxfId="544" priority="317">
      <formula>$B104="Fin Liberación"</formula>
    </cfRule>
    <cfRule type="expression" dxfId="543" priority="318">
      <formula>$B104="Inicio Liberación"</formula>
    </cfRule>
  </conditionalFormatting>
  <conditionalFormatting sqref="F105">
    <cfRule type="expression" dxfId="542" priority="313">
      <formula>$B105="Fin Liberación"</formula>
    </cfRule>
    <cfRule type="expression" dxfId="541" priority="314">
      <formula>$B105="Inicio Liberación"</formula>
    </cfRule>
  </conditionalFormatting>
  <conditionalFormatting sqref="E99">
    <cfRule type="expression" dxfId="540" priority="307">
      <formula>$B99="Fin Liberación"</formula>
    </cfRule>
    <cfRule type="expression" dxfId="539" priority="308">
      <formula>$B99="Inicio Liberación"</formula>
    </cfRule>
  </conditionalFormatting>
  <conditionalFormatting sqref="E100">
    <cfRule type="expression" dxfId="538" priority="305">
      <formula>$B100="Fin Liberación"</formula>
    </cfRule>
    <cfRule type="expression" dxfId="537" priority="306">
      <formula>$B100="Inicio Liberación"</formula>
    </cfRule>
  </conditionalFormatting>
  <conditionalFormatting sqref="E102">
    <cfRule type="expression" dxfId="536" priority="303">
      <formula>$B102="Fin Liberación"</formula>
    </cfRule>
    <cfRule type="expression" dxfId="535" priority="304">
      <formula>$B102="Inicio Liberación"</formula>
    </cfRule>
  </conditionalFormatting>
  <conditionalFormatting sqref="F102">
    <cfRule type="expression" dxfId="534" priority="301">
      <formula>$B102="Fin Liberación"</formula>
    </cfRule>
    <cfRule type="expression" dxfId="533" priority="302">
      <formula>$B102="Inicio Liberación"</formula>
    </cfRule>
  </conditionalFormatting>
  <conditionalFormatting sqref="E103">
    <cfRule type="expression" dxfId="532" priority="299">
      <formula>$B103="Fin Liberación"</formula>
    </cfRule>
    <cfRule type="expression" dxfId="531" priority="300">
      <formula>$B103="Inicio Liberación"</formula>
    </cfRule>
  </conditionalFormatting>
  <conditionalFormatting sqref="E105">
    <cfRule type="expression" dxfId="530" priority="297">
      <formula>$B105="Fin Liberación"</formula>
    </cfRule>
    <cfRule type="expression" dxfId="529" priority="298">
      <formula>$B105="Inicio Liberación"</formula>
    </cfRule>
  </conditionalFormatting>
  <conditionalFormatting sqref="E106">
    <cfRule type="expression" dxfId="528" priority="295">
      <formula>$B106="Fin Liberación"</formula>
    </cfRule>
    <cfRule type="expression" dxfId="527" priority="296">
      <formula>$B106="Inicio Liberación"</formula>
    </cfRule>
  </conditionalFormatting>
  <conditionalFormatting sqref="F106">
    <cfRule type="expression" dxfId="526" priority="293">
      <formula>$B106="Fin Liberación"</formula>
    </cfRule>
    <cfRule type="expression" dxfId="525" priority="294">
      <formula>$B106="Inicio Liberación"</formula>
    </cfRule>
  </conditionalFormatting>
  <conditionalFormatting sqref="E107">
    <cfRule type="expression" dxfId="524" priority="291">
      <formula>$B107="Fin Liberación"</formula>
    </cfRule>
    <cfRule type="expression" dxfId="523" priority="292">
      <formula>$B107="Inicio Liberación"</formula>
    </cfRule>
  </conditionalFormatting>
  <conditionalFormatting sqref="F108">
    <cfRule type="expression" dxfId="522" priority="289">
      <formula>$B108="Fin Liberación"</formula>
    </cfRule>
    <cfRule type="expression" dxfId="521" priority="290">
      <formula>$B108="Inicio Liberación"</formula>
    </cfRule>
  </conditionalFormatting>
  <conditionalFormatting sqref="E109">
    <cfRule type="expression" dxfId="520" priority="287">
      <formula>$B109="Fin Liberación"</formula>
    </cfRule>
    <cfRule type="expression" dxfId="519" priority="288">
      <formula>$B109="Inicio Liberación"</formula>
    </cfRule>
  </conditionalFormatting>
  <conditionalFormatting sqref="F109">
    <cfRule type="expression" dxfId="518" priority="285">
      <formula>$B109="Fin Liberación"</formula>
    </cfRule>
    <cfRule type="expression" dxfId="517" priority="286">
      <formula>$B109="Inicio Liberación"</formula>
    </cfRule>
  </conditionalFormatting>
  <conditionalFormatting sqref="E110">
    <cfRule type="expression" dxfId="516" priority="283">
      <formula>$B110="Fin Liberación"</formula>
    </cfRule>
    <cfRule type="expression" dxfId="515" priority="284">
      <formula>$B110="Inicio Liberación"</formula>
    </cfRule>
  </conditionalFormatting>
  <conditionalFormatting sqref="F110">
    <cfRule type="expression" dxfId="514" priority="281">
      <formula>$B110="Fin Liberación"</formula>
    </cfRule>
    <cfRule type="expression" dxfId="513" priority="282">
      <formula>$B110="Inicio Liberación"</formula>
    </cfRule>
  </conditionalFormatting>
  <conditionalFormatting sqref="E111">
    <cfRule type="expression" dxfId="512" priority="279">
      <formula>$B111="Fin Liberación"</formula>
    </cfRule>
    <cfRule type="expression" dxfId="511" priority="280">
      <formula>$B111="Inicio Liberación"</formula>
    </cfRule>
  </conditionalFormatting>
  <conditionalFormatting sqref="F111">
    <cfRule type="expression" dxfId="510" priority="277">
      <formula>$B111="Fin Liberación"</formula>
    </cfRule>
    <cfRule type="expression" dxfId="509" priority="278">
      <formula>$B111="Inicio Liberación"</formula>
    </cfRule>
  </conditionalFormatting>
  <conditionalFormatting sqref="E112">
    <cfRule type="expression" dxfId="508" priority="275">
      <formula>$B112="Fin Liberación"</formula>
    </cfRule>
    <cfRule type="expression" dxfId="507" priority="276">
      <formula>$B112="Inicio Liberación"</formula>
    </cfRule>
  </conditionalFormatting>
  <conditionalFormatting sqref="F112">
    <cfRule type="expression" dxfId="506" priority="273">
      <formula>$B112="Fin Liberación"</formula>
    </cfRule>
    <cfRule type="expression" dxfId="505" priority="274">
      <formula>$B112="Inicio Liberación"</formula>
    </cfRule>
  </conditionalFormatting>
  <conditionalFormatting sqref="E113">
    <cfRule type="expression" dxfId="504" priority="271">
      <formula>$B113="Fin Liberación"</formula>
    </cfRule>
    <cfRule type="expression" dxfId="503" priority="272">
      <formula>$B113="Inicio Liberación"</formula>
    </cfRule>
  </conditionalFormatting>
  <conditionalFormatting sqref="F113">
    <cfRule type="expression" dxfId="502" priority="269">
      <formula>$B113="Fin Liberación"</formula>
    </cfRule>
    <cfRule type="expression" dxfId="501" priority="270">
      <formula>$B113="Inicio Liberación"</formula>
    </cfRule>
  </conditionalFormatting>
  <conditionalFormatting sqref="E114">
    <cfRule type="expression" dxfId="500" priority="267">
      <formula>$B114="Fin Liberación"</formula>
    </cfRule>
    <cfRule type="expression" dxfId="499" priority="268">
      <formula>$B114="Inicio Liberación"</formula>
    </cfRule>
  </conditionalFormatting>
  <conditionalFormatting sqref="F114">
    <cfRule type="expression" dxfId="498" priority="265">
      <formula>$B114="Fin Liberación"</formula>
    </cfRule>
    <cfRule type="expression" dxfId="497" priority="266">
      <formula>$B114="Inicio Liberación"</formula>
    </cfRule>
  </conditionalFormatting>
  <conditionalFormatting sqref="E115">
    <cfRule type="expression" dxfId="496" priority="263">
      <formula>$B115="Fin Liberación"</formula>
    </cfRule>
    <cfRule type="expression" dxfId="495" priority="264">
      <formula>$B115="Inicio Liberación"</formula>
    </cfRule>
  </conditionalFormatting>
  <conditionalFormatting sqref="F115">
    <cfRule type="expression" dxfId="494" priority="261">
      <formula>$B115="Fin Liberación"</formula>
    </cfRule>
    <cfRule type="expression" dxfId="493" priority="262">
      <formula>$B115="Inicio Liberación"</formula>
    </cfRule>
  </conditionalFormatting>
  <conditionalFormatting sqref="E116">
    <cfRule type="expression" dxfId="492" priority="259">
      <formula>$B116="Fin Liberación"</formula>
    </cfRule>
    <cfRule type="expression" dxfId="491" priority="260">
      <formula>$B116="Inicio Liberación"</formula>
    </cfRule>
  </conditionalFormatting>
  <conditionalFormatting sqref="F116">
    <cfRule type="expression" dxfId="490" priority="257">
      <formula>$B116="Fin Liberación"</formula>
    </cfRule>
    <cfRule type="expression" dxfId="489" priority="258">
      <formula>$B116="Inicio Liberación"</formula>
    </cfRule>
  </conditionalFormatting>
  <conditionalFormatting sqref="E117">
    <cfRule type="expression" dxfId="488" priority="255">
      <formula>$B117="Fin Liberación"</formula>
    </cfRule>
    <cfRule type="expression" dxfId="487" priority="256">
      <formula>$B117="Inicio Liberación"</formula>
    </cfRule>
  </conditionalFormatting>
  <conditionalFormatting sqref="E88">
    <cfRule type="expression" dxfId="486" priority="253">
      <formula>$B88="Fin Liberación"</formula>
    </cfRule>
    <cfRule type="expression" dxfId="485" priority="254">
      <formula>$B88="Inicio Liberación"</formula>
    </cfRule>
  </conditionalFormatting>
  <conditionalFormatting sqref="F88">
    <cfRule type="expression" dxfId="484" priority="251">
      <formula>$B88="Fin Liberación"</formula>
    </cfRule>
    <cfRule type="expression" dxfId="483" priority="252">
      <formula>$B88="Inicio Liberación"</formula>
    </cfRule>
  </conditionalFormatting>
  <conditionalFormatting sqref="F118">
    <cfRule type="expression" dxfId="482" priority="249">
      <formula>$B118="Fin Liberación"</formula>
    </cfRule>
    <cfRule type="expression" dxfId="481" priority="250">
      <formula>$B118="Inicio Liberación"</formula>
    </cfRule>
  </conditionalFormatting>
  <conditionalFormatting sqref="E7:E9">
    <cfRule type="expression" dxfId="480" priority="181">
      <formula>$B7="Fin Liberación"</formula>
    </cfRule>
    <cfRule type="expression" dxfId="479" priority="182">
      <formula>$B7="Inicio Liberación"</formula>
    </cfRule>
  </conditionalFormatting>
  <conditionalFormatting sqref="F6:F8">
    <cfRule type="expression" dxfId="478" priority="179">
      <formula>$B6="Fin Liberación"</formula>
    </cfRule>
    <cfRule type="expression" dxfId="477" priority="180">
      <formula>$B6="Inicio Liberación"</formula>
    </cfRule>
  </conditionalFormatting>
  <conditionalFormatting sqref="E6">
    <cfRule type="expression" dxfId="476" priority="177">
      <formula>$B6="Fin Liberación"</formula>
    </cfRule>
    <cfRule type="expression" dxfId="475" priority="178">
      <formula>$B6="Inicio Liberación"</formula>
    </cfRule>
  </conditionalFormatting>
  <conditionalFormatting sqref="F12">
    <cfRule type="expression" dxfId="474" priority="167">
      <formula>$B12="Fin Liberación"</formula>
    </cfRule>
    <cfRule type="expression" dxfId="473" priority="168">
      <formula>$B12="Inicio Liberación"</formula>
    </cfRule>
  </conditionalFormatting>
  <conditionalFormatting sqref="E12">
    <cfRule type="expression" dxfId="472" priority="165">
      <formula>$B12="Fin Liberación"</formula>
    </cfRule>
    <cfRule type="expression" dxfId="471" priority="166">
      <formula>$B12="Inicio Liberación"</formula>
    </cfRule>
  </conditionalFormatting>
  <conditionalFormatting sqref="F9">
    <cfRule type="expression" dxfId="470" priority="159">
      <formula>$B9="Fin Liberación"</formula>
    </cfRule>
    <cfRule type="expression" dxfId="469" priority="160">
      <formula>$B9="Inicio Liberación"</formula>
    </cfRule>
  </conditionalFormatting>
  <conditionalFormatting sqref="F10">
    <cfRule type="expression" dxfId="468" priority="153">
      <formula>$B10="Fin Liberación"</formula>
    </cfRule>
    <cfRule type="expression" dxfId="467" priority="154">
      <formula>$B10="Inicio Liberación"</formula>
    </cfRule>
  </conditionalFormatting>
  <conditionalFormatting sqref="E10">
    <cfRule type="expression" dxfId="466" priority="151">
      <formula>$B10="Fin Liberación"</formula>
    </cfRule>
    <cfRule type="expression" dxfId="465" priority="152">
      <formula>$B10="Inicio Liberación"</formula>
    </cfRule>
  </conditionalFormatting>
  <conditionalFormatting sqref="C15:C16">
    <cfRule type="expression" dxfId="464" priority="86">
      <formula>$A15="Inicio Liberación"</formula>
    </cfRule>
  </conditionalFormatting>
  <conditionalFormatting sqref="C15:C16">
    <cfRule type="expression" dxfId="463" priority="85">
      <formula>$A15="Fin Liberación"</formula>
    </cfRule>
  </conditionalFormatting>
  <conditionalFormatting sqref="C14:C16">
    <cfRule type="expression" dxfId="462" priority="83">
      <formula>$B17="Inicio Liberación"</formula>
    </cfRule>
  </conditionalFormatting>
  <conditionalFormatting sqref="C14:C16">
    <cfRule type="expression" dxfId="461" priority="84">
      <formula>$B17="Fin Liberación"</formula>
    </cfRule>
  </conditionalFormatting>
  <conditionalFormatting sqref="C14:C16">
    <cfRule type="containsText" dxfId="460" priority="81" operator="containsText" text="VTF">
      <formula>NOT(ISERROR(SEARCH("VTF",C14)))</formula>
    </cfRule>
    <cfRule type="containsText" dxfId="459" priority="82" operator="containsText" text="VTI">
      <formula>NOT(ISERROR(SEARCH("VTI",C14)))</formula>
    </cfRule>
  </conditionalFormatting>
  <conditionalFormatting sqref="C12">
    <cfRule type="expression" dxfId="458" priority="79">
      <formula>$B15="Inicio Liberación"</formula>
    </cfRule>
  </conditionalFormatting>
  <conditionalFormatting sqref="C12">
    <cfRule type="expression" dxfId="457" priority="80">
      <formula>$B15="Fin Liberación"</formula>
    </cfRule>
  </conditionalFormatting>
  <conditionalFormatting sqref="C12">
    <cfRule type="containsText" dxfId="456" priority="77" operator="containsText" text="VTF">
      <formula>NOT(ISERROR(SEARCH("VTF",C12)))</formula>
    </cfRule>
    <cfRule type="containsText" dxfId="455" priority="78" operator="containsText" text="VTI">
      <formula>NOT(ISERROR(SEARCH("VTI",C12)))</formula>
    </cfRule>
  </conditionalFormatting>
  <conditionalFormatting sqref="C13">
    <cfRule type="expression" dxfId="454" priority="75">
      <formula>$B16="Inicio Liberación"</formula>
    </cfRule>
  </conditionalFormatting>
  <conditionalFormatting sqref="C13">
    <cfRule type="expression" dxfId="453" priority="76">
      <formula>$B16="Fin Liberación"</formula>
    </cfRule>
  </conditionalFormatting>
  <conditionalFormatting sqref="C13">
    <cfRule type="containsText" dxfId="452" priority="73" operator="containsText" text="VTF">
      <formula>NOT(ISERROR(SEARCH("VTF",C13)))</formula>
    </cfRule>
    <cfRule type="containsText" dxfId="451" priority="74" operator="containsText" text="VTI">
      <formula>NOT(ISERROR(SEARCH("VTI",C13)))</formula>
    </cfRule>
  </conditionalFormatting>
  <conditionalFormatting sqref="C6:C10">
    <cfRule type="expression" dxfId="450" priority="67">
      <formula>$B9="Inicio Liberación"</formula>
    </cfRule>
  </conditionalFormatting>
  <conditionalFormatting sqref="C6:C10">
    <cfRule type="expression" dxfId="449" priority="68">
      <formula>$B9="Fin Liberación"</formula>
    </cfRule>
  </conditionalFormatting>
  <conditionalFormatting sqref="C6:C10">
    <cfRule type="containsText" dxfId="448" priority="65" operator="containsText" text="VTF">
      <formula>NOT(ISERROR(SEARCH("VTF",C6)))</formula>
    </cfRule>
    <cfRule type="containsText" dxfId="447" priority="66" operator="containsText" text="VTI">
      <formula>NOT(ISERROR(SEARCH("VTI",C6)))</formula>
    </cfRule>
  </conditionalFormatting>
  <conditionalFormatting sqref="C7">
    <cfRule type="expression" dxfId="446" priority="63">
      <formula>$B7="Fin Liberación"</formula>
    </cfRule>
    <cfRule type="expression" dxfId="445" priority="64">
      <formula>$B7="Inicio Liberación"</formula>
    </cfRule>
  </conditionalFormatting>
  <conditionalFormatting sqref="C7">
    <cfRule type="expression" dxfId="444" priority="61">
      <formula>$B7="Fin Liberación"</formula>
    </cfRule>
    <cfRule type="expression" dxfId="443" priority="62">
      <formula>$B7="Inicio Liberación"</formula>
    </cfRule>
  </conditionalFormatting>
  <conditionalFormatting sqref="D12">
    <cfRule type="expression" dxfId="442" priority="53">
      <formula>$B9="Fin Liberación"</formula>
    </cfRule>
    <cfRule type="expression" dxfId="441" priority="54">
      <formula>$B9="Inicio Liberación"</formula>
    </cfRule>
  </conditionalFormatting>
  <conditionalFormatting sqref="D4">
    <cfRule type="expression" dxfId="440" priority="41">
      <formula>$B3="Fin Liberación"</formula>
    </cfRule>
    <cfRule type="expression" dxfId="439" priority="42">
      <formula>$B3="Inicio Liberación"</formula>
    </cfRule>
  </conditionalFormatting>
  <conditionalFormatting sqref="D6">
    <cfRule type="expression" dxfId="438" priority="39">
      <formula>$B6="Fin Liberación"</formula>
    </cfRule>
    <cfRule type="expression" dxfId="437" priority="40">
      <formula>$B6="Inicio Liberación"</formula>
    </cfRule>
  </conditionalFormatting>
  <conditionalFormatting sqref="D6">
    <cfRule type="expression" dxfId="436" priority="37">
      <formula>$B6="Fin Liberación"</formula>
    </cfRule>
    <cfRule type="expression" dxfId="435" priority="38">
      <formula>$B6="Inicio Liberación"</formula>
    </cfRule>
  </conditionalFormatting>
  <conditionalFormatting sqref="D9">
    <cfRule type="expression" dxfId="434" priority="27">
      <formula>$B9="Fin Liberación"</formula>
    </cfRule>
    <cfRule type="expression" dxfId="433" priority="28">
      <formula>$B9="Inicio Liberación"</formula>
    </cfRule>
  </conditionalFormatting>
  <conditionalFormatting sqref="D9">
    <cfRule type="expression" dxfId="432" priority="25">
      <formula>$B9="Fin Liberación"</formula>
    </cfRule>
    <cfRule type="expression" dxfId="431" priority="26">
      <formula>$B9="Inicio Liberación"</formula>
    </cfRule>
  </conditionalFormatting>
  <conditionalFormatting sqref="C11">
    <cfRule type="expression" dxfId="430" priority="23">
      <formula>$B14="Inicio Liberación"</formula>
    </cfRule>
  </conditionalFormatting>
  <conditionalFormatting sqref="C11">
    <cfRule type="expression" dxfId="429" priority="24">
      <formula>$B14="Fin Liberación"</formula>
    </cfRule>
  </conditionalFormatting>
  <conditionalFormatting sqref="C11">
    <cfRule type="containsText" dxfId="428" priority="21" operator="containsText" text="VTF">
      <formula>NOT(ISERROR(SEARCH("VTF",C11)))</formula>
    </cfRule>
    <cfRule type="containsText" dxfId="427" priority="22" operator="containsText" text="VTI">
      <formula>NOT(ISERROR(SEARCH("VTI",C11)))</formula>
    </cfRule>
  </conditionalFormatting>
  <conditionalFormatting sqref="D10">
    <cfRule type="expression" dxfId="426" priority="19">
      <formula>$B10="Fin Liberación"</formula>
    </cfRule>
    <cfRule type="expression" dxfId="425" priority="20">
      <formula>$B10="Inicio Liberación"</formula>
    </cfRule>
  </conditionalFormatting>
  <conditionalFormatting sqref="D10">
    <cfRule type="expression" dxfId="424" priority="17">
      <formula>$B10="Fin Liberación"</formula>
    </cfRule>
    <cfRule type="expression" dxfId="423" priority="18">
      <formula>$B10="Inicio Liberación"</formula>
    </cfRule>
  </conditionalFormatting>
  <conditionalFormatting sqref="D8">
    <cfRule type="expression" dxfId="422" priority="7">
      <formula>$B8="Fin Liberación"</formula>
    </cfRule>
    <cfRule type="expression" dxfId="421" priority="8">
      <formula>$B8="Inicio Liberación"</formula>
    </cfRule>
  </conditionalFormatting>
  <conditionalFormatting sqref="D8">
    <cfRule type="expression" dxfId="420" priority="5">
      <formula>$B8="Fin Liberación"</formula>
    </cfRule>
    <cfRule type="expression" dxfId="419" priority="6">
      <formula>$B8="Inicio Liberación"</formula>
    </cfRule>
  </conditionalFormatting>
  <conditionalFormatting sqref="D7">
    <cfRule type="expression" dxfId="418" priority="3">
      <formula>$B7="Fin Liberación"</formula>
    </cfRule>
    <cfRule type="expression" dxfId="417" priority="4">
      <formula>$B7="Inicio Liberación"</formula>
    </cfRule>
  </conditionalFormatting>
  <conditionalFormatting sqref="D7">
    <cfRule type="expression" dxfId="416" priority="1">
      <formula>$B7="Fin Liberación"</formula>
    </cfRule>
    <cfRule type="expression" dxfId="415" priority="2">
      <formula>$B7="Inicio Liberación"</formula>
    </cfRule>
  </conditionalFormatting>
  <dataValidations xWindow="450" yWindow="252" count="7">
    <dataValidation type="list" allowBlank="1" showInputMessage="1" showErrorMessage="1" sqref="K5:K202">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2">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1">
      <formula1>"PRE,IMP,VAL,BCK,VTI,VTF,FIN"</formula1>
    </dataValidation>
    <dataValidation type="list" allowBlank="1" showInputMessage="1" showErrorMessage="1" sqref="H202">
      <formula1>$Q$3:$Q$19</formula1>
    </dataValidation>
  </dataValidations>
  <printOptions gridLines="1"/>
  <pageMargins left="0.19685039370078741" right="0.19685039370078741" top="0.39370078740157483" bottom="0.74803149606299213" header="0.31496062992125984" footer="0.31496062992125984"/>
  <pageSetup scale="38"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2:AK35"/>
  <sheetViews>
    <sheetView showGridLines="0" zoomScaleNormal="100" workbookViewId="0">
      <selection activeCell="B4" sqref="B4:E4"/>
    </sheetView>
  </sheetViews>
  <sheetFormatPr defaultColWidth="9.140625" defaultRowHeight="13.5"/>
  <cols>
    <col min="1" max="1" width="6.42578125" style="29" customWidth="1"/>
    <col min="2" max="2" width="23.140625" style="29" customWidth="1"/>
    <col min="3" max="3" width="15.42578125" style="29" customWidth="1"/>
    <col min="4" max="4" width="17.42578125" style="29" customWidth="1"/>
    <col min="5" max="5" width="46" style="29" customWidth="1"/>
    <col min="6" max="6" width="13.28515625" style="29" customWidth="1"/>
    <col min="7" max="10" width="9.140625" style="29" hidden="1" customWidth="1"/>
    <col min="11" max="11" width="22.140625" style="29" hidden="1" customWidth="1"/>
    <col min="12" max="12" width="61.5703125" style="29" hidden="1" customWidth="1"/>
    <col min="13" max="13" width="69.85546875" style="29" hidden="1" customWidth="1"/>
    <col min="14" max="14" width="46" style="29" hidden="1" customWidth="1"/>
    <col min="15" max="15" width="57.85546875" style="29" hidden="1" customWidth="1"/>
    <col min="16" max="16" width="44.7109375" style="29" hidden="1" customWidth="1"/>
    <col min="17" max="17" width="52.42578125" style="29" hidden="1" customWidth="1"/>
    <col min="18" max="18" width="35" style="29" hidden="1" customWidth="1"/>
    <col min="19" max="19" width="49.5703125" style="29" hidden="1" customWidth="1"/>
    <col min="20" max="20" width="14" style="29" hidden="1" customWidth="1"/>
    <col min="21" max="21" width="14.140625" style="29" hidden="1" customWidth="1"/>
    <col min="22" max="22" width="15.42578125" style="29" hidden="1" customWidth="1"/>
    <col min="23" max="23" width="13.42578125" style="29" hidden="1" customWidth="1"/>
    <col min="24" max="37" width="9.140625" style="29" hidden="1" customWidth="1"/>
    <col min="38" max="16384" width="9.140625" style="29"/>
  </cols>
  <sheetData>
    <row r="2" spans="2:35">
      <c r="B2" s="197" t="s">
        <v>289</v>
      </c>
      <c r="C2" s="197"/>
      <c r="D2" s="197"/>
      <c r="E2" s="197"/>
    </row>
    <row r="3" spans="2:35" ht="15" customHeight="1">
      <c r="B3" s="193" t="s">
        <v>153</v>
      </c>
      <c r="C3" s="194"/>
      <c r="D3" s="194"/>
      <c r="E3" s="195"/>
    </row>
    <row r="4" spans="2:35" ht="15" customHeight="1">
      <c r="B4" s="190" t="s">
        <v>308</v>
      </c>
      <c r="C4" s="191"/>
      <c r="D4" s="191"/>
      <c r="E4" s="192"/>
    </row>
    <row r="5" spans="2:35" ht="16.5" customHeight="1">
      <c r="B5" s="36"/>
      <c r="C5" s="36"/>
      <c r="D5" s="36"/>
      <c r="E5" s="36"/>
    </row>
    <row r="6" spans="2:35" ht="16.5" customHeight="1">
      <c r="B6" s="197" t="s">
        <v>151</v>
      </c>
      <c r="C6" s="197"/>
      <c r="D6" s="197"/>
      <c r="E6" s="197"/>
    </row>
    <row r="7" spans="2:35" ht="16.5" customHeight="1">
      <c r="B7" s="39" t="s">
        <v>152</v>
      </c>
      <c r="C7" s="40" t="s">
        <v>80</v>
      </c>
      <c r="D7" s="39" t="s">
        <v>78</v>
      </c>
      <c r="E7" s="40" t="s">
        <v>79</v>
      </c>
    </row>
    <row r="8" spans="2:35" ht="15" customHeight="1">
      <c r="B8" s="37"/>
      <c r="C8" s="37"/>
      <c r="D8" s="37"/>
      <c r="E8" s="37"/>
    </row>
    <row r="10" spans="2:35">
      <c r="B10" s="197" t="s">
        <v>288</v>
      </c>
      <c r="C10" s="197"/>
      <c r="D10" s="197"/>
      <c r="E10" s="197"/>
      <c r="F10" s="30"/>
      <c r="G10" s="30"/>
      <c r="H10" s="30"/>
      <c r="I10" s="30"/>
      <c r="J10" s="30"/>
      <c r="K10" s="31" t="e">
        <f>IF(#REF!=0,"",#REF!)</f>
        <v>#REF!</v>
      </c>
      <c r="L10" s="32" t="e">
        <f>IF(#REF!=0,"",#REF!)</f>
        <v>#REF!</v>
      </c>
      <c r="M10" s="32" t="e">
        <f>IF(#REF!=0,"",#REF!)</f>
        <v>#REF!</v>
      </c>
      <c r="N10" s="32" t="e">
        <f>IF(#REF!=0,"",#REF!)</f>
        <v>#REF!</v>
      </c>
      <c r="O10" s="32" t="e">
        <f>IF(#REF!=0,"",#REF!)</f>
        <v>#REF!</v>
      </c>
      <c r="P10" s="32" t="e">
        <f>IF(#REF!=0,"",#REF!)</f>
        <v>#REF!</v>
      </c>
      <c r="Q10" s="32" t="e">
        <f>IF(#REF!=0,"",#REF!)</f>
        <v>#REF!</v>
      </c>
      <c r="R10" s="32" t="e">
        <f>IF(#REF!=0,"",#REF!)</f>
        <v>#REF!</v>
      </c>
      <c r="S10" s="32" t="e">
        <f>IF(#REF!=0,"",#REF!)</f>
        <v>#REF!</v>
      </c>
      <c r="T10" s="32" t="e">
        <f>IF(#REF!=0,"",#REF!)</f>
        <v>#REF!</v>
      </c>
      <c r="U10" s="32" t="e">
        <f>IF(#REF!=0,"",#REF!)</f>
        <v>#REF!</v>
      </c>
      <c r="V10" s="32" t="e">
        <f>IF(#REF!=0,"",#REF!)</f>
        <v>#REF!</v>
      </c>
      <c r="W10" s="32" t="e">
        <f>IF(#REF!=0,"",#REF!)</f>
        <v>#REF!</v>
      </c>
      <c r="X10" s="32" t="e">
        <f>IF(#REF!=0,"",#REF!)</f>
        <v>#REF!</v>
      </c>
      <c r="Y10" s="32" t="e">
        <f>IF(#REF!=0,"",#REF!)</f>
        <v>#REF!</v>
      </c>
      <c r="Z10" s="32" t="e">
        <f>IF(#REF!=0,"",#REF!)</f>
        <v>#REF!</v>
      </c>
      <c r="AA10" s="32" t="e">
        <f>IF(#REF!=0,"",#REF!)</f>
        <v>#REF!</v>
      </c>
      <c r="AB10" s="32" t="e">
        <f>IF(#REF!=0,"",#REF!)</f>
        <v>#REF!</v>
      </c>
      <c r="AC10" s="32" t="e">
        <f>IF(#REF!=0,"",#REF!)</f>
        <v>#REF!</v>
      </c>
      <c r="AD10" s="32" t="e">
        <f>IF(#REF!=0,"",#REF!)</f>
        <v>#REF!</v>
      </c>
      <c r="AE10" s="32" t="e">
        <f>IF(#REF!=0,"",#REF!)</f>
        <v>#REF!</v>
      </c>
      <c r="AF10" s="32" t="e">
        <f>IF(#REF!=0,"",#REF!)</f>
        <v>#REF!</v>
      </c>
      <c r="AG10" s="32" t="e">
        <f>IF(#REF!=0,"",#REF!)</f>
        <v>#REF!</v>
      </c>
      <c r="AH10" s="32" t="e">
        <f>IF(#REF!=0,"",#REF!)</f>
        <v>#REF!</v>
      </c>
      <c r="AI10" s="32" t="e">
        <f>IF(#REF!=0,"",#REF!)</f>
        <v>#REF!</v>
      </c>
    </row>
    <row r="11" spans="2:35">
      <c r="B11" s="133" t="s">
        <v>287</v>
      </c>
      <c r="C11" s="198" t="s">
        <v>154</v>
      </c>
      <c r="D11" s="198"/>
      <c r="E11" s="198"/>
      <c r="F11" s="30"/>
      <c r="G11" s="30"/>
      <c r="H11" s="30"/>
      <c r="I11" s="30"/>
      <c r="J11" s="30"/>
      <c r="K11" s="31" t="e">
        <f>IF(#REF!=0,"",#REF!)</f>
        <v>#REF!</v>
      </c>
      <c r="L11" s="32" t="e">
        <f>IF(#REF!=0,"",#REF!)</f>
        <v>#REF!</v>
      </c>
      <c r="M11" s="32" t="e">
        <f>IF(#REF!=0,"",#REF!)</f>
        <v>#REF!</v>
      </c>
      <c r="N11" s="32" t="e">
        <f>IF(#REF!=0,"",#REF!)</f>
        <v>#REF!</v>
      </c>
      <c r="O11" s="32" t="e">
        <f>IF(#REF!=0,"",#REF!)</f>
        <v>#REF!</v>
      </c>
      <c r="P11" s="32" t="e">
        <f>IF(#REF!=0,"",#REF!)</f>
        <v>#REF!</v>
      </c>
      <c r="Q11" s="32" t="e">
        <f>IF(#REF!=0,"",#REF!)</f>
        <v>#REF!</v>
      </c>
      <c r="R11" s="32" t="e">
        <f>IF(#REF!=0,"",#REF!)</f>
        <v>#REF!</v>
      </c>
      <c r="S11" s="32" t="e">
        <f>IF(#REF!=0,"",#REF!)</f>
        <v>#REF!</v>
      </c>
      <c r="T11" s="32" t="e">
        <f>IF(#REF!=0,"",#REF!)</f>
        <v>#REF!</v>
      </c>
      <c r="U11" s="32" t="e">
        <f>IF(#REF!=0,"",#REF!)</f>
        <v>#REF!</v>
      </c>
      <c r="V11" s="32" t="e">
        <f>IF(#REF!=0,"",#REF!)</f>
        <v>#REF!</v>
      </c>
      <c r="W11" s="32" t="e">
        <f>IF(#REF!=0,"",#REF!)</f>
        <v>#REF!</v>
      </c>
      <c r="X11" s="32" t="e">
        <f>IF(#REF!=0,"",#REF!)</f>
        <v>#REF!</v>
      </c>
      <c r="Y11" s="32" t="e">
        <f>IF(#REF!=0,"",#REF!)</f>
        <v>#REF!</v>
      </c>
      <c r="Z11" s="32" t="e">
        <f>IF(#REF!=0,"",#REF!)</f>
        <v>#REF!</v>
      </c>
      <c r="AA11" s="32" t="e">
        <f>IF(#REF!=0,"",#REF!)</f>
        <v>#REF!</v>
      </c>
      <c r="AB11" s="32" t="e">
        <f>IF(#REF!=0,"",#REF!)</f>
        <v>#REF!</v>
      </c>
      <c r="AC11" s="32" t="e">
        <f>IF(#REF!=0,"",#REF!)</f>
        <v>#REF!</v>
      </c>
      <c r="AD11" s="32" t="e">
        <f>IF(#REF!=0,"",#REF!)</f>
        <v>#REF!</v>
      </c>
      <c r="AE11" s="32" t="e">
        <f>IF(#REF!=0,"",#REF!)</f>
        <v>#REF!</v>
      </c>
      <c r="AF11" s="32" t="e">
        <f>IF(#REF!=0,"",#REF!)</f>
        <v>#REF!</v>
      </c>
      <c r="AG11" s="32" t="e">
        <f>IF(#REF!=0,"",#REF!)</f>
        <v>#REF!</v>
      </c>
      <c r="AH11" s="32" t="e">
        <f>IF(#REF!=0,"",#REF!)</f>
        <v>#REF!</v>
      </c>
      <c r="AI11" s="32" t="e">
        <f>IF(#REF!=0,"",#REF!)</f>
        <v>#REF!</v>
      </c>
    </row>
    <row r="12" spans="2:35" ht="15" customHeight="1">
      <c r="B12" s="132"/>
      <c r="C12" s="196"/>
      <c r="D12" s="196"/>
      <c r="E12" s="196"/>
      <c r="F12" s="33"/>
      <c r="G12" s="33" t="str">
        <f>IFERROR(SEARCH("/",C12,1)-2,"")</f>
        <v/>
      </c>
      <c r="H12" s="33" t="str">
        <f>IFERROR(LEFT(C12,G12),"")</f>
        <v/>
      </c>
      <c r="I12" s="33" t="str">
        <f>IF(H12="","",CONCATENATE(H12,";"))</f>
        <v/>
      </c>
      <c r="J12" s="33"/>
      <c r="K12" s="31" t="e">
        <f>IF(#REF!=0,"",#REF!)</f>
        <v>#REF!</v>
      </c>
      <c r="L12" s="32" t="e">
        <f>IF(#REF!=0,"",#REF!)</f>
        <v>#REF!</v>
      </c>
      <c r="M12" s="32" t="e">
        <f>IF(#REF!=0,"",#REF!)</f>
        <v>#REF!</v>
      </c>
      <c r="N12" s="32" t="e">
        <f>IF(#REF!=0,"",#REF!)</f>
        <v>#REF!</v>
      </c>
      <c r="O12" s="32" t="e">
        <f>IF(#REF!=0,"",#REF!)</f>
        <v>#REF!</v>
      </c>
      <c r="P12" s="32" t="e">
        <f>IF(#REF!=0,"",#REF!)</f>
        <v>#REF!</v>
      </c>
      <c r="Q12" s="32" t="e">
        <f>IF(#REF!=0,"",#REF!)</f>
        <v>#REF!</v>
      </c>
      <c r="R12" s="32" t="e">
        <f>IF(#REF!=0,"",#REF!)</f>
        <v>#REF!</v>
      </c>
      <c r="S12" s="32" t="e">
        <f>IF(#REF!=0,"",#REF!)</f>
        <v>#REF!</v>
      </c>
      <c r="T12" s="32" t="e">
        <f>IF(#REF!=0,"",#REF!)</f>
        <v>#REF!</v>
      </c>
      <c r="U12" s="32" t="e">
        <f>IF(#REF!=0,"",#REF!)</f>
        <v>#REF!</v>
      </c>
      <c r="V12" s="32" t="e">
        <f>IF(#REF!=0,"",#REF!)</f>
        <v>#REF!</v>
      </c>
      <c r="W12" s="32" t="e">
        <f>IF(#REF!=0,"",#REF!)</f>
        <v>#REF!</v>
      </c>
      <c r="X12" s="32" t="e">
        <f>IF(#REF!=0,"",#REF!)</f>
        <v>#REF!</v>
      </c>
      <c r="Y12" s="32" t="e">
        <f>IF(#REF!=0,"",#REF!)</f>
        <v>#REF!</v>
      </c>
      <c r="Z12" s="32" t="e">
        <f>IF(#REF!=0,"",#REF!)</f>
        <v>#REF!</v>
      </c>
      <c r="AA12" s="32" t="e">
        <f>IF(#REF!=0,"",#REF!)</f>
        <v>#REF!</v>
      </c>
      <c r="AB12" s="32" t="e">
        <f>IF(#REF!=0,"",#REF!)</f>
        <v>#REF!</v>
      </c>
      <c r="AC12" s="32" t="e">
        <f>IF(#REF!=0,"",#REF!)</f>
        <v>#REF!</v>
      </c>
      <c r="AD12" s="32" t="e">
        <f>IF(#REF!=0,"",#REF!)</f>
        <v>#REF!</v>
      </c>
      <c r="AE12" s="32" t="e">
        <f>IF(#REF!=0,"",#REF!)</f>
        <v>#REF!</v>
      </c>
      <c r="AF12" s="32" t="e">
        <f>IF(#REF!=0,"",#REF!)</f>
        <v>#REF!</v>
      </c>
      <c r="AG12" s="32" t="e">
        <f>IF(#REF!=0,"",#REF!)</f>
        <v>#REF!</v>
      </c>
      <c r="AH12" s="32" t="e">
        <f>IF(#REF!=0,"",#REF!)</f>
        <v>#REF!</v>
      </c>
      <c r="AI12" s="32" t="e">
        <f>IF(#REF!=0,"",#REF!)</f>
        <v>#REF!</v>
      </c>
    </row>
    <row r="13" spans="2:35">
      <c r="B13" s="132"/>
      <c r="C13" s="196"/>
      <c r="D13" s="196"/>
      <c r="E13" s="196"/>
      <c r="F13" s="33"/>
      <c r="G13" s="33" t="str">
        <f t="shared" ref="G13:G21" si="0">IFERROR(SEARCH("/",C13,1)-2,"")</f>
        <v/>
      </c>
      <c r="H13" s="33" t="str">
        <f t="shared" ref="H13:H21" si="1">IFERROR(LEFT(C13,G13),"")</f>
        <v/>
      </c>
      <c r="I13" s="33" t="str">
        <f t="shared" ref="I13:I21" si="2">IF(H13="","",CONCATENATE(H13,";"))</f>
        <v/>
      </c>
      <c r="J13" s="33"/>
      <c r="K13" s="31" t="e">
        <f>IF(#REF!=0,"",#REF!)</f>
        <v>#REF!</v>
      </c>
      <c r="L13" s="32" t="e">
        <f>IF(#REF!=0,"",#REF!)</f>
        <v>#REF!</v>
      </c>
      <c r="M13" s="32" t="e">
        <f>IF(#REF!=0,"",#REF!)</f>
        <v>#REF!</v>
      </c>
      <c r="N13" s="32" t="e">
        <f>IF(#REF!=0,"",#REF!)</f>
        <v>#REF!</v>
      </c>
      <c r="O13" s="32" t="e">
        <f>IF(#REF!=0,"",#REF!)</f>
        <v>#REF!</v>
      </c>
      <c r="P13" s="32" t="e">
        <f>IF(#REF!=0,"",#REF!)</f>
        <v>#REF!</v>
      </c>
      <c r="Q13" s="32" t="e">
        <f>IF(#REF!=0,"",#REF!)</f>
        <v>#REF!</v>
      </c>
      <c r="R13" s="32" t="e">
        <f>IF(#REF!=0,"",#REF!)</f>
        <v>#REF!</v>
      </c>
      <c r="S13" s="32" t="e">
        <f>IF(#REF!=0,"",#REF!)</f>
        <v>#REF!</v>
      </c>
      <c r="T13" s="32" t="e">
        <f>IF(#REF!=0,"",#REF!)</f>
        <v>#REF!</v>
      </c>
      <c r="U13" s="32" t="e">
        <f>IF(#REF!=0,"",#REF!)</f>
        <v>#REF!</v>
      </c>
      <c r="V13" s="32" t="e">
        <f>IF(#REF!=0,"",#REF!)</f>
        <v>#REF!</v>
      </c>
      <c r="W13" s="32" t="e">
        <f>IF(#REF!=0,"",#REF!)</f>
        <v>#REF!</v>
      </c>
      <c r="X13" s="32" t="e">
        <f>IF(#REF!=0,"",#REF!)</f>
        <v>#REF!</v>
      </c>
      <c r="Y13" s="32" t="e">
        <f>IF(#REF!=0,"",#REF!)</f>
        <v>#REF!</v>
      </c>
      <c r="Z13" s="32" t="e">
        <f>IF(#REF!=0,"",#REF!)</f>
        <v>#REF!</v>
      </c>
      <c r="AA13" s="32" t="e">
        <f>IF(#REF!=0,"",#REF!)</f>
        <v>#REF!</v>
      </c>
      <c r="AB13" s="32" t="e">
        <f>IF(#REF!=0,"",#REF!)</f>
        <v>#REF!</v>
      </c>
      <c r="AC13" s="32" t="e">
        <f>IF(#REF!=0,"",#REF!)</f>
        <v>#REF!</v>
      </c>
      <c r="AD13" s="32" t="e">
        <f>IF(#REF!=0,"",#REF!)</f>
        <v>#REF!</v>
      </c>
      <c r="AE13" s="32" t="e">
        <f>IF(#REF!=0,"",#REF!)</f>
        <v>#REF!</v>
      </c>
      <c r="AF13" s="32" t="e">
        <f>IF(#REF!=0,"",#REF!)</f>
        <v>#REF!</v>
      </c>
      <c r="AG13" s="32" t="e">
        <f>IF(#REF!=0,"",#REF!)</f>
        <v>#REF!</v>
      </c>
      <c r="AH13" s="32" t="e">
        <f>IF(#REF!=0,"",#REF!)</f>
        <v>#REF!</v>
      </c>
      <c r="AI13" s="32" t="e">
        <f>IF(#REF!=0,"",#REF!)</f>
        <v>#REF!</v>
      </c>
    </row>
    <row r="14" spans="2:35">
      <c r="B14" s="132"/>
      <c r="C14" s="196"/>
      <c r="D14" s="196"/>
      <c r="E14" s="196"/>
      <c r="F14" s="33"/>
      <c r="G14" s="33" t="str">
        <f t="shared" si="0"/>
        <v/>
      </c>
      <c r="H14" s="33" t="str">
        <f t="shared" si="1"/>
        <v/>
      </c>
      <c r="I14" s="33" t="str">
        <f t="shared" si="2"/>
        <v/>
      </c>
      <c r="J14" s="33"/>
      <c r="K14" s="31" t="e">
        <f>IF(#REF!=0,"",#REF!)</f>
        <v>#REF!</v>
      </c>
      <c r="L14" s="32" t="e">
        <f>IF(#REF!=0,"",#REF!)</f>
        <v>#REF!</v>
      </c>
      <c r="M14" s="32" t="e">
        <f>IF(#REF!=0,"",#REF!)</f>
        <v>#REF!</v>
      </c>
      <c r="N14" s="32" t="e">
        <f>IF(#REF!=0,"",#REF!)</f>
        <v>#REF!</v>
      </c>
      <c r="O14" s="32" t="e">
        <f>IF(#REF!=0,"",#REF!)</f>
        <v>#REF!</v>
      </c>
      <c r="P14" s="32" t="e">
        <f>IF(#REF!=0,"",#REF!)</f>
        <v>#REF!</v>
      </c>
      <c r="Q14" s="32" t="e">
        <f>IF(#REF!=0,"",#REF!)</f>
        <v>#REF!</v>
      </c>
      <c r="R14" s="32" t="e">
        <f>IF(#REF!=0,"",#REF!)</f>
        <v>#REF!</v>
      </c>
      <c r="S14" s="32" t="e">
        <f>IF(#REF!=0,"",#REF!)</f>
        <v>#REF!</v>
      </c>
      <c r="T14" s="32" t="e">
        <f>IF(#REF!=0,"",#REF!)</f>
        <v>#REF!</v>
      </c>
      <c r="U14" s="32" t="e">
        <f>IF(#REF!=0,"",#REF!)</f>
        <v>#REF!</v>
      </c>
      <c r="V14" s="32" t="e">
        <f>IF(#REF!=0,"",#REF!)</f>
        <v>#REF!</v>
      </c>
      <c r="W14" s="32" t="e">
        <f>IF(#REF!=0,"",#REF!)</f>
        <v>#REF!</v>
      </c>
      <c r="X14" s="32" t="e">
        <f>IF(#REF!=0,"",#REF!)</f>
        <v>#REF!</v>
      </c>
      <c r="Y14" s="32" t="e">
        <f>IF(#REF!=0,"",#REF!)</f>
        <v>#REF!</v>
      </c>
      <c r="Z14" s="32" t="e">
        <f>IF(#REF!=0,"",#REF!)</f>
        <v>#REF!</v>
      </c>
      <c r="AA14" s="32" t="e">
        <f>IF(#REF!=0,"",#REF!)</f>
        <v>#REF!</v>
      </c>
      <c r="AB14" s="32" t="e">
        <f>IF(#REF!=0,"",#REF!)</f>
        <v>#REF!</v>
      </c>
      <c r="AC14" s="32" t="e">
        <f>IF(#REF!=0,"",#REF!)</f>
        <v>#REF!</v>
      </c>
      <c r="AD14" s="32" t="e">
        <f>IF(#REF!=0,"",#REF!)</f>
        <v>#REF!</v>
      </c>
      <c r="AE14" s="32" t="e">
        <f>IF(#REF!=0,"",#REF!)</f>
        <v>#REF!</v>
      </c>
      <c r="AF14" s="32" t="e">
        <f>IF(#REF!=0,"",#REF!)</f>
        <v>#REF!</v>
      </c>
      <c r="AG14" s="32" t="e">
        <f>IF(#REF!=0,"",#REF!)</f>
        <v>#REF!</v>
      </c>
      <c r="AH14" s="32" t="e">
        <f>IF(#REF!=0,"",#REF!)</f>
        <v>#REF!</v>
      </c>
      <c r="AI14" s="32" t="e">
        <f>IF(#REF!=0,"",#REF!)</f>
        <v>#REF!</v>
      </c>
    </row>
    <row r="15" spans="2:35">
      <c r="B15" s="132"/>
      <c r="C15" s="196"/>
      <c r="D15" s="196"/>
      <c r="E15" s="196"/>
      <c r="F15" s="33"/>
      <c r="G15" s="33" t="str">
        <f t="shared" si="0"/>
        <v/>
      </c>
      <c r="H15" s="33" t="str">
        <f t="shared" si="1"/>
        <v/>
      </c>
      <c r="I15" s="33" t="str">
        <f t="shared" si="2"/>
        <v/>
      </c>
      <c r="J15" s="33"/>
      <c r="K15" s="31" t="e">
        <f>IF(#REF!=0,"",#REF!)</f>
        <v>#REF!</v>
      </c>
      <c r="L15" s="32" t="e">
        <f>IF(#REF!=0,"",#REF!)</f>
        <v>#REF!</v>
      </c>
      <c r="M15" s="32" t="e">
        <f>IF(#REF!=0,"",#REF!)</f>
        <v>#REF!</v>
      </c>
      <c r="N15" s="32" t="e">
        <f>IF(#REF!=0,"",#REF!)</f>
        <v>#REF!</v>
      </c>
      <c r="O15" s="32" t="e">
        <f>IF(#REF!=0,"",#REF!)</f>
        <v>#REF!</v>
      </c>
      <c r="P15" s="32" t="e">
        <f>IF(#REF!=0,"",#REF!)</f>
        <v>#REF!</v>
      </c>
      <c r="Q15" s="32" t="e">
        <f>IF(#REF!=0,"",#REF!)</f>
        <v>#REF!</v>
      </c>
      <c r="R15" s="32" t="e">
        <f>IF(#REF!=0,"",#REF!)</f>
        <v>#REF!</v>
      </c>
      <c r="S15" s="32" t="e">
        <f>IF(#REF!=0,"",#REF!)</f>
        <v>#REF!</v>
      </c>
      <c r="T15" s="32" t="e">
        <f>IF(#REF!=0,"",#REF!)</f>
        <v>#REF!</v>
      </c>
      <c r="U15" s="32" t="e">
        <f>IF(#REF!=0,"",#REF!)</f>
        <v>#REF!</v>
      </c>
      <c r="V15" s="32" t="e">
        <f>IF(#REF!=0,"",#REF!)</f>
        <v>#REF!</v>
      </c>
      <c r="W15" s="32" t="e">
        <f>IF(#REF!=0,"",#REF!)</f>
        <v>#REF!</v>
      </c>
      <c r="X15" s="32" t="e">
        <f>IF(#REF!=0,"",#REF!)</f>
        <v>#REF!</v>
      </c>
      <c r="Y15" s="32" t="e">
        <f>IF(#REF!=0,"",#REF!)</f>
        <v>#REF!</v>
      </c>
      <c r="Z15" s="32" t="e">
        <f>IF(#REF!=0,"",#REF!)</f>
        <v>#REF!</v>
      </c>
      <c r="AA15" s="32" t="e">
        <f>IF(#REF!=0,"",#REF!)</f>
        <v>#REF!</v>
      </c>
      <c r="AB15" s="32" t="e">
        <f>IF(#REF!=0,"",#REF!)</f>
        <v>#REF!</v>
      </c>
      <c r="AC15" s="32" t="e">
        <f>IF(#REF!=0,"",#REF!)</f>
        <v>#REF!</v>
      </c>
      <c r="AD15" s="32" t="e">
        <f>IF(#REF!=0,"",#REF!)</f>
        <v>#REF!</v>
      </c>
      <c r="AE15" s="32" t="e">
        <f>IF(#REF!=0,"",#REF!)</f>
        <v>#REF!</v>
      </c>
      <c r="AF15" s="32" t="e">
        <f>IF(#REF!=0,"",#REF!)</f>
        <v>#REF!</v>
      </c>
      <c r="AG15" s="32" t="e">
        <f>IF(#REF!=0,"",#REF!)</f>
        <v>#REF!</v>
      </c>
      <c r="AH15" s="32" t="e">
        <f>IF(#REF!=0,"",#REF!)</f>
        <v>#REF!</v>
      </c>
      <c r="AI15" s="32" t="e">
        <f>IF(#REF!=0,"",#REF!)</f>
        <v>#REF!</v>
      </c>
    </row>
    <row r="16" spans="2:35">
      <c r="B16" s="132"/>
      <c r="C16" s="196"/>
      <c r="D16" s="196"/>
      <c r="E16" s="196"/>
      <c r="F16" s="33"/>
      <c r="G16" s="33" t="str">
        <f t="shared" si="0"/>
        <v/>
      </c>
      <c r="H16" s="33" t="str">
        <f t="shared" si="1"/>
        <v/>
      </c>
      <c r="I16" s="33" t="str">
        <f t="shared" si="2"/>
        <v/>
      </c>
      <c r="J16" s="33"/>
      <c r="K16" s="31" t="e">
        <f>IF(#REF!=0,"",#REF!)</f>
        <v>#REF!</v>
      </c>
      <c r="L16" s="32" t="e">
        <f>IF(#REF!=0,"",#REF!)</f>
        <v>#REF!</v>
      </c>
      <c r="M16" s="32" t="e">
        <f>IF(#REF!=0,"",#REF!)</f>
        <v>#REF!</v>
      </c>
      <c r="N16" s="32" t="e">
        <f>IF(#REF!=0,"",#REF!)</f>
        <v>#REF!</v>
      </c>
      <c r="O16" s="32" t="e">
        <f>IF(#REF!=0,"",#REF!)</f>
        <v>#REF!</v>
      </c>
      <c r="P16" s="32" t="e">
        <f>IF(#REF!=0,"",#REF!)</f>
        <v>#REF!</v>
      </c>
      <c r="Q16" s="32" t="e">
        <f>IF(#REF!=0,"",#REF!)</f>
        <v>#REF!</v>
      </c>
      <c r="R16" s="32" t="e">
        <f>IF(#REF!=0,"",#REF!)</f>
        <v>#REF!</v>
      </c>
      <c r="S16" s="32" t="e">
        <f>IF(#REF!=0,"",#REF!)</f>
        <v>#REF!</v>
      </c>
      <c r="T16" s="32" t="e">
        <f>IF(#REF!=0,"",#REF!)</f>
        <v>#REF!</v>
      </c>
      <c r="U16" s="32" t="e">
        <f>IF(#REF!=0,"",#REF!)</f>
        <v>#REF!</v>
      </c>
      <c r="V16" s="32" t="e">
        <f>IF(#REF!=0,"",#REF!)</f>
        <v>#REF!</v>
      </c>
      <c r="W16" s="32" t="e">
        <f>IF(#REF!=0,"",#REF!)</f>
        <v>#REF!</v>
      </c>
      <c r="X16" s="32" t="e">
        <f>IF(#REF!=0,"",#REF!)</f>
        <v>#REF!</v>
      </c>
      <c r="Y16" s="32" t="e">
        <f>IF(#REF!=0,"",#REF!)</f>
        <v>#REF!</v>
      </c>
      <c r="Z16" s="32" t="e">
        <f>IF(#REF!=0,"",#REF!)</f>
        <v>#REF!</v>
      </c>
      <c r="AA16" s="32" t="e">
        <f>IF(#REF!=0,"",#REF!)</f>
        <v>#REF!</v>
      </c>
      <c r="AB16" s="32" t="e">
        <f>IF(#REF!=0,"",#REF!)</f>
        <v>#REF!</v>
      </c>
      <c r="AC16" s="32" t="e">
        <f>IF(#REF!=0,"",#REF!)</f>
        <v>#REF!</v>
      </c>
      <c r="AD16" s="32" t="e">
        <f>IF(#REF!=0,"",#REF!)</f>
        <v>#REF!</v>
      </c>
      <c r="AE16" s="32" t="e">
        <f>IF(#REF!=0,"",#REF!)</f>
        <v>#REF!</v>
      </c>
      <c r="AF16" s="32" t="e">
        <f>IF(#REF!=0,"",#REF!)</f>
        <v>#REF!</v>
      </c>
      <c r="AG16" s="32" t="e">
        <f>IF(#REF!=0,"",#REF!)</f>
        <v>#REF!</v>
      </c>
      <c r="AH16" s="32" t="e">
        <f>IF(#REF!=0,"",#REF!)</f>
        <v>#REF!</v>
      </c>
      <c r="AI16" s="32" t="e">
        <f>IF(#REF!=0,"",#REF!)</f>
        <v>#REF!</v>
      </c>
    </row>
    <row r="17" spans="2:35">
      <c r="B17" s="132"/>
      <c r="C17" s="196"/>
      <c r="D17" s="196"/>
      <c r="E17" s="196"/>
      <c r="F17" s="33"/>
      <c r="G17" s="33" t="str">
        <f t="shared" si="0"/>
        <v/>
      </c>
      <c r="H17" s="33" t="str">
        <f t="shared" si="1"/>
        <v/>
      </c>
      <c r="I17" s="33" t="str">
        <f t="shared" si="2"/>
        <v/>
      </c>
      <c r="J17" s="33"/>
      <c r="K17" s="31" t="e">
        <f>IF(#REF!=0,"",#REF!)</f>
        <v>#REF!</v>
      </c>
      <c r="L17" s="32" t="e">
        <f>IF(#REF!=0,"",#REF!)</f>
        <v>#REF!</v>
      </c>
      <c r="M17" s="32" t="e">
        <f>IF(#REF!=0,"",#REF!)</f>
        <v>#REF!</v>
      </c>
      <c r="N17" s="32" t="e">
        <f>IF(#REF!=0,"",#REF!)</f>
        <v>#REF!</v>
      </c>
      <c r="O17" s="32" t="e">
        <f>IF(#REF!=0,"",#REF!)</f>
        <v>#REF!</v>
      </c>
      <c r="P17" s="32" t="e">
        <f>IF(#REF!=0,"",#REF!)</f>
        <v>#REF!</v>
      </c>
      <c r="Q17" s="32" t="e">
        <f>IF(#REF!=0,"",#REF!)</f>
        <v>#REF!</v>
      </c>
      <c r="R17" s="32" t="e">
        <f>IF(#REF!=0,"",#REF!)</f>
        <v>#REF!</v>
      </c>
      <c r="S17" s="32" t="e">
        <f>IF(#REF!=0,"",#REF!)</f>
        <v>#REF!</v>
      </c>
      <c r="T17" s="32" t="e">
        <f>IF(#REF!=0,"",#REF!)</f>
        <v>#REF!</v>
      </c>
      <c r="U17" s="32" t="e">
        <f>IF(#REF!=0,"",#REF!)</f>
        <v>#REF!</v>
      </c>
      <c r="V17" s="32" t="e">
        <f>IF(#REF!=0,"",#REF!)</f>
        <v>#REF!</v>
      </c>
      <c r="W17" s="32" t="e">
        <f>IF(#REF!=0,"",#REF!)</f>
        <v>#REF!</v>
      </c>
      <c r="X17" s="32" t="e">
        <f>IF(#REF!=0,"",#REF!)</f>
        <v>#REF!</v>
      </c>
      <c r="Y17" s="32" t="e">
        <f>IF(#REF!=0,"",#REF!)</f>
        <v>#REF!</v>
      </c>
      <c r="Z17" s="32" t="e">
        <f>IF(#REF!=0,"",#REF!)</f>
        <v>#REF!</v>
      </c>
      <c r="AA17" s="32" t="e">
        <f>IF(#REF!=0,"",#REF!)</f>
        <v>#REF!</v>
      </c>
      <c r="AB17" s="32" t="e">
        <f>IF(#REF!=0,"",#REF!)</f>
        <v>#REF!</v>
      </c>
      <c r="AC17" s="32" t="e">
        <f>IF(#REF!=0,"",#REF!)</f>
        <v>#REF!</v>
      </c>
      <c r="AD17" s="32" t="e">
        <f>IF(#REF!=0,"",#REF!)</f>
        <v>#REF!</v>
      </c>
      <c r="AE17" s="32" t="e">
        <f>IF(#REF!=0,"",#REF!)</f>
        <v>#REF!</v>
      </c>
      <c r="AF17" s="32" t="e">
        <f>IF(#REF!=0,"",#REF!)</f>
        <v>#REF!</v>
      </c>
      <c r="AG17" s="32" t="e">
        <f>IF(#REF!=0,"",#REF!)</f>
        <v>#REF!</v>
      </c>
      <c r="AH17" s="32" t="e">
        <f>IF(#REF!=0,"",#REF!)</f>
        <v>#REF!</v>
      </c>
      <c r="AI17" s="32" t="e">
        <f>IF(#REF!=0,"",#REF!)</f>
        <v>#REF!</v>
      </c>
    </row>
    <row r="18" spans="2:35">
      <c r="B18" s="132"/>
      <c r="C18" s="196"/>
      <c r="D18" s="196"/>
      <c r="E18" s="196"/>
      <c r="F18" s="33"/>
      <c r="G18" s="33" t="str">
        <f t="shared" si="0"/>
        <v/>
      </c>
      <c r="H18" s="33" t="str">
        <f t="shared" si="1"/>
        <v/>
      </c>
      <c r="I18" s="33" t="str">
        <f t="shared" si="2"/>
        <v/>
      </c>
      <c r="J18" s="33"/>
      <c r="K18" s="31" t="e">
        <f>IF(#REF!=0,"",#REF!)</f>
        <v>#REF!</v>
      </c>
      <c r="L18" s="32" t="e">
        <f>IF(#REF!=0,"",#REF!)</f>
        <v>#REF!</v>
      </c>
      <c r="M18" s="32" t="e">
        <f>IF(#REF!=0,"",#REF!)</f>
        <v>#REF!</v>
      </c>
      <c r="N18" s="32" t="e">
        <f>IF(#REF!=0,"",#REF!)</f>
        <v>#REF!</v>
      </c>
      <c r="O18" s="32" t="e">
        <f>IF(#REF!=0,"",#REF!)</f>
        <v>#REF!</v>
      </c>
      <c r="P18" s="32" t="e">
        <f>IF(#REF!=0,"",#REF!)</f>
        <v>#REF!</v>
      </c>
      <c r="Q18" s="32" t="e">
        <f>IF(#REF!=0,"",#REF!)</f>
        <v>#REF!</v>
      </c>
      <c r="R18" s="32" t="e">
        <f>IF(#REF!=0,"",#REF!)</f>
        <v>#REF!</v>
      </c>
      <c r="S18" s="32" t="e">
        <f>IF(#REF!=0,"",#REF!)</f>
        <v>#REF!</v>
      </c>
      <c r="T18" s="32" t="e">
        <f>IF(#REF!=0,"",#REF!)</f>
        <v>#REF!</v>
      </c>
      <c r="U18" s="32" t="e">
        <f>IF(#REF!=0,"",#REF!)</f>
        <v>#REF!</v>
      </c>
      <c r="V18" s="32" t="e">
        <f>IF(#REF!=0,"",#REF!)</f>
        <v>#REF!</v>
      </c>
      <c r="W18" s="32" t="e">
        <f>IF(#REF!=0,"",#REF!)</f>
        <v>#REF!</v>
      </c>
      <c r="X18" s="32" t="e">
        <f>IF(#REF!=0,"",#REF!)</f>
        <v>#REF!</v>
      </c>
      <c r="Y18" s="32" t="e">
        <f>IF(#REF!=0,"",#REF!)</f>
        <v>#REF!</v>
      </c>
      <c r="Z18" s="32" t="e">
        <f>IF(#REF!=0,"",#REF!)</f>
        <v>#REF!</v>
      </c>
      <c r="AA18" s="32" t="e">
        <f>IF(#REF!=0,"",#REF!)</f>
        <v>#REF!</v>
      </c>
      <c r="AB18" s="32" t="e">
        <f>IF(#REF!=0,"",#REF!)</f>
        <v>#REF!</v>
      </c>
      <c r="AC18" s="32" t="e">
        <f>IF(#REF!=0,"",#REF!)</f>
        <v>#REF!</v>
      </c>
      <c r="AD18" s="32" t="e">
        <f>IF(#REF!=0,"",#REF!)</f>
        <v>#REF!</v>
      </c>
      <c r="AE18" s="32" t="e">
        <f>IF(#REF!=0,"",#REF!)</f>
        <v>#REF!</v>
      </c>
      <c r="AF18" s="32" t="e">
        <f>IF(#REF!=0,"",#REF!)</f>
        <v>#REF!</v>
      </c>
      <c r="AG18" s="32" t="e">
        <f>IF(#REF!=0,"",#REF!)</f>
        <v>#REF!</v>
      </c>
      <c r="AH18" s="32" t="e">
        <f>IF(#REF!=0,"",#REF!)</f>
        <v>#REF!</v>
      </c>
      <c r="AI18" s="32" t="e">
        <f>IF(#REF!=0,"",#REF!)</f>
        <v>#REF!</v>
      </c>
    </row>
    <row r="19" spans="2:35">
      <c r="B19" s="132"/>
      <c r="C19" s="196"/>
      <c r="D19" s="196"/>
      <c r="E19" s="196"/>
      <c r="F19" s="33"/>
      <c r="G19" s="33" t="str">
        <f t="shared" si="0"/>
        <v/>
      </c>
      <c r="H19" s="33" t="str">
        <f t="shared" si="1"/>
        <v/>
      </c>
      <c r="I19" s="33" t="str">
        <f t="shared" si="2"/>
        <v/>
      </c>
      <c r="J19" s="33"/>
      <c r="K19" s="31" t="e">
        <f>IF(#REF!=0,"",#REF!)</f>
        <v>#REF!</v>
      </c>
      <c r="L19" s="32" t="e">
        <f>IF(#REF!=0,"",#REF!)</f>
        <v>#REF!</v>
      </c>
      <c r="M19" s="32" t="e">
        <f>IF(#REF!=0,"",#REF!)</f>
        <v>#REF!</v>
      </c>
      <c r="N19" s="32" t="e">
        <f>IF(#REF!=0,"",#REF!)</f>
        <v>#REF!</v>
      </c>
      <c r="O19" s="32" t="e">
        <f>IF(#REF!=0,"",#REF!)</f>
        <v>#REF!</v>
      </c>
      <c r="P19" s="32" t="e">
        <f>IF(#REF!=0,"",#REF!)</f>
        <v>#REF!</v>
      </c>
      <c r="Q19" s="32" t="e">
        <f>IF(#REF!=0,"",#REF!)</f>
        <v>#REF!</v>
      </c>
      <c r="R19" s="32" t="e">
        <f>IF(#REF!=0,"",#REF!)</f>
        <v>#REF!</v>
      </c>
      <c r="S19" s="32" t="e">
        <f>IF(#REF!=0,"",#REF!)</f>
        <v>#REF!</v>
      </c>
      <c r="T19" s="32" t="e">
        <f>IF(#REF!=0,"",#REF!)</f>
        <v>#REF!</v>
      </c>
      <c r="U19" s="32" t="e">
        <f>IF(#REF!=0,"",#REF!)</f>
        <v>#REF!</v>
      </c>
      <c r="V19" s="32" t="e">
        <f>IF(#REF!=0,"",#REF!)</f>
        <v>#REF!</v>
      </c>
      <c r="W19" s="32" t="e">
        <f>IF(#REF!=0,"",#REF!)</f>
        <v>#REF!</v>
      </c>
      <c r="X19" s="32" t="e">
        <f>IF(#REF!=0,"",#REF!)</f>
        <v>#REF!</v>
      </c>
      <c r="Y19" s="32" t="e">
        <f>IF(#REF!=0,"",#REF!)</f>
        <v>#REF!</v>
      </c>
      <c r="Z19" s="32" t="e">
        <f>IF(#REF!=0,"",#REF!)</f>
        <v>#REF!</v>
      </c>
      <c r="AA19" s="32" t="e">
        <f>IF(#REF!=0,"",#REF!)</f>
        <v>#REF!</v>
      </c>
      <c r="AB19" s="32" t="e">
        <f>IF(#REF!=0,"",#REF!)</f>
        <v>#REF!</v>
      </c>
      <c r="AC19" s="32" t="e">
        <f>IF(#REF!=0,"",#REF!)</f>
        <v>#REF!</v>
      </c>
      <c r="AD19" s="32" t="e">
        <f>IF(#REF!=0,"",#REF!)</f>
        <v>#REF!</v>
      </c>
      <c r="AE19" s="32" t="e">
        <f>IF(#REF!=0,"",#REF!)</f>
        <v>#REF!</v>
      </c>
      <c r="AF19" s="32" t="e">
        <f>IF(#REF!=0,"",#REF!)</f>
        <v>#REF!</v>
      </c>
      <c r="AG19" s="32" t="e">
        <f>IF(#REF!=0,"",#REF!)</f>
        <v>#REF!</v>
      </c>
      <c r="AH19" s="32" t="e">
        <f>IF(#REF!=0,"",#REF!)</f>
        <v>#REF!</v>
      </c>
      <c r="AI19" s="32" t="e">
        <f>IF(#REF!=0,"",#REF!)</f>
        <v>#REF!</v>
      </c>
    </row>
    <row r="20" spans="2:35">
      <c r="B20" s="132"/>
      <c r="C20" s="196"/>
      <c r="D20" s="196"/>
      <c r="E20" s="196"/>
      <c r="F20" s="33"/>
      <c r="G20" s="33" t="str">
        <f t="shared" si="0"/>
        <v/>
      </c>
      <c r="H20" s="33" t="str">
        <f t="shared" si="1"/>
        <v/>
      </c>
      <c r="I20" s="33" t="str">
        <f t="shared" si="2"/>
        <v/>
      </c>
      <c r="J20" s="33"/>
      <c r="K20" s="31" t="e">
        <f>IF(#REF!=0,"",#REF!)</f>
        <v>#REF!</v>
      </c>
      <c r="L20" s="32" t="e">
        <f>IF(#REF!=0,"",#REF!)</f>
        <v>#REF!</v>
      </c>
      <c r="M20" s="32" t="e">
        <f>IF(#REF!=0,"",#REF!)</f>
        <v>#REF!</v>
      </c>
      <c r="N20" s="32" t="e">
        <f>IF(#REF!=0,"",#REF!)</f>
        <v>#REF!</v>
      </c>
      <c r="O20" s="32" t="e">
        <f>IF(#REF!=0,"",#REF!)</f>
        <v>#REF!</v>
      </c>
      <c r="P20" s="32" t="e">
        <f>IF(#REF!=0,"",#REF!)</f>
        <v>#REF!</v>
      </c>
      <c r="Q20" s="32" t="e">
        <f>IF(#REF!=0,"",#REF!)</f>
        <v>#REF!</v>
      </c>
      <c r="R20" s="32" t="e">
        <f>IF(#REF!=0,"",#REF!)</f>
        <v>#REF!</v>
      </c>
      <c r="S20" s="32" t="e">
        <f>IF(#REF!=0,"",#REF!)</f>
        <v>#REF!</v>
      </c>
      <c r="T20" s="32" t="e">
        <f>IF(#REF!=0,"",#REF!)</f>
        <v>#REF!</v>
      </c>
      <c r="U20" s="32" t="e">
        <f>IF(#REF!=0,"",#REF!)</f>
        <v>#REF!</v>
      </c>
      <c r="V20" s="32" t="e">
        <f>IF(#REF!=0,"",#REF!)</f>
        <v>#REF!</v>
      </c>
      <c r="W20" s="32" t="e">
        <f>IF(#REF!=0,"",#REF!)</f>
        <v>#REF!</v>
      </c>
      <c r="X20" s="32" t="e">
        <f>IF(#REF!=0,"",#REF!)</f>
        <v>#REF!</v>
      </c>
      <c r="Y20" s="32" t="e">
        <f>IF(#REF!=0,"",#REF!)</f>
        <v>#REF!</v>
      </c>
      <c r="Z20" s="32" t="e">
        <f>IF(#REF!=0,"",#REF!)</f>
        <v>#REF!</v>
      </c>
      <c r="AA20" s="32" t="e">
        <f>IF(#REF!=0,"",#REF!)</f>
        <v>#REF!</v>
      </c>
      <c r="AB20" s="32" t="e">
        <f>IF(#REF!=0,"",#REF!)</f>
        <v>#REF!</v>
      </c>
      <c r="AC20" s="32" t="e">
        <f>IF(#REF!=0,"",#REF!)</f>
        <v>#REF!</v>
      </c>
      <c r="AD20" s="32" t="e">
        <f>IF(#REF!=0,"",#REF!)</f>
        <v>#REF!</v>
      </c>
      <c r="AE20" s="32" t="e">
        <f>IF(#REF!=0,"",#REF!)</f>
        <v>#REF!</v>
      </c>
      <c r="AF20" s="32" t="e">
        <f>IF(#REF!=0,"",#REF!)</f>
        <v>#REF!</v>
      </c>
      <c r="AG20" s="32" t="e">
        <f>IF(#REF!=0,"",#REF!)</f>
        <v>#REF!</v>
      </c>
      <c r="AH20" s="32" t="e">
        <f>IF(#REF!=0,"",#REF!)</f>
        <v>#REF!</v>
      </c>
      <c r="AI20" s="32" t="e">
        <f>IF(#REF!=0,"",#REF!)</f>
        <v>#REF!</v>
      </c>
    </row>
    <row r="21" spans="2:35">
      <c r="B21" s="132"/>
      <c r="C21" s="196"/>
      <c r="D21" s="196"/>
      <c r="E21" s="196"/>
      <c r="F21" s="33"/>
      <c r="G21" s="33" t="str">
        <f t="shared" si="0"/>
        <v/>
      </c>
      <c r="H21" s="33" t="str">
        <f t="shared" si="1"/>
        <v/>
      </c>
      <c r="I21" s="33" t="str">
        <f t="shared" si="2"/>
        <v/>
      </c>
      <c r="J21" s="33"/>
      <c r="K21" s="31" t="e">
        <f>IF(#REF!=0,"",#REF!)</f>
        <v>#REF!</v>
      </c>
      <c r="L21" s="32" t="e">
        <f>IF(#REF!=0,"",#REF!)</f>
        <v>#REF!</v>
      </c>
      <c r="M21" s="32" t="e">
        <f>IF(#REF!=0,"",#REF!)</f>
        <v>#REF!</v>
      </c>
      <c r="N21" s="32" t="e">
        <f>IF(#REF!=0,"",#REF!)</f>
        <v>#REF!</v>
      </c>
      <c r="O21" s="32" t="e">
        <f>IF(#REF!=0,"",#REF!)</f>
        <v>#REF!</v>
      </c>
      <c r="P21" s="32" t="e">
        <f>IF(#REF!=0,"",#REF!)</f>
        <v>#REF!</v>
      </c>
      <c r="Q21" s="32" t="e">
        <f>IF(#REF!=0,"",#REF!)</f>
        <v>#REF!</v>
      </c>
      <c r="R21" s="32" t="e">
        <f>IF(#REF!=0,"",#REF!)</f>
        <v>#REF!</v>
      </c>
      <c r="S21" s="32" t="e">
        <f>IF(#REF!=0,"",#REF!)</f>
        <v>#REF!</v>
      </c>
      <c r="T21" s="32" t="e">
        <f>IF(#REF!=0,"",#REF!)</f>
        <v>#REF!</v>
      </c>
      <c r="U21" s="32" t="e">
        <f>IF(#REF!=0,"",#REF!)</f>
        <v>#REF!</v>
      </c>
      <c r="V21" s="32" t="e">
        <f>IF(#REF!=0,"",#REF!)</f>
        <v>#REF!</v>
      </c>
      <c r="W21" s="32" t="e">
        <f>IF(#REF!=0,"",#REF!)</f>
        <v>#REF!</v>
      </c>
      <c r="X21" s="32" t="e">
        <f>IF(#REF!=0,"",#REF!)</f>
        <v>#REF!</v>
      </c>
      <c r="Y21" s="32" t="e">
        <f>IF(#REF!=0,"",#REF!)</f>
        <v>#REF!</v>
      </c>
      <c r="Z21" s="32" t="e">
        <f>IF(#REF!=0,"",#REF!)</f>
        <v>#REF!</v>
      </c>
      <c r="AA21" s="32" t="e">
        <f>IF(#REF!=0,"",#REF!)</f>
        <v>#REF!</v>
      </c>
      <c r="AB21" s="32" t="e">
        <f>IF(#REF!=0,"",#REF!)</f>
        <v>#REF!</v>
      </c>
      <c r="AC21" s="32" t="e">
        <f>IF(#REF!=0,"",#REF!)</f>
        <v>#REF!</v>
      </c>
      <c r="AD21" s="32" t="e">
        <f>IF(#REF!=0,"",#REF!)</f>
        <v>#REF!</v>
      </c>
      <c r="AE21" s="32" t="e">
        <f>IF(#REF!=0,"",#REF!)</f>
        <v>#REF!</v>
      </c>
      <c r="AF21" s="32" t="e">
        <f>IF(#REF!=0,"",#REF!)</f>
        <v>#REF!</v>
      </c>
      <c r="AG21" s="32" t="e">
        <f>IF(#REF!=0,"",#REF!)</f>
        <v>#REF!</v>
      </c>
      <c r="AH21" s="32" t="e">
        <f>IF(#REF!=0,"",#REF!)</f>
        <v>#REF!</v>
      </c>
      <c r="AI21" s="32" t="e">
        <f>IF(#REF!=0,"",#REF!)</f>
        <v>#REF!</v>
      </c>
    </row>
    <row r="22" spans="2:35">
      <c r="G22" s="34"/>
      <c r="H22" s="34"/>
      <c r="I22" s="34"/>
      <c r="J22" s="34"/>
      <c r="K22" s="31" t="e">
        <f>IF(#REF!=0,"",#REF!)</f>
        <v>#REF!</v>
      </c>
      <c r="L22" s="32" t="e">
        <f>IF(#REF!=0,"",#REF!)</f>
        <v>#REF!</v>
      </c>
      <c r="M22" s="32" t="e">
        <f>IF(#REF!=0,"",#REF!)</f>
        <v>#REF!</v>
      </c>
      <c r="N22" s="32" t="e">
        <f>IF(#REF!=0,"",#REF!)</f>
        <v>#REF!</v>
      </c>
      <c r="O22" s="32" t="e">
        <f>IF(#REF!=0,"",#REF!)</f>
        <v>#REF!</v>
      </c>
      <c r="P22" s="32" t="e">
        <f>IF(#REF!=0,"",#REF!)</f>
        <v>#REF!</v>
      </c>
      <c r="Q22" s="32" t="e">
        <f>IF(#REF!=0,"",#REF!)</f>
        <v>#REF!</v>
      </c>
      <c r="R22" s="32" t="e">
        <f>IF(#REF!=0,"",#REF!)</f>
        <v>#REF!</v>
      </c>
      <c r="S22" s="32" t="e">
        <f>IF(#REF!=0,"",#REF!)</f>
        <v>#REF!</v>
      </c>
      <c r="T22" s="32" t="e">
        <f>IF(#REF!=0,"",#REF!)</f>
        <v>#REF!</v>
      </c>
      <c r="U22" s="32" t="e">
        <f>IF(#REF!=0,"",#REF!)</f>
        <v>#REF!</v>
      </c>
      <c r="V22" s="32" t="e">
        <f>IF(#REF!=0,"",#REF!)</f>
        <v>#REF!</v>
      </c>
      <c r="W22" s="32" t="e">
        <f>IF(#REF!=0,"",#REF!)</f>
        <v>#REF!</v>
      </c>
      <c r="X22" s="32" t="e">
        <f>IF(#REF!=0,"",#REF!)</f>
        <v>#REF!</v>
      </c>
      <c r="Y22" s="32" t="e">
        <f>IF(#REF!=0,"",#REF!)</f>
        <v>#REF!</v>
      </c>
      <c r="Z22" s="32" t="e">
        <f>IF(#REF!=0,"",#REF!)</f>
        <v>#REF!</v>
      </c>
      <c r="AA22" s="32" t="e">
        <f>IF(#REF!=0,"",#REF!)</f>
        <v>#REF!</v>
      </c>
      <c r="AB22" s="32" t="e">
        <f>IF(#REF!=0,"",#REF!)</f>
        <v>#REF!</v>
      </c>
      <c r="AC22" s="32" t="e">
        <f>IF(#REF!=0,"",#REF!)</f>
        <v>#REF!</v>
      </c>
      <c r="AD22" s="32" t="e">
        <f>IF(#REF!=0,"",#REF!)</f>
        <v>#REF!</v>
      </c>
      <c r="AE22" s="32" t="e">
        <f>IF(#REF!=0,"",#REF!)</f>
        <v>#REF!</v>
      </c>
      <c r="AF22" s="32" t="e">
        <f>IF(#REF!=0,"",#REF!)</f>
        <v>#REF!</v>
      </c>
      <c r="AG22" s="32" t="e">
        <f>IF(#REF!=0,"",#REF!)</f>
        <v>#REF!</v>
      </c>
      <c r="AH22" s="32" t="e">
        <f>IF(#REF!=0,"",#REF!)</f>
        <v>#REF!</v>
      </c>
      <c r="AI22" s="32" t="e">
        <f>IF(#REF!=0,"",#REF!)</f>
        <v>#REF!</v>
      </c>
    </row>
    <row r="23" spans="2:35">
      <c r="B23" s="197" t="s">
        <v>290</v>
      </c>
      <c r="C23" s="197"/>
      <c r="D23" s="197"/>
      <c r="E23" s="197"/>
      <c r="F23" s="38"/>
      <c r="G23" s="34"/>
      <c r="H23" s="34"/>
      <c r="I23" s="34"/>
      <c r="J23" s="34"/>
      <c r="K23" s="31" t="e">
        <f>IF(#REF!=0,"",#REF!)</f>
        <v>#REF!</v>
      </c>
      <c r="L23" s="32" t="e">
        <f>IF(#REF!=0,"",#REF!)</f>
        <v>#REF!</v>
      </c>
      <c r="M23" s="32" t="e">
        <f>IF(#REF!=0,"",#REF!)</f>
        <v>#REF!</v>
      </c>
      <c r="N23" s="32" t="e">
        <f>IF(#REF!=0,"",#REF!)</f>
        <v>#REF!</v>
      </c>
      <c r="O23" s="32" t="e">
        <f>IF(#REF!=0,"",#REF!)</f>
        <v>#REF!</v>
      </c>
      <c r="P23" s="32" t="e">
        <f>IF(#REF!=0,"",#REF!)</f>
        <v>#REF!</v>
      </c>
      <c r="Q23" s="32" t="e">
        <f>IF(#REF!=0,"",#REF!)</f>
        <v>#REF!</v>
      </c>
      <c r="R23" s="32" t="e">
        <f>IF(#REF!=0,"",#REF!)</f>
        <v>#REF!</v>
      </c>
      <c r="S23" s="32" t="e">
        <f>IF(#REF!=0,"",#REF!)</f>
        <v>#REF!</v>
      </c>
      <c r="T23" s="32" t="e">
        <f>IF(#REF!=0,"",#REF!)</f>
        <v>#REF!</v>
      </c>
      <c r="U23" s="32" t="e">
        <f>IF(#REF!=0,"",#REF!)</f>
        <v>#REF!</v>
      </c>
      <c r="V23" s="32" t="e">
        <f>IF(#REF!=0,"",#REF!)</f>
        <v>#REF!</v>
      </c>
      <c r="W23" s="32" t="e">
        <f>IF(#REF!=0,"",#REF!)</f>
        <v>#REF!</v>
      </c>
      <c r="X23" s="32" t="e">
        <f>IF(#REF!=0,"",#REF!)</f>
        <v>#REF!</v>
      </c>
      <c r="Y23" s="32" t="e">
        <f>IF(#REF!=0,"",#REF!)</f>
        <v>#REF!</v>
      </c>
      <c r="Z23" s="32" t="e">
        <f>IF(#REF!=0,"",#REF!)</f>
        <v>#REF!</v>
      </c>
      <c r="AA23" s="32" t="e">
        <f>IF(#REF!=0,"",#REF!)</f>
        <v>#REF!</v>
      </c>
      <c r="AB23" s="32" t="e">
        <f>IF(#REF!=0,"",#REF!)</f>
        <v>#REF!</v>
      </c>
      <c r="AC23" s="32" t="e">
        <f>IF(#REF!=0,"",#REF!)</f>
        <v>#REF!</v>
      </c>
      <c r="AD23" s="32" t="e">
        <f>IF(#REF!=0,"",#REF!)</f>
        <v>#REF!</v>
      </c>
      <c r="AE23" s="32" t="e">
        <f>IF(#REF!=0,"",#REF!)</f>
        <v>#REF!</v>
      </c>
      <c r="AF23" s="32" t="e">
        <f>IF(#REF!=0,"",#REF!)</f>
        <v>#REF!</v>
      </c>
      <c r="AG23" s="32" t="e">
        <f>IF(#REF!=0,"",#REF!)</f>
        <v>#REF!</v>
      </c>
      <c r="AH23" s="32" t="e">
        <f>IF(#REF!=0,"",#REF!)</f>
        <v>#REF!</v>
      </c>
      <c r="AI23" s="32" t="e">
        <f>IF(#REF!=0,"",#REF!)</f>
        <v>#REF!</v>
      </c>
    </row>
    <row r="24" spans="2:35" ht="15" customHeight="1">
      <c r="B24" s="193" t="s">
        <v>153</v>
      </c>
      <c r="C24" s="194"/>
      <c r="D24" s="194"/>
      <c r="E24" s="195"/>
      <c r="F24" s="35"/>
      <c r="G24" s="34"/>
      <c r="H24" s="34"/>
      <c r="I24" s="34"/>
      <c r="J24" s="34"/>
      <c r="K24" s="31" t="e">
        <f>IF(#REF!=0,"",#REF!)</f>
        <v>#REF!</v>
      </c>
      <c r="L24" s="32" t="e">
        <f>IF(#REF!=0,"",#REF!)</f>
        <v>#REF!</v>
      </c>
      <c r="M24" s="32" t="e">
        <f>IF(#REF!=0,"",#REF!)</f>
        <v>#REF!</v>
      </c>
      <c r="N24" s="32" t="e">
        <f>IF(#REF!=0,"",#REF!)</f>
        <v>#REF!</v>
      </c>
      <c r="O24" s="32" t="e">
        <f>IF(#REF!=0,"",#REF!)</f>
        <v>#REF!</v>
      </c>
      <c r="P24" s="32" t="e">
        <f>IF(#REF!=0,"",#REF!)</f>
        <v>#REF!</v>
      </c>
      <c r="Q24" s="32" t="e">
        <f>IF(#REF!=0,"",#REF!)</f>
        <v>#REF!</v>
      </c>
      <c r="R24" s="32" t="e">
        <f>IF(#REF!=0,"",#REF!)</f>
        <v>#REF!</v>
      </c>
      <c r="S24" s="32" t="e">
        <f>IF(#REF!=0,"",#REF!)</f>
        <v>#REF!</v>
      </c>
      <c r="T24" s="32" t="e">
        <f>IF(#REF!=0,"",#REF!)</f>
        <v>#REF!</v>
      </c>
      <c r="U24" s="32" t="e">
        <f>IF(#REF!=0,"",#REF!)</f>
        <v>#REF!</v>
      </c>
      <c r="V24" s="32" t="e">
        <f>IF(#REF!=0,"",#REF!)</f>
        <v>#REF!</v>
      </c>
      <c r="W24" s="32" t="e">
        <f>IF(#REF!=0,"",#REF!)</f>
        <v>#REF!</v>
      </c>
      <c r="X24" s="32" t="e">
        <f>IF(#REF!=0,"",#REF!)</f>
        <v>#REF!</v>
      </c>
      <c r="Y24" s="32" t="e">
        <f>IF(#REF!=0,"",#REF!)</f>
        <v>#REF!</v>
      </c>
      <c r="Z24" s="32" t="e">
        <f>IF(#REF!=0,"",#REF!)</f>
        <v>#REF!</v>
      </c>
      <c r="AA24" s="32" t="e">
        <f>IF(#REF!=0,"",#REF!)</f>
        <v>#REF!</v>
      </c>
      <c r="AB24" s="32" t="e">
        <f>IF(#REF!=0,"",#REF!)</f>
        <v>#REF!</v>
      </c>
      <c r="AC24" s="32" t="e">
        <f>IF(#REF!=0,"",#REF!)</f>
        <v>#REF!</v>
      </c>
      <c r="AD24" s="32" t="e">
        <f>IF(#REF!=0,"",#REF!)</f>
        <v>#REF!</v>
      </c>
      <c r="AE24" s="32" t="e">
        <f>IF(#REF!=0,"",#REF!)</f>
        <v>#REF!</v>
      </c>
      <c r="AF24" s="32" t="e">
        <f>IF(#REF!=0,"",#REF!)</f>
        <v>#REF!</v>
      </c>
      <c r="AG24" s="32" t="e">
        <f>IF(#REF!=0,"",#REF!)</f>
        <v>#REF!</v>
      </c>
      <c r="AH24" s="32" t="e">
        <f>IF(#REF!=0,"",#REF!)</f>
        <v>#REF!</v>
      </c>
      <c r="AI24" s="32" t="e">
        <f>IF(#REF!=0,"",#REF!)</f>
        <v>#REF!</v>
      </c>
    </row>
    <row r="25" spans="2:35" ht="15" customHeight="1">
      <c r="B25" s="190"/>
      <c r="C25" s="191"/>
      <c r="D25" s="191"/>
      <c r="E25" s="192"/>
      <c r="F25" s="34"/>
      <c r="G25" s="34"/>
      <c r="H25" s="34"/>
      <c r="I25" s="34"/>
      <c r="J25" s="34"/>
      <c r="K25" s="31" t="e">
        <f>IF(#REF!=0,"",#REF!)</f>
        <v>#REF!</v>
      </c>
      <c r="L25" s="32" t="e">
        <f>IF(#REF!=0,"",#REF!)</f>
        <v>#REF!</v>
      </c>
      <c r="M25" s="32" t="e">
        <f>IF(#REF!=0,"",#REF!)</f>
        <v>#REF!</v>
      </c>
      <c r="N25" s="32" t="e">
        <f>IF(#REF!=0,"",#REF!)</f>
        <v>#REF!</v>
      </c>
      <c r="O25" s="32" t="e">
        <f>IF(#REF!=0,"",#REF!)</f>
        <v>#REF!</v>
      </c>
      <c r="P25" s="32" t="e">
        <f>IF(#REF!=0,"",#REF!)</f>
        <v>#REF!</v>
      </c>
      <c r="Q25" s="32" t="e">
        <f>IF(#REF!=0,"",#REF!)</f>
        <v>#REF!</v>
      </c>
      <c r="R25" s="32" t="e">
        <f>IF(#REF!=0,"",#REF!)</f>
        <v>#REF!</v>
      </c>
      <c r="S25" s="32" t="e">
        <f>IF(#REF!=0,"",#REF!)</f>
        <v>#REF!</v>
      </c>
      <c r="T25" s="32" t="e">
        <f>IF(#REF!=0,"",#REF!)</f>
        <v>#REF!</v>
      </c>
      <c r="U25" s="32" t="e">
        <f>IF(#REF!=0,"",#REF!)</f>
        <v>#REF!</v>
      </c>
      <c r="V25" s="32" t="e">
        <f>IF(#REF!=0,"",#REF!)</f>
        <v>#REF!</v>
      </c>
      <c r="W25" s="32" t="e">
        <f>IF(#REF!=0,"",#REF!)</f>
        <v>#REF!</v>
      </c>
      <c r="X25" s="32" t="e">
        <f>IF(#REF!=0,"",#REF!)</f>
        <v>#REF!</v>
      </c>
      <c r="Y25" s="32" t="e">
        <f>IF(#REF!=0,"",#REF!)</f>
        <v>#REF!</v>
      </c>
      <c r="Z25" s="32" t="e">
        <f>IF(#REF!=0,"",#REF!)</f>
        <v>#REF!</v>
      </c>
      <c r="AA25" s="32" t="e">
        <f>IF(#REF!=0,"",#REF!)</f>
        <v>#REF!</v>
      </c>
      <c r="AB25" s="32" t="e">
        <f>IF(#REF!=0,"",#REF!)</f>
        <v>#REF!</v>
      </c>
      <c r="AC25" s="32" t="e">
        <f>IF(#REF!=0,"",#REF!)</f>
        <v>#REF!</v>
      </c>
      <c r="AD25" s="32" t="e">
        <f>IF(#REF!=0,"",#REF!)</f>
        <v>#REF!</v>
      </c>
      <c r="AE25" s="32" t="e">
        <f>IF(#REF!=0,"",#REF!)</f>
        <v>#REF!</v>
      </c>
      <c r="AF25" s="32" t="e">
        <f>IF(#REF!=0,"",#REF!)</f>
        <v>#REF!</v>
      </c>
      <c r="AG25" s="32" t="e">
        <f>IF(#REF!=0,"",#REF!)</f>
        <v>#REF!</v>
      </c>
      <c r="AH25" s="32" t="e">
        <f>IF(#REF!=0,"",#REF!)</f>
        <v>#REF!</v>
      </c>
      <c r="AI25" s="32" t="e">
        <f>IF(#REF!=0,"",#REF!)</f>
        <v>#REF!</v>
      </c>
    </row>
    <row r="26" spans="2:35">
      <c r="B26" s="190"/>
      <c r="C26" s="191"/>
      <c r="D26" s="191"/>
      <c r="E26" s="192"/>
      <c r="F26" s="34"/>
      <c r="G26" s="34"/>
      <c r="H26" s="34"/>
      <c r="I26" s="34"/>
      <c r="J26" s="34"/>
      <c r="K26" s="31" t="e">
        <f>IF(#REF!=0,"",#REF!)</f>
        <v>#REF!</v>
      </c>
      <c r="L26" s="32" t="e">
        <f>IF(#REF!=0,"",#REF!)</f>
        <v>#REF!</v>
      </c>
      <c r="M26" s="32" t="e">
        <f>IF(#REF!=0,"",#REF!)</f>
        <v>#REF!</v>
      </c>
      <c r="N26" s="32" t="e">
        <f>IF(#REF!=0,"",#REF!)</f>
        <v>#REF!</v>
      </c>
      <c r="O26" s="32" t="e">
        <f>IF(#REF!=0,"",#REF!)</f>
        <v>#REF!</v>
      </c>
      <c r="P26" s="32" t="e">
        <f>IF(#REF!=0,"",#REF!)</f>
        <v>#REF!</v>
      </c>
      <c r="Q26" s="32" t="e">
        <f>IF(#REF!=0,"",#REF!)</f>
        <v>#REF!</v>
      </c>
      <c r="R26" s="32" t="e">
        <f>IF(#REF!=0,"",#REF!)</f>
        <v>#REF!</v>
      </c>
      <c r="S26" s="32" t="e">
        <f>IF(#REF!=0,"",#REF!)</f>
        <v>#REF!</v>
      </c>
      <c r="T26" s="32" t="e">
        <f>IF(#REF!=0,"",#REF!)</f>
        <v>#REF!</v>
      </c>
      <c r="U26" s="32" t="e">
        <f>IF(#REF!=0,"",#REF!)</f>
        <v>#REF!</v>
      </c>
      <c r="V26" s="32" t="e">
        <f>IF(#REF!=0,"",#REF!)</f>
        <v>#REF!</v>
      </c>
      <c r="W26" s="32" t="e">
        <f>IF(#REF!=0,"",#REF!)</f>
        <v>#REF!</v>
      </c>
      <c r="X26" s="32" t="e">
        <f>IF(#REF!=0,"",#REF!)</f>
        <v>#REF!</v>
      </c>
      <c r="Y26" s="32" t="e">
        <f>IF(#REF!=0,"",#REF!)</f>
        <v>#REF!</v>
      </c>
      <c r="Z26" s="32" t="e">
        <f>IF(#REF!=0,"",#REF!)</f>
        <v>#REF!</v>
      </c>
      <c r="AA26" s="32" t="e">
        <f>IF(#REF!=0,"",#REF!)</f>
        <v>#REF!</v>
      </c>
      <c r="AB26" s="32" t="e">
        <f>IF(#REF!=0,"",#REF!)</f>
        <v>#REF!</v>
      </c>
      <c r="AC26" s="32" t="e">
        <f>IF(#REF!=0,"",#REF!)</f>
        <v>#REF!</v>
      </c>
      <c r="AD26" s="32" t="e">
        <f>IF(#REF!=0,"",#REF!)</f>
        <v>#REF!</v>
      </c>
      <c r="AE26" s="32" t="e">
        <f>IF(#REF!=0,"",#REF!)</f>
        <v>#REF!</v>
      </c>
      <c r="AF26" s="32" t="e">
        <f>IF(#REF!=0,"",#REF!)</f>
        <v>#REF!</v>
      </c>
      <c r="AG26" s="32" t="e">
        <f>IF(#REF!=0,"",#REF!)</f>
        <v>#REF!</v>
      </c>
      <c r="AH26" s="32" t="e">
        <f>IF(#REF!=0,"",#REF!)</f>
        <v>#REF!</v>
      </c>
      <c r="AI26" s="32" t="e">
        <f>IF(#REF!=0,"",#REF!)</f>
        <v>#REF!</v>
      </c>
    </row>
    <row r="27" spans="2:35">
      <c r="B27" s="190"/>
      <c r="C27" s="191"/>
      <c r="D27" s="191"/>
      <c r="E27" s="192"/>
      <c r="F27" s="34"/>
      <c r="G27" s="34"/>
      <c r="H27" s="34"/>
      <c r="I27" s="34"/>
      <c r="J27" s="34"/>
      <c r="K27" s="31" t="e">
        <f>IF(#REF!=0,"",#REF!)</f>
        <v>#REF!</v>
      </c>
      <c r="L27" s="32" t="e">
        <f>IF(#REF!=0,"",#REF!)</f>
        <v>#REF!</v>
      </c>
      <c r="M27" s="32" t="e">
        <f>IF(#REF!=0,"",#REF!)</f>
        <v>#REF!</v>
      </c>
      <c r="N27" s="32" t="e">
        <f>IF(#REF!=0,"",#REF!)</f>
        <v>#REF!</v>
      </c>
      <c r="O27" s="32" t="e">
        <f>IF(#REF!=0,"",#REF!)</f>
        <v>#REF!</v>
      </c>
      <c r="P27" s="32" t="e">
        <f>IF(#REF!=0,"",#REF!)</f>
        <v>#REF!</v>
      </c>
      <c r="Q27" s="32" t="e">
        <f>IF(#REF!=0,"",#REF!)</f>
        <v>#REF!</v>
      </c>
      <c r="R27" s="32" t="e">
        <f>IF(#REF!=0,"",#REF!)</f>
        <v>#REF!</v>
      </c>
      <c r="S27" s="32" t="e">
        <f>IF(#REF!=0,"",#REF!)</f>
        <v>#REF!</v>
      </c>
      <c r="T27" s="32" t="e">
        <f>IF(#REF!=0,"",#REF!)</f>
        <v>#REF!</v>
      </c>
      <c r="U27" s="32" t="e">
        <f>IF(#REF!=0,"",#REF!)</f>
        <v>#REF!</v>
      </c>
      <c r="V27" s="32" t="e">
        <f>IF(#REF!=0,"",#REF!)</f>
        <v>#REF!</v>
      </c>
      <c r="W27" s="32" t="e">
        <f>IF(#REF!=0,"",#REF!)</f>
        <v>#REF!</v>
      </c>
      <c r="X27" s="32" t="e">
        <f>IF(#REF!=0,"",#REF!)</f>
        <v>#REF!</v>
      </c>
      <c r="Y27" s="32" t="e">
        <f>IF(#REF!=0,"",#REF!)</f>
        <v>#REF!</v>
      </c>
      <c r="Z27" s="32" t="e">
        <f>IF(#REF!=0,"",#REF!)</f>
        <v>#REF!</v>
      </c>
      <c r="AA27" s="32" t="e">
        <f>IF(#REF!=0,"",#REF!)</f>
        <v>#REF!</v>
      </c>
      <c r="AB27" s="32" t="e">
        <f>IF(#REF!=0,"",#REF!)</f>
        <v>#REF!</v>
      </c>
      <c r="AC27" s="32" t="e">
        <f>IF(#REF!=0,"",#REF!)</f>
        <v>#REF!</v>
      </c>
      <c r="AD27" s="32" t="e">
        <f>IF(#REF!=0,"",#REF!)</f>
        <v>#REF!</v>
      </c>
      <c r="AE27" s="32" t="e">
        <f>IF(#REF!=0,"",#REF!)</f>
        <v>#REF!</v>
      </c>
      <c r="AF27" s="32" t="e">
        <f>IF(#REF!=0,"",#REF!)</f>
        <v>#REF!</v>
      </c>
      <c r="AG27" s="32" t="e">
        <f>IF(#REF!=0,"",#REF!)</f>
        <v>#REF!</v>
      </c>
      <c r="AH27" s="32" t="e">
        <f>IF(#REF!=0,"",#REF!)</f>
        <v>#REF!</v>
      </c>
      <c r="AI27" s="32" t="e">
        <f>IF(#REF!=0,"",#REF!)</f>
        <v>#REF!</v>
      </c>
    </row>
    <row r="28" spans="2:35">
      <c r="B28" s="190"/>
      <c r="C28" s="191"/>
      <c r="D28" s="191"/>
      <c r="E28" s="192"/>
      <c r="F28" s="34"/>
      <c r="G28" s="34"/>
      <c r="H28" s="34"/>
      <c r="I28" s="34"/>
      <c r="J28" s="34"/>
      <c r="K28" s="31" t="e">
        <f>IF(#REF!=0,"",#REF!)</f>
        <v>#REF!</v>
      </c>
      <c r="L28" s="32" t="e">
        <f>IF(#REF!=0,"",#REF!)</f>
        <v>#REF!</v>
      </c>
      <c r="M28" s="32" t="e">
        <f>IF(#REF!=0,"",#REF!)</f>
        <v>#REF!</v>
      </c>
      <c r="N28" s="32" t="e">
        <f>IF(#REF!=0,"",#REF!)</f>
        <v>#REF!</v>
      </c>
      <c r="O28" s="32" t="e">
        <f>IF(#REF!=0,"",#REF!)</f>
        <v>#REF!</v>
      </c>
      <c r="P28" s="32" t="e">
        <f>IF(#REF!=0,"",#REF!)</f>
        <v>#REF!</v>
      </c>
      <c r="Q28" s="32" t="e">
        <f>IF(#REF!=0,"",#REF!)</f>
        <v>#REF!</v>
      </c>
      <c r="R28" s="32" t="e">
        <f>IF(#REF!=0,"",#REF!)</f>
        <v>#REF!</v>
      </c>
      <c r="S28" s="32" t="e">
        <f>IF(#REF!=0,"",#REF!)</f>
        <v>#REF!</v>
      </c>
      <c r="T28" s="32" t="e">
        <f>IF(#REF!=0,"",#REF!)</f>
        <v>#REF!</v>
      </c>
      <c r="U28" s="32" t="e">
        <f>IF(#REF!=0,"",#REF!)</f>
        <v>#REF!</v>
      </c>
      <c r="V28" s="32" t="e">
        <f>IF(#REF!=0,"",#REF!)</f>
        <v>#REF!</v>
      </c>
      <c r="W28" s="32" t="e">
        <f>IF(#REF!=0,"",#REF!)</f>
        <v>#REF!</v>
      </c>
      <c r="X28" s="32" t="e">
        <f>IF(#REF!=0,"",#REF!)</f>
        <v>#REF!</v>
      </c>
      <c r="Y28" s="32" t="e">
        <f>IF(#REF!=0,"",#REF!)</f>
        <v>#REF!</v>
      </c>
      <c r="Z28" s="32" t="e">
        <f>IF(#REF!=0,"",#REF!)</f>
        <v>#REF!</v>
      </c>
      <c r="AA28" s="32" t="e">
        <f>IF(#REF!=0,"",#REF!)</f>
        <v>#REF!</v>
      </c>
      <c r="AB28" s="32" t="e">
        <f>IF(#REF!=0,"",#REF!)</f>
        <v>#REF!</v>
      </c>
      <c r="AC28" s="32" t="e">
        <f>IF(#REF!=0,"",#REF!)</f>
        <v>#REF!</v>
      </c>
      <c r="AD28" s="32" t="e">
        <f>IF(#REF!=0,"",#REF!)</f>
        <v>#REF!</v>
      </c>
      <c r="AE28" s="32" t="e">
        <f>IF(#REF!=0,"",#REF!)</f>
        <v>#REF!</v>
      </c>
      <c r="AF28" s="32" t="e">
        <f>IF(#REF!=0,"",#REF!)</f>
        <v>#REF!</v>
      </c>
      <c r="AG28" s="32" t="e">
        <f>IF(#REF!=0,"",#REF!)</f>
        <v>#REF!</v>
      </c>
      <c r="AH28" s="32" t="e">
        <f>IF(#REF!=0,"",#REF!)</f>
        <v>#REF!</v>
      </c>
      <c r="AI28" s="32" t="e">
        <f>IF(#REF!=0,"",#REF!)</f>
        <v>#REF!</v>
      </c>
    </row>
    <row r="29" spans="2:35">
      <c r="B29" s="190"/>
      <c r="C29" s="191"/>
      <c r="D29" s="191"/>
      <c r="E29" s="192"/>
      <c r="F29" s="34"/>
      <c r="G29" s="34"/>
      <c r="H29" s="34"/>
      <c r="I29" s="34"/>
      <c r="J29" s="34"/>
      <c r="K29" s="31" t="e">
        <f>IF(#REF!=0,"",#REF!)</f>
        <v>#REF!</v>
      </c>
      <c r="L29" s="32" t="e">
        <f>IF(#REF!=0,"",#REF!)</f>
        <v>#REF!</v>
      </c>
      <c r="M29" s="32" t="e">
        <f>IF(#REF!=0,"",#REF!)</f>
        <v>#REF!</v>
      </c>
      <c r="N29" s="32" t="e">
        <f>IF(#REF!=0,"",#REF!)</f>
        <v>#REF!</v>
      </c>
      <c r="O29" s="32" t="e">
        <f>IF(#REF!=0,"",#REF!)</f>
        <v>#REF!</v>
      </c>
      <c r="P29" s="32" t="e">
        <f>IF(#REF!=0,"",#REF!)</f>
        <v>#REF!</v>
      </c>
      <c r="Q29" s="32" t="e">
        <f>IF(#REF!=0,"",#REF!)</f>
        <v>#REF!</v>
      </c>
      <c r="R29" s="32" t="e">
        <f>IF(#REF!=0,"",#REF!)</f>
        <v>#REF!</v>
      </c>
      <c r="S29" s="32" t="e">
        <f>IF(#REF!=0,"",#REF!)</f>
        <v>#REF!</v>
      </c>
      <c r="T29" s="32" t="e">
        <f>IF(#REF!=0,"",#REF!)</f>
        <v>#REF!</v>
      </c>
      <c r="U29" s="32" t="e">
        <f>IF(#REF!=0,"",#REF!)</f>
        <v>#REF!</v>
      </c>
      <c r="V29" s="32" t="e">
        <f>IF(#REF!=0,"",#REF!)</f>
        <v>#REF!</v>
      </c>
      <c r="W29" s="32" t="e">
        <f>IF(#REF!=0,"",#REF!)</f>
        <v>#REF!</v>
      </c>
      <c r="X29" s="32" t="e">
        <f>IF(#REF!=0,"",#REF!)</f>
        <v>#REF!</v>
      </c>
      <c r="Y29" s="32" t="e">
        <f>IF(#REF!=0,"",#REF!)</f>
        <v>#REF!</v>
      </c>
      <c r="Z29" s="32" t="e">
        <f>IF(#REF!=0,"",#REF!)</f>
        <v>#REF!</v>
      </c>
      <c r="AA29" s="32" t="e">
        <f>IF(#REF!=0,"",#REF!)</f>
        <v>#REF!</v>
      </c>
      <c r="AB29" s="32" t="e">
        <f>IF(#REF!=0,"",#REF!)</f>
        <v>#REF!</v>
      </c>
      <c r="AC29" s="32" t="e">
        <f>IF(#REF!=0,"",#REF!)</f>
        <v>#REF!</v>
      </c>
      <c r="AD29" s="32" t="e">
        <f>IF(#REF!=0,"",#REF!)</f>
        <v>#REF!</v>
      </c>
      <c r="AE29" s="32" t="e">
        <f>IF(#REF!=0,"",#REF!)</f>
        <v>#REF!</v>
      </c>
      <c r="AF29" s="32" t="e">
        <f>IF(#REF!=0,"",#REF!)</f>
        <v>#REF!</v>
      </c>
      <c r="AG29" s="32" t="e">
        <f>IF(#REF!=0,"",#REF!)</f>
        <v>#REF!</v>
      </c>
      <c r="AH29" s="32" t="e">
        <f>IF(#REF!=0,"",#REF!)</f>
        <v>#REF!</v>
      </c>
      <c r="AI29" s="32" t="e">
        <f>IF(#REF!=0,"",#REF!)</f>
        <v>#REF!</v>
      </c>
    </row>
    <row r="30" spans="2:35">
      <c r="B30" s="190"/>
      <c r="C30" s="191"/>
      <c r="D30" s="191"/>
      <c r="E30" s="192"/>
      <c r="F30" s="34"/>
      <c r="G30" s="34"/>
      <c r="H30" s="34"/>
      <c r="I30" s="34"/>
      <c r="J30" s="34"/>
      <c r="K30" s="31" t="e">
        <f>IF(#REF!=0,"",#REF!)</f>
        <v>#REF!</v>
      </c>
      <c r="L30" s="32" t="e">
        <f>IF(#REF!=0,"",#REF!)</f>
        <v>#REF!</v>
      </c>
      <c r="M30" s="32" t="e">
        <f>IF(#REF!=0,"",#REF!)</f>
        <v>#REF!</v>
      </c>
      <c r="N30" s="32" t="e">
        <f>IF(#REF!=0,"",#REF!)</f>
        <v>#REF!</v>
      </c>
      <c r="O30" s="32" t="e">
        <f>IF(#REF!=0,"",#REF!)</f>
        <v>#REF!</v>
      </c>
      <c r="P30" s="32" t="e">
        <f>IF(#REF!=0,"",#REF!)</f>
        <v>#REF!</v>
      </c>
      <c r="Q30" s="32" t="e">
        <f>IF(#REF!=0,"",#REF!)</f>
        <v>#REF!</v>
      </c>
      <c r="R30" s="32" t="e">
        <f>IF(#REF!=0,"",#REF!)</f>
        <v>#REF!</v>
      </c>
      <c r="S30" s="32" t="e">
        <f>IF(#REF!=0,"",#REF!)</f>
        <v>#REF!</v>
      </c>
      <c r="T30" s="32" t="e">
        <f>IF(#REF!=0,"",#REF!)</f>
        <v>#REF!</v>
      </c>
      <c r="U30" s="32" t="e">
        <f>IF(#REF!=0,"",#REF!)</f>
        <v>#REF!</v>
      </c>
      <c r="V30" s="32" t="e">
        <f>IF(#REF!=0,"",#REF!)</f>
        <v>#REF!</v>
      </c>
      <c r="W30" s="32" t="e">
        <f>IF(#REF!=0,"",#REF!)</f>
        <v>#REF!</v>
      </c>
      <c r="X30" s="32" t="e">
        <f>IF(#REF!=0,"",#REF!)</f>
        <v>#REF!</v>
      </c>
      <c r="Y30" s="32" t="e">
        <f>IF(#REF!=0,"",#REF!)</f>
        <v>#REF!</v>
      </c>
      <c r="Z30" s="32" t="e">
        <f>IF(#REF!=0,"",#REF!)</f>
        <v>#REF!</v>
      </c>
      <c r="AA30" s="32" t="e">
        <f>IF(#REF!=0,"",#REF!)</f>
        <v>#REF!</v>
      </c>
      <c r="AB30" s="32" t="e">
        <f>IF(#REF!=0,"",#REF!)</f>
        <v>#REF!</v>
      </c>
      <c r="AC30" s="32" t="e">
        <f>IF(#REF!=0,"",#REF!)</f>
        <v>#REF!</v>
      </c>
      <c r="AD30" s="32" t="e">
        <f>IF(#REF!=0,"",#REF!)</f>
        <v>#REF!</v>
      </c>
      <c r="AE30" s="32" t="e">
        <f>IF(#REF!=0,"",#REF!)</f>
        <v>#REF!</v>
      </c>
      <c r="AF30" s="32" t="e">
        <f>IF(#REF!=0,"",#REF!)</f>
        <v>#REF!</v>
      </c>
      <c r="AG30" s="32" t="e">
        <f>IF(#REF!=0,"",#REF!)</f>
        <v>#REF!</v>
      </c>
      <c r="AH30" s="32" t="e">
        <f>IF(#REF!=0,"",#REF!)</f>
        <v>#REF!</v>
      </c>
      <c r="AI30" s="32" t="e">
        <f>IF(#REF!=0,"",#REF!)</f>
        <v>#REF!</v>
      </c>
    </row>
    <row r="31" spans="2:35">
      <c r="B31" s="190"/>
      <c r="C31" s="191"/>
      <c r="D31" s="191"/>
      <c r="E31" s="192"/>
      <c r="F31" s="34"/>
      <c r="G31" s="34"/>
      <c r="H31" s="34"/>
      <c r="I31" s="34"/>
      <c r="J31" s="34"/>
      <c r="K31" s="31" t="e">
        <f>IF(#REF!=0,"",#REF!)</f>
        <v>#REF!</v>
      </c>
      <c r="L31" s="32" t="e">
        <f>IF(#REF!=0,"",#REF!)</f>
        <v>#REF!</v>
      </c>
      <c r="M31" s="32" t="e">
        <f>IF(#REF!=0,"",#REF!)</f>
        <v>#REF!</v>
      </c>
      <c r="N31" s="32" t="e">
        <f>IF(#REF!=0,"",#REF!)</f>
        <v>#REF!</v>
      </c>
      <c r="O31" s="32" t="e">
        <f>IF(#REF!=0,"",#REF!)</f>
        <v>#REF!</v>
      </c>
      <c r="P31" s="32" t="e">
        <f>IF(#REF!=0,"",#REF!)</f>
        <v>#REF!</v>
      </c>
      <c r="Q31" s="32" t="e">
        <f>IF(#REF!=0,"",#REF!)</f>
        <v>#REF!</v>
      </c>
      <c r="R31" s="32" t="e">
        <f>IF(#REF!=0,"",#REF!)</f>
        <v>#REF!</v>
      </c>
      <c r="S31" s="32" t="e">
        <f>IF(#REF!=0,"",#REF!)</f>
        <v>#REF!</v>
      </c>
      <c r="T31" s="32" t="e">
        <f>IF(#REF!=0,"",#REF!)</f>
        <v>#REF!</v>
      </c>
      <c r="U31" s="32" t="e">
        <f>IF(#REF!=0,"",#REF!)</f>
        <v>#REF!</v>
      </c>
      <c r="V31" s="32" t="e">
        <f>IF(#REF!=0,"",#REF!)</f>
        <v>#REF!</v>
      </c>
      <c r="W31" s="32" t="e">
        <f>IF(#REF!=0,"",#REF!)</f>
        <v>#REF!</v>
      </c>
      <c r="X31" s="32" t="e">
        <f>IF(#REF!=0,"",#REF!)</f>
        <v>#REF!</v>
      </c>
      <c r="Y31" s="32" t="e">
        <f>IF(#REF!=0,"",#REF!)</f>
        <v>#REF!</v>
      </c>
      <c r="Z31" s="32" t="e">
        <f>IF(#REF!=0,"",#REF!)</f>
        <v>#REF!</v>
      </c>
      <c r="AA31" s="32" t="e">
        <f>IF(#REF!=0,"",#REF!)</f>
        <v>#REF!</v>
      </c>
      <c r="AB31" s="32" t="e">
        <f>IF(#REF!=0,"",#REF!)</f>
        <v>#REF!</v>
      </c>
      <c r="AC31" s="32" t="e">
        <f>IF(#REF!=0,"",#REF!)</f>
        <v>#REF!</v>
      </c>
      <c r="AD31" s="32" t="e">
        <f>IF(#REF!=0,"",#REF!)</f>
        <v>#REF!</v>
      </c>
      <c r="AE31" s="32" t="e">
        <f>IF(#REF!=0,"",#REF!)</f>
        <v>#REF!</v>
      </c>
      <c r="AF31" s="32" t="e">
        <f>IF(#REF!=0,"",#REF!)</f>
        <v>#REF!</v>
      </c>
      <c r="AG31" s="32" t="e">
        <f>IF(#REF!=0,"",#REF!)</f>
        <v>#REF!</v>
      </c>
      <c r="AH31" s="32" t="e">
        <f>IF(#REF!=0,"",#REF!)</f>
        <v>#REF!</v>
      </c>
      <c r="AI31" s="32" t="e">
        <f>IF(#REF!=0,"",#REF!)</f>
        <v>#REF!</v>
      </c>
    </row>
    <row r="32" spans="2:35">
      <c r="B32" s="190"/>
      <c r="C32" s="191"/>
      <c r="D32" s="191"/>
      <c r="E32" s="192"/>
      <c r="F32" s="34"/>
      <c r="G32" s="34"/>
      <c r="H32" s="34"/>
      <c r="I32" s="34"/>
      <c r="J32" s="34"/>
      <c r="K32" s="31" t="e">
        <f>IF(#REF!=0,"",#REF!)</f>
        <v>#REF!</v>
      </c>
      <c r="L32" s="32" t="e">
        <f>IF(#REF!=0,"",#REF!)</f>
        <v>#REF!</v>
      </c>
      <c r="M32" s="32" t="e">
        <f>IF(#REF!=0,"",#REF!)</f>
        <v>#REF!</v>
      </c>
      <c r="N32" s="32" t="e">
        <f>IF(#REF!=0,"",#REF!)</f>
        <v>#REF!</v>
      </c>
      <c r="O32" s="32" t="e">
        <f>IF(#REF!=0,"",#REF!)</f>
        <v>#REF!</v>
      </c>
      <c r="P32" s="32" t="e">
        <f>IF(#REF!=0,"",#REF!)</f>
        <v>#REF!</v>
      </c>
      <c r="Q32" s="32" t="e">
        <f>IF(#REF!=0,"",#REF!)</f>
        <v>#REF!</v>
      </c>
      <c r="R32" s="32" t="e">
        <f>IF(#REF!=0,"",#REF!)</f>
        <v>#REF!</v>
      </c>
      <c r="S32" s="32" t="e">
        <f>IF(#REF!=0,"",#REF!)</f>
        <v>#REF!</v>
      </c>
      <c r="T32" s="32" t="e">
        <f>IF(#REF!=0,"",#REF!)</f>
        <v>#REF!</v>
      </c>
      <c r="U32" s="32" t="e">
        <f>IF(#REF!=0,"",#REF!)</f>
        <v>#REF!</v>
      </c>
      <c r="V32" s="32" t="e">
        <f>IF(#REF!=0,"",#REF!)</f>
        <v>#REF!</v>
      </c>
      <c r="W32" s="32" t="e">
        <f>IF(#REF!=0,"",#REF!)</f>
        <v>#REF!</v>
      </c>
      <c r="X32" s="32" t="e">
        <f>IF(#REF!=0,"",#REF!)</f>
        <v>#REF!</v>
      </c>
      <c r="Y32" s="32" t="e">
        <f>IF(#REF!=0,"",#REF!)</f>
        <v>#REF!</v>
      </c>
      <c r="Z32" s="32" t="e">
        <f>IF(#REF!=0,"",#REF!)</f>
        <v>#REF!</v>
      </c>
      <c r="AA32" s="32" t="e">
        <f>IF(#REF!=0,"",#REF!)</f>
        <v>#REF!</v>
      </c>
      <c r="AB32" s="32" t="e">
        <f>IF(#REF!=0,"",#REF!)</f>
        <v>#REF!</v>
      </c>
      <c r="AC32" s="32" t="e">
        <f>IF(#REF!=0,"",#REF!)</f>
        <v>#REF!</v>
      </c>
      <c r="AD32" s="32" t="e">
        <f>IF(#REF!=0,"",#REF!)</f>
        <v>#REF!</v>
      </c>
      <c r="AE32" s="32" t="e">
        <f>IF(#REF!=0,"",#REF!)</f>
        <v>#REF!</v>
      </c>
      <c r="AF32" s="32" t="e">
        <f>IF(#REF!=0,"",#REF!)</f>
        <v>#REF!</v>
      </c>
      <c r="AG32" s="32" t="e">
        <f>IF(#REF!=0,"",#REF!)</f>
        <v>#REF!</v>
      </c>
      <c r="AH32" s="32" t="e">
        <f>IF(#REF!=0,"",#REF!)</f>
        <v>#REF!</v>
      </c>
      <c r="AI32" s="32" t="e">
        <f>IF(#REF!=0,"",#REF!)</f>
        <v>#REF!</v>
      </c>
    </row>
    <row r="33" spans="2:35">
      <c r="B33" s="190"/>
      <c r="C33" s="191"/>
      <c r="D33" s="191"/>
      <c r="E33" s="192"/>
      <c r="G33" s="34"/>
      <c r="H33" s="34"/>
      <c r="I33" s="34"/>
      <c r="J33" s="34"/>
      <c r="K33" s="31" t="e">
        <f>IF(#REF!=0,"",#REF!)</f>
        <v>#REF!</v>
      </c>
      <c r="L33" s="32" t="e">
        <f>IF(#REF!=0,"",#REF!)</f>
        <v>#REF!</v>
      </c>
      <c r="M33" s="32" t="e">
        <f>IF(#REF!=0,"",#REF!)</f>
        <v>#REF!</v>
      </c>
      <c r="N33" s="32" t="e">
        <f>IF(#REF!=0,"",#REF!)</f>
        <v>#REF!</v>
      </c>
      <c r="O33" s="32" t="e">
        <f>IF(#REF!=0,"",#REF!)</f>
        <v>#REF!</v>
      </c>
      <c r="P33" s="32" t="e">
        <f>IF(#REF!=0,"",#REF!)</f>
        <v>#REF!</v>
      </c>
      <c r="Q33" s="32" t="e">
        <f>IF(#REF!=0,"",#REF!)</f>
        <v>#REF!</v>
      </c>
      <c r="R33" s="32" t="e">
        <f>IF(#REF!=0,"",#REF!)</f>
        <v>#REF!</v>
      </c>
      <c r="S33" s="32" t="e">
        <f>IF(#REF!=0,"",#REF!)</f>
        <v>#REF!</v>
      </c>
      <c r="T33" s="32" t="e">
        <f>IF(#REF!=0,"",#REF!)</f>
        <v>#REF!</v>
      </c>
      <c r="U33" s="32" t="e">
        <f>IF(#REF!=0,"",#REF!)</f>
        <v>#REF!</v>
      </c>
      <c r="V33" s="32" t="e">
        <f>IF(#REF!=0,"",#REF!)</f>
        <v>#REF!</v>
      </c>
      <c r="W33" s="32" t="e">
        <f>IF(#REF!=0,"",#REF!)</f>
        <v>#REF!</v>
      </c>
      <c r="X33" s="32" t="e">
        <f>IF(#REF!=0,"",#REF!)</f>
        <v>#REF!</v>
      </c>
      <c r="Y33" s="32" t="e">
        <f>IF(#REF!=0,"",#REF!)</f>
        <v>#REF!</v>
      </c>
      <c r="Z33" s="32" t="e">
        <f>IF(#REF!=0,"",#REF!)</f>
        <v>#REF!</v>
      </c>
      <c r="AA33" s="32" t="e">
        <f>IF(#REF!=0,"",#REF!)</f>
        <v>#REF!</v>
      </c>
      <c r="AB33" s="32" t="e">
        <f>IF(#REF!=0,"",#REF!)</f>
        <v>#REF!</v>
      </c>
      <c r="AC33" s="32" t="e">
        <f>IF(#REF!=0,"",#REF!)</f>
        <v>#REF!</v>
      </c>
      <c r="AD33" s="32" t="e">
        <f>IF(#REF!=0,"",#REF!)</f>
        <v>#REF!</v>
      </c>
      <c r="AE33" s="32" t="e">
        <f>IF(#REF!=0,"",#REF!)</f>
        <v>#REF!</v>
      </c>
      <c r="AF33" s="32" t="e">
        <f>IF(#REF!=0,"",#REF!)</f>
        <v>#REF!</v>
      </c>
      <c r="AG33" s="32" t="e">
        <f>IF(#REF!=0,"",#REF!)</f>
        <v>#REF!</v>
      </c>
      <c r="AH33" s="32" t="e">
        <f>IF(#REF!=0,"",#REF!)</f>
        <v>#REF!</v>
      </c>
      <c r="AI33" s="32" t="e">
        <f>IF(#REF!=0,"",#REF!)</f>
        <v>#REF!</v>
      </c>
    </row>
    <row r="34" spans="2:35">
      <c r="B34" s="190"/>
      <c r="C34" s="191"/>
      <c r="D34" s="191"/>
      <c r="E34" s="192"/>
    </row>
    <row r="35" spans="2:35">
      <c r="B35" s="190"/>
      <c r="C35" s="191"/>
      <c r="D35" s="191"/>
      <c r="E35" s="192"/>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2:E2"/>
    <mergeCell ref="B4:E4"/>
    <mergeCell ref="B3:E3"/>
    <mergeCell ref="B6:E6"/>
    <mergeCell ref="C18:E18"/>
    <mergeCell ref="C17:E17"/>
    <mergeCell ref="B10:E10"/>
    <mergeCell ref="C11:E11"/>
    <mergeCell ref="C12:E12"/>
    <mergeCell ref="C13:E13"/>
    <mergeCell ref="C15:E15"/>
    <mergeCell ref="C14:E14"/>
    <mergeCell ref="C16:E16"/>
    <mergeCell ref="C19:E19"/>
    <mergeCell ref="C20:E20"/>
    <mergeCell ref="C21:E21"/>
    <mergeCell ref="B23:E23"/>
    <mergeCell ref="B32:E32"/>
    <mergeCell ref="B33:E33"/>
    <mergeCell ref="B34:E34"/>
    <mergeCell ref="B35:E35"/>
    <mergeCell ref="B24:E24"/>
    <mergeCell ref="B27:E27"/>
    <mergeCell ref="B28:E28"/>
    <mergeCell ref="B29:E29"/>
    <mergeCell ref="B30:E30"/>
    <mergeCell ref="B31:E31"/>
    <mergeCell ref="B25:E25"/>
    <mergeCell ref="B26:E2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heetViews>
  <sheetFormatPr defaultColWidth="11.42578125" defaultRowHeight="15"/>
  <cols>
    <col min="1" max="1" width="47.140625" bestFit="1"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Q122"/>
  <sheetViews>
    <sheetView topLeftCell="A60" zoomScaleNormal="100" zoomScaleSheetLayoutView="100" workbookViewId="0">
      <selection activeCell="B64" sqref="B64:E64"/>
    </sheetView>
  </sheetViews>
  <sheetFormatPr defaultColWidth="11.42578125" defaultRowHeight="13.5"/>
  <cols>
    <col min="1" max="1" width="1.140625" style="43" customWidth="1"/>
    <col min="2" max="2" width="34.140625" style="46" customWidth="1"/>
    <col min="3" max="3" width="98.7109375" style="43" customWidth="1"/>
    <col min="4" max="4" width="21.7109375" style="43" customWidth="1"/>
    <col min="5" max="5" width="12.42578125" style="43" customWidth="1"/>
    <col min="6" max="6" width="4.28515625" style="43" customWidth="1"/>
    <col min="7" max="9" width="11.42578125" style="43" customWidth="1"/>
    <col min="10" max="16384" width="11.42578125" style="43"/>
  </cols>
  <sheetData>
    <row r="1" spans="1:17" s="41" customFormat="1" ht="12" customHeight="1">
      <c r="B1" s="45"/>
    </row>
    <row r="2" spans="1:17" s="41" customFormat="1">
      <c r="B2" s="201" t="s">
        <v>256</v>
      </c>
      <c r="C2" s="202"/>
      <c r="D2" s="202"/>
      <c r="E2" s="203"/>
    </row>
    <row r="3" spans="1:17" s="41" customFormat="1" ht="12" customHeight="1">
      <c r="B3" s="204" t="s">
        <v>263</v>
      </c>
      <c r="C3" s="205"/>
      <c r="D3" s="205"/>
      <c r="E3" s="206"/>
    </row>
    <row r="4" spans="1:17" s="41" customFormat="1" ht="7.5" customHeight="1">
      <c r="B4" s="207"/>
      <c r="C4" s="208"/>
      <c r="D4" s="208"/>
      <c r="E4" s="209"/>
    </row>
    <row r="5" spans="1:17" s="41" customFormat="1" ht="10.5" customHeight="1">
      <c r="B5" s="207"/>
      <c r="C5" s="208"/>
      <c r="D5" s="208"/>
      <c r="E5" s="209"/>
    </row>
    <row r="6" spans="1:17" s="41" customFormat="1" ht="62.25" customHeight="1">
      <c r="B6" s="210"/>
      <c r="C6" s="211"/>
      <c r="D6" s="211"/>
      <c r="E6" s="212"/>
    </row>
    <row r="7" spans="1:17" s="41" customFormat="1" ht="12" customHeight="1">
      <c r="B7" s="213"/>
      <c r="C7" s="214"/>
      <c r="D7" s="214"/>
      <c r="E7" s="215"/>
    </row>
    <row r="8" spans="1:17" s="41" customFormat="1" ht="15" customHeight="1">
      <c r="B8" s="201" t="s">
        <v>26</v>
      </c>
      <c r="C8" s="202"/>
      <c r="D8" s="202"/>
      <c r="E8" s="203"/>
    </row>
    <row r="9" spans="1:17" s="41" customFormat="1" ht="14.25" thickBot="1">
      <c r="B9" s="216" t="s">
        <v>155</v>
      </c>
      <c r="C9" s="216"/>
      <c r="D9" s="216"/>
      <c r="E9" s="216"/>
    </row>
    <row r="10" spans="1:17" s="41" customFormat="1" ht="12" customHeight="1" thickBot="1">
      <c r="B10" s="134" t="s">
        <v>27</v>
      </c>
      <c r="C10" s="134" t="s">
        <v>28</v>
      </c>
      <c r="D10" s="134" t="s">
        <v>21</v>
      </c>
      <c r="E10" s="134" t="s">
        <v>29</v>
      </c>
    </row>
    <row r="11" spans="1:17" ht="27">
      <c r="A11" s="41"/>
      <c r="B11" s="135" t="s">
        <v>0</v>
      </c>
      <c r="C11" s="136" t="s">
        <v>30</v>
      </c>
      <c r="D11" s="136" t="s">
        <v>31</v>
      </c>
      <c r="E11" s="137" t="s">
        <v>32</v>
      </c>
      <c r="F11" s="41"/>
      <c r="G11" s="41"/>
      <c r="H11" s="41"/>
      <c r="I11" s="41"/>
      <c r="J11" s="41"/>
      <c r="K11" s="41"/>
      <c r="L11" s="41"/>
      <c r="M11" s="41"/>
      <c r="N11" s="41"/>
      <c r="O11" s="41"/>
      <c r="P11" s="42"/>
      <c r="Q11" s="42"/>
    </row>
    <row r="12" spans="1:17">
      <c r="A12" s="41"/>
      <c r="B12" s="135" t="s">
        <v>2</v>
      </c>
      <c r="C12" s="138" t="s">
        <v>34</v>
      </c>
      <c r="D12" s="138" t="s">
        <v>24</v>
      </c>
      <c r="E12" s="137" t="s">
        <v>32</v>
      </c>
      <c r="F12" s="41"/>
      <c r="G12" s="41"/>
      <c r="H12" s="41"/>
      <c r="I12" s="41"/>
      <c r="J12" s="41"/>
      <c r="K12" s="41"/>
      <c r="L12" s="41"/>
      <c r="M12" s="41"/>
      <c r="N12" s="41"/>
      <c r="O12" s="41"/>
      <c r="P12" s="42"/>
      <c r="Q12" s="42"/>
    </row>
    <row r="13" spans="1:17" ht="40.5">
      <c r="A13" s="44"/>
      <c r="B13" s="139" t="s">
        <v>1</v>
      </c>
      <c r="C13" s="138" t="s">
        <v>156</v>
      </c>
      <c r="D13" s="138" t="s">
        <v>24</v>
      </c>
      <c r="E13" s="137" t="s">
        <v>32</v>
      </c>
      <c r="F13" s="41"/>
      <c r="G13" s="41"/>
      <c r="H13" s="41"/>
      <c r="I13" s="41"/>
      <c r="J13" s="41"/>
      <c r="K13" s="41"/>
      <c r="L13" s="41"/>
      <c r="M13" s="41"/>
      <c r="N13" s="41"/>
      <c r="O13" s="41"/>
      <c r="P13" s="42"/>
      <c r="Q13" s="42"/>
    </row>
    <row r="14" spans="1:17" ht="24.75" customHeight="1">
      <c r="A14" s="44"/>
      <c r="B14" s="139" t="s">
        <v>211</v>
      </c>
      <c r="C14" s="138" t="s">
        <v>157</v>
      </c>
      <c r="D14" s="138" t="s">
        <v>24</v>
      </c>
      <c r="E14" s="137" t="s">
        <v>32</v>
      </c>
      <c r="F14" s="41"/>
      <c r="G14" s="41"/>
      <c r="H14" s="41"/>
      <c r="I14" s="41"/>
      <c r="J14" s="41"/>
      <c r="K14" s="41"/>
      <c r="L14" s="41"/>
      <c r="M14" s="41"/>
      <c r="N14" s="41"/>
      <c r="O14" s="41"/>
      <c r="P14" s="42"/>
      <c r="Q14" s="42"/>
    </row>
    <row r="15" spans="1:17">
      <c r="A15" s="44"/>
      <c r="B15" s="135" t="s">
        <v>229</v>
      </c>
      <c r="C15" s="138" t="s">
        <v>158</v>
      </c>
      <c r="D15" s="138" t="s">
        <v>24</v>
      </c>
      <c r="E15" s="137" t="s">
        <v>32</v>
      </c>
      <c r="F15" s="41"/>
      <c r="G15" s="41"/>
      <c r="H15" s="41"/>
      <c r="I15" s="41"/>
      <c r="J15" s="41"/>
      <c r="K15" s="41"/>
      <c r="L15" s="41"/>
      <c r="M15" s="41"/>
      <c r="N15" s="41"/>
      <c r="O15" s="41"/>
    </row>
    <row r="16" spans="1:17" ht="27">
      <c r="A16" s="44"/>
      <c r="B16" s="135" t="s">
        <v>5</v>
      </c>
      <c r="C16" s="138" t="s">
        <v>233</v>
      </c>
      <c r="D16" s="138" t="s">
        <v>24</v>
      </c>
      <c r="E16" s="137" t="s">
        <v>32</v>
      </c>
      <c r="F16" s="41"/>
      <c r="G16" s="41"/>
      <c r="H16" s="41"/>
      <c r="I16" s="41"/>
      <c r="J16" s="41"/>
      <c r="K16" s="41"/>
      <c r="L16" s="41"/>
      <c r="M16" s="41"/>
      <c r="N16" s="41"/>
      <c r="O16" s="41"/>
    </row>
    <row r="17" spans="1:17" ht="27">
      <c r="A17" s="44"/>
      <c r="B17" s="140" t="s">
        <v>3</v>
      </c>
      <c r="C17" s="138" t="s">
        <v>231</v>
      </c>
      <c r="D17" s="138" t="s">
        <v>24</v>
      </c>
      <c r="E17" s="137" t="s">
        <v>32</v>
      </c>
      <c r="F17" s="41"/>
      <c r="G17" s="41"/>
      <c r="H17" s="41"/>
      <c r="I17" s="41"/>
      <c r="J17" s="41"/>
      <c r="K17" s="41"/>
      <c r="L17" s="41"/>
      <c r="M17" s="41"/>
      <c r="N17" s="41"/>
      <c r="O17" s="41"/>
      <c r="P17" s="42"/>
      <c r="Q17" s="42"/>
    </row>
    <row r="18" spans="1:17">
      <c r="A18" s="44"/>
      <c r="B18" s="140" t="s">
        <v>4</v>
      </c>
      <c r="C18" s="138" t="s">
        <v>159</v>
      </c>
      <c r="D18" s="138" t="s">
        <v>24</v>
      </c>
      <c r="E18" s="137" t="s">
        <v>32</v>
      </c>
      <c r="F18" s="41"/>
      <c r="G18" s="41"/>
      <c r="H18" s="41"/>
      <c r="I18" s="41"/>
      <c r="J18" s="41"/>
      <c r="K18" s="41"/>
      <c r="L18" s="41"/>
      <c r="M18" s="41"/>
      <c r="N18" s="41"/>
      <c r="O18" s="41"/>
      <c r="P18" s="42"/>
      <c r="Q18" s="42"/>
    </row>
    <row r="19" spans="1:17">
      <c r="A19" s="44"/>
      <c r="B19" s="135" t="s">
        <v>28</v>
      </c>
      <c r="C19" s="138" t="s">
        <v>35</v>
      </c>
      <c r="D19" s="138" t="s">
        <v>24</v>
      </c>
      <c r="E19" s="137" t="s">
        <v>32</v>
      </c>
      <c r="F19" s="41"/>
      <c r="G19" s="41"/>
      <c r="H19" s="41"/>
      <c r="I19" s="41"/>
      <c r="J19" s="41"/>
      <c r="K19" s="41"/>
      <c r="L19" s="41"/>
      <c r="M19" s="41"/>
      <c r="N19" s="41"/>
      <c r="O19" s="41"/>
      <c r="P19" s="42"/>
      <c r="Q19" s="42"/>
    </row>
    <row r="20" spans="1:17" ht="25.5" customHeight="1">
      <c r="A20" s="44"/>
      <c r="B20" s="140" t="s">
        <v>190</v>
      </c>
      <c r="C20" s="138" t="s">
        <v>160</v>
      </c>
      <c r="D20" s="138" t="s">
        <v>24</v>
      </c>
      <c r="E20" s="137" t="s">
        <v>32</v>
      </c>
      <c r="F20" s="41"/>
      <c r="G20" s="41"/>
      <c r="H20" s="41"/>
      <c r="I20" s="41"/>
      <c r="J20" s="41"/>
      <c r="K20" s="41"/>
      <c r="L20" s="41"/>
      <c r="M20" s="41"/>
      <c r="N20" s="41"/>
      <c r="O20" s="41"/>
      <c r="P20" s="42"/>
      <c r="Q20" s="42"/>
    </row>
    <row r="21" spans="1:17" ht="27">
      <c r="A21" s="44"/>
      <c r="B21" s="140" t="s">
        <v>189</v>
      </c>
      <c r="C21" s="138" t="s">
        <v>161</v>
      </c>
      <c r="D21" s="138" t="s">
        <v>24</v>
      </c>
      <c r="E21" s="137" t="s">
        <v>32</v>
      </c>
      <c r="F21" s="41"/>
      <c r="G21" s="41"/>
      <c r="H21" s="41"/>
      <c r="I21" s="41"/>
      <c r="J21" s="41"/>
      <c r="K21" s="41"/>
      <c r="L21" s="41"/>
      <c r="M21" s="41"/>
      <c r="N21" s="41"/>
      <c r="O21" s="41"/>
      <c r="P21" s="42"/>
      <c r="Q21" s="42"/>
    </row>
    <row r="22" spans="1:17" ht="27">
      <c r="A22" s="44"/>
      <c r="B22" s="135" t="s">
        <v>280</v>
      </c>
      <c r="C22" s="138" t="s">
        <v>162</v>
      </c>
      <c r="D22" s="138" t="s">
        <v>24</v>
      </c>
      <c r="E22" s="137" t="s">
        <v>32</v>
      </c>
      <c r="F22" s="41"/>
      <c r="G22" s="41"/>
      <c r="H22" s="41"/>
      <c r="I22" s="41"/>
      <c r="J22" s="41"/>
      <c r="K22" s="41"/>
      <c r="L22" s="41"/>
      <c r="M22" s="41"/>
      <c r="N22" s="41"/>
      <c r="O22" s="41"/>
      <c r="P22" s="42"/>
      <c r="Q22" s="42"/>
    </row>
    <row r="23" spans="1:17" ht="40.5">
      <c r="A23" s="44"/>
      <c r="B23" s="135" t="s">
        <v>230</v>
      </c>
      <c r="C23" s="138" t="s">
        <v>281</v>
      </c>
      <c r="D23" s="138" t="s">
        <v>24</v>
      </c>
      <c r="E23" s="137" t="s">
        <v>32</v>
      </c>
      <c r="F23" s="41"/>
      <c r="G23" s="41"/>
      <c r="H23" s="41"/>
      <c r="I23" s="41"/>
      <c r="J23" s="41"/>
      <c r="K23" s="41"/>
      <c r="L23" s="41"/>
      <c r="M23" s="41"/>
      <c r="N23" s="41"/>
      <c r="O23" s="41"/>
      <c r="P23" s="42"/>
      <c r="Q23" s="42"/>
    </row>
    <row r="24" spans="1:17" ht="40.5">
      <c r="A24" s="44"/>
      <c r="B24" s="135" t="s">
        <v>185</v>
      </c>
      <c r="C24" s="138" t="s">
        <v>232</v>
      </c>
      <c r="D24" s="138" t="s">
        <v>24</v>
      </c>
      <c r="E24" s="137" t="s">
        <v>32</v>
      </c>
      <c r="F24" s="41"/>
      <c r="G24" s="41"/>
      <c r="H24" s="41"/>
      <c r="I24" s="41"/>
      <c r="J24" s="41"/>
      <c r="K24" s="41"/>
      <c r="L24" s="41"/>
      <c r="M24" s="41"/>
      <c r="N24" s="41"/>
      <c r="O24" s="41"/>
      <c r="P24" s="42"/>
      <c r="Q24" s="42"/>
    </row>
    <row r="25" spans="1:17" ht="27">
      <c r="A25" s="44"/>
      <c r="B25" s="135" t="s">
        <v>186</v>
      </c>
      <c r="C25" s="138" t="s">
        <v>163</v>
      </c>
      <c r="D25" s="138" t="s">
        <v>24</v>
      </c>
      <c r="E25" s="137" t="s">
        <v>32</v>
      </c>
      <c r="F25" s="41"/>
      <c r="G25" s="41"/>
      <c r="H25" s="41"/>
      <c r="I25" s="41"/>
      <c r="J25" s="41"/>
      <c r="K25" s="41"/>
      <c r="L25" s="41"/>
      <c r="M25" s="41"/>
      <c r="N25" s="41"/>
      <c r="O25" s="41"/>
      <c r="P25" s="42"/>
      <c r="Q25" s="42"/>
    </row>
    <row r="26" spans="1:17" ht="40.5">
      <c r="A26" s="44"/>
      <c r="B26" s="140" t="s">
        <v>213</v>
      </c>
      <c r="C26" s="138" t="s">
        <v>234</v>
      </c>
      <c r="D26" s="138" t="s">
        <v>24</v>
      </c>
      <c r="E26" s="137" t="s">
        <v>32</v>
      </c>
      <c r="F26" s="41"/>
      <c r="G26" s="41"/>
      <c r="H26" s="41"/>
      <c r="I26" s="41"/>
      <c r="J26" s="41"/>
      <c r="K26" s="41"/>
      <c r="L26" s="41"/>
      <c r="M26" s="41"/>
      <c r="N26" s="41"/>
      <c r="O26" s="41"/>
      <c r="P26" s="42"/>
      <c r="Q26" s="42"/>
    </row>
    <row r="27" spans="1:17" ht="38.25" customHeight="1">
      <c r="A27" s="44"/>
      <c r="B27" s="135" t="s">
        <v>6</v>
      </c>
      <c r="C27" s="138" t="s">
        <v>164</v>
      </c>
      <c r="D27" s="138" t="s">
        <v>24</v>
      </c>
      <c r="E27" s="137" t="s">
        <v>32</v>
      </c>
      <c r="F27" s="41"/>
      <c r="G27" s="41"/>
      <c r="H27" s="41"/>
      <c r="I27" s="41"/>
      <c r="J27" s="41"/>
      <c r="K27" s="41"/>
      <c r="L27" s="41"/>
      <c r="M27" s="41"/>
      <c r="N27" s="41"/>
      <c r="O27" s="41"/>
      <c r="P27" s="42"/>
      <c r="Q27" s="42"/>
    </row>
    <row r="28" spans="1:17" ht="27.75" customHeight="1">
      <c r="A28" s="44"/>
      <c r="B28" s="141" t="s">
        <v>7</v>
      </c>
      <c r="C28" s="138" t="s">
        <v>165</v>
      </c>
      <c r="D28" s="138" t="s">
        <v>191</v>
      </c>
      <c r="E28" s="137" t="s">
        <v>32</v>
      </c>
      <c r="F28" s="41"/>
      <c r="G28" s="41"/>
      <c r="H28" s="41"/>
      <c r="I28" s="41"/>
      <c r="J28" s="41"/>
      <c r="K28" s="41"/>
      <c r="L28" s="41"/>
      <c r="M28" s="41"/>
      <c r="N28" s="41"/>
      <c r="O28" s="41"/>
      <c r="P28" s="42"/>
      <c r="Q28" s="42"/>
    </row>
    <row r="29" spans="1:17" ht="27">
      <c r="A29" s="44"/>
      <c r="B29" s="142" t="s">
        <v>8</v>
      </c>
      <c r="C29" s="138" t="s">
        <v>166</v>
      </c>
      <c r="D29" s="138" t="s">
        <v>191</v>
      </c>
      <c r="E29" s="137" t="s">
        <v>32</v>
      </c>
      <c r="F29" s="41"/>
      <c r="G29" s="41"/>
      <c r="H29" s="41"/>
      <c r="I29" s="41"/>
      <c r="J29" s="41"/>
      <c r="K29" s="41"/>
      <c r="L29" s="41"/>
      <c r="M29" s="41"/>
      <c r="N29" s="41"/>
      <c r="O29" s="41"/>
      <c r="P29" s="42"/>
      <c r="Q29" s="42"/>
    </row>
    <row r="30" spans="1:17" ht="27">
      <c r="A30" s="44"/>
      <c r="B30" s="142" t="s">
        <v>235</v>
      </c>
      <c r="C30" s="138" t="s">
        <v>36</v>
      </c>
      <c r="D30" s="138" t="s">
        <v>191</v>
      </c>
      <c r="E30" s="137" t="s">
        <v>32</v>
      </c>
      <c r="F30" s="41"/>
      <c r="G30" s="41"/>
      <c r="H30" s="41"/>
      <c r="I30" s="41"/>
      <c r="J30" s="41"/>
      <c r="K30" s="41"/>
      <c r="L30" s="41"/>
      <c r="M30" s="41"/>
      <c r="N30" s="41"/>
      <c r="O30" s="41"/>
      <c r="P30" s="42"/>
      <c r="Q30" s="42"/>
    </row>
    <row r="31" spans="1:17" ht="27">
      <c r="A31" s="44"/>
      <c r="B31" s="142" t="s">
        <v>16</v>
      </c>
      <c r="C31" s="138" t="s">
        <v>167</v>
      </c>
      <c r="D31" s="138" t="s">
        <v>191</v>
      </c>
      <c r="E31" s="137" t="s">
        <v>32</v>
      </c>
      <c r="F31" s="41"/>
      <c r="G31" s="41"/>
      <c r="H31" s="41"/>
      <c r="I31" s="41"/>
      <c r="J31" s="41"/>
      <c r="K31" s="41"/>
      <c r="L31" s="41"/>
      <c r="M31" s="41"/>
      <c r="N31" s="41"/>
      <c r="O31" s="41"/>
      <c r="P31" s="42"/>
      <c r="Q31" s="42"/>
    </row>
    <row r="32" spans="1:17" ht="40.5">
      <c r="A32" s="44"/>
      <c r="B32" s="141" t="s">
        <v>282</v>
      </c>
      <c r="C32" s="138" t="s">
        <v>37</v>
      </c>
      <c r="D32" s="138" t="s">
        <v>191</v>
      </c>
      <c r="E32" s="137" t="s">
        <v>32</v>
      </c>
      <c r="F32" s="41"/>
      <c r="G32" s="41"/>
      <c r="H32" s="41"/>
      <c r="I32" s="41"/>
      <c r="J32" s="41"/>
      <c r="K32" s="41"/>
      <c r="L32" s="41"/>
      <c r="M32" s="41"/>
      <c r="N32" s="41"/>
      <c r="O32" s="41"/>
      <c r="P32" s="42"/>
      <c r="Q32" s="42"/>
    </row>
    <row r="33" spans="1:17" ht="27">
      <c r="A33" s="44"/>
      <c r="B33" s="141" t="s">
        <v>283</v>
      </c>
      <c r="C33" s="138" t="s">
        <v>168</v>
      </c>
      <c r="D33" s="138" t="s">
        <v>191</v>
      </c>
      <c r="E33" s="137" t="s">
        <v>32</v>
      </c>
      <c r="F33" s="41"/>
      <c r="G33" s="41"/>
      <c r="H33" s="41"/>
      <c r="I33" s="41"/>
      <c r="J33" s="41"/>
      <c r="K33" s="41"/>
      <c r="L33" s="41"/>
      <c r="M33" s="41"/>
      <c r="N33" s="41"/>
      <c r="O33" s="41"/>
      <c r="P33" s="42"/>
      <c r="Q33" s="42"/>
    </row>
    <row r="34" spans="1:17" ht="27">
      <c r="A34" s="44"/>
      <c r="B34" s="142" t="s">
        <v>284</v>
      </c>
      <c r="C34" s="138" t="s">
        <v>169</v>
      </c>
      <c r="D34" s="138" t="s">
        <v>191</v>
      </c>
      <c r="E34" s="137" t="s">
        <v>32</v>
      </c>
      <c r="F34" s="41"/>
      <c r="G34" s="41"/>
      <c r="H34" s="41"/>
      <c r="I34" s="41"/>
      <c r="J34" s="41"/>
      <c r="K34" s="41"/>
      <c r="L34" s="41"/>
      <c r="M34" s="41"/>
      <c r="N34" s="41"/>
      <c r="O34" s="41"/>
      <c r="P34" s="42"/>
      <c r="Q34" s="42"/>
    </row>
    <row r="35" spans="1:17" ht="27">
      <c r="A35" s="44"/>
      <c r="B35" s="142" t="s">
        <v>188</v>
      </c>
      <c r="C35" s="138" t="s">
        <v>38</v>
      </c>
      <c r="D35" s="138" t="s">
        <v>191</v>
      </c>
      <c r="E35" s="137" t="s">
        <v>32</v>
      </c>
      <c r="F35" s="41"/>
      <c r="G35" s="41"/>
      <c r="H35" s="41"/>
      <c r="I35" s="41"/>
      <c r="J35" s="41"/>
      <c r="K35" s="41"/>
      <c r="L35" s="41"/>
      <c r="M35" s="41"/>
      <c r="N35" s="41"/>
      <c r="O35" s="41"/>
      <c r="P35" s="42"/>
      <c r="Q35" s="42"/>
    </row>
    <row r="36" spans="1:17" ht="40.5">
      <c r="A36" s="44"/>
      <c r="B36" s="141" t="s">
        <v>76</v>
      </c>
      <c r="C36" s="138" t="s">
        <v>236</v>
      </c>
      <c r="D36" s="138" t="s">
        <v>191</v>
      </c>
      <c r="E36" s="137" t="s">
        <v>32</v>
      </c>
      <c r="F36" s="41"/>
      <c r="G36" s="41"/>
      <c r="H36" s="41"/>
      <c r="I36" s="41"/>
      <c r="J36" s="41"/>
      <c r="K36" s="41"/>
      <c r="L36" s="41"/>
      <c r="M36" s="41"/>
      <c r="N36" s="41"/>
      <c r="O36" s="41"/>
      <c r="P36" s="42"/>
      <c r="Q36" s="42"/>
    </row>
    <row r="37" spans="1:17" ht="40.5">
      <c r="A37" s="44"/>
      <c r="B37" s="141" t="s">
        <v>77</v>
      </c>
      <c r="C37" s="138" t="s">
        <v>237</v>
      </c>
      <c r="D37" s="138" t="s">
        <v>191</v>
      </c>
      <c r="E37" s="137" t="s">
        <v>32</v>
      </c>
      <c r="F37" s="41"/>
      <c r="G37" s="41"/>
      <c r="H37" s="41"/>
      <c r="I37" s="41"/>
      <c r="J37" s="41"/>
      <c r="K37" s="41"/>
      <c r="L37" s="41"/>
      <c r="M37" s="41"/>
      <c r="N37" s="41"/>
      <c r="O37" s="41"/>
      <c r="P37" s="42"/>
      <c r="Q37" s="42"/>
    </row>
    <row r="38" spans="1:17" ht="27">
      <c r="A38" s="44"/>
      <c r="B38" s="142" t="s">
        <v>39</v>
      </c>
      <c r="C38" s="138" t="s">
        <v>170</v>
      </c>
      <c r="D38" s="138" t="s">
        <v>191</v>
      </c>
      <c r="E38" s="137" t="s">
        <v>32</v>
      </c>
      <c r="F38" s="41"/>
      <c r="G38" s="41"/>
      <c r="H38" s="41"/>
      <c r="I38" s="41"/>
      <c r="J38" s="41"/>
      <c r="K38" s="41"/>
      <c r="L38" s="41"/>
      <c r="M38" s="41"/>
      <c r="N38" s="41"/>
      <c r="O38" s="41"/>
      <c r="P38" s="42"/>
      <c r="Q38" s="42"/>
    </row>
    <row r="39" spans="1:17" ht="40.5">
      <c r="A39" s="44"/>
      <c r="B39" s="141" t="s">
        <v>9</v>
      </c>
      <c r="C39" s="138" t="s">
        <v>64</v>
      </c>
      <c r="D39" s="138" t="s">
        <v>191</v>
      </c>
      <c r="E39" s="137" t="s">
        <v>32</v>
      </c>
      <c r="F39" s="41"/>
      <c r="G39" s="41"/>
      <c r="H39" s="41"/>
      <c r="I39" s="41"/>
      <c r="J39" s="41"/>
      <c r="K39" s="41"/>
      <c r="L39" s="41"/>
      <c r="M39" s="41"/>
      <c r="N39" s="41"/>
      <c r="O39" s="41"/>
      <c r="P39" s="42"/>
      <c r="Q39" s="42"/>
    </row>
    <row r="40" spans="1:17" ht="27">
      <c r="A40" s="44"/>
      <c r="B40" s="141" t="s">
        <v>40</v>
      </c>
      <c r="C40" s="138" t="s">
        <v>65</v>
      </c>
      <c r="D40" s="138" t="s">
        <v>191</v>
      </c>
      <c r="E40" s="137" t="s">
        <v>32</v>
      </c>
      <c r="F40" s="41"/>
      <c r="G40" s="41"/>
      <c r="H40" s="41"/>
      <c r="I40" s="41"/>
      <c r="J40" s="41"/>
      <c r="K40" s="41"/>
      <c r="L40" s="41"/>
      <c r="M40" s="41"/>
      <c r="N40" s="41"/>
      <c r="O40" s="41"/>
      <c r="P40" s="42"/>
      <c r="Q40" s="42"/>
    </row>
    <row r="41" spans="1:17" ht="27">
      <c r="A41" s="44"/>
      <c r="B41" s="142" t="s">
        <v>10</v>
      </c>
      <c r="C41" s="143" t="s">
        <v>241</v>
      </c>
      <c r="D41" s="138" t="s">
        <v>191</v>
      </c>
      <c r="E41" s="137" t="s">
        <v>32</v>
      </c>
      <c r="F41" s="41"/>
      <c r="G41" s="41"/>
      <c r="H41" s="41"/>
      <c r="I41" s="41"/>
      <c r="J41" s="41"/>
      <c r="K41" s="41"/>
      <c r="L41" s="41"/>
      <c r="M41" s="41"/>
      <c r="N41" s="41"/>
      <c r="O41" s="41"/>
      <c r="P41" s="42"/>
      <c r="Q41" s="42"/>
    </row>
    <row r="42" spans="1:17" ht="27">
      <c r="A42" s="44"/>
      <c r="B42" s="141" t="s">
        <v>25</v>
      </c>
      <c r="C42" s="138" t="s">
        <v>242</v>
      </c>
      <c r="D42" s="138" t="s">
        <v>191</v>
      </c>
      <c r="E42" s="137" t="s">
        <v>32</v>
      </c>
      <c r="F42" s="41"/>
      <c r="G42" s="41"/>
      <c r="H42" s="41"/>
      <c r="I42" s="41"/>
      <c r="J42" s="41"/>
      <c r="K42" s="41"/>
      <c r="L42" s="41"/>
      <c r="M42" s="41"/>
      <c r="N42" s="41"/>
      <c r="O42" s="41"/>
      <c r="P42" s="42"/>
      <c r="Q42" s="42"/>
    </row>
    <row r="43" spans="1:17" ht="26.25" customHeight="1">
      <c r="A43" s="44"/>
      <c r="B43" s="144" t="s">
        <v>285</v>
      </c>
      <c r="C43" s="138" t="s">
        <v>239</v>
      </c>
      <c r="D43" s="138" t="s">
        <v>191</v>
      </c>
      <c r="E43" s="145" t="s">
        <v>32</v>
      </c>
      <c r="F43" s="41"/>
      <c r="G43" s="41"/>
      <c r="H43" s="41"/>
      <c r="I43" s="41"/>
      <c r="J43" s="41"/>
      <c r="K43" s="41"/>
      <c r="L43" s="41"/>
      <c r="M43" s="41"/>
      <c r="N43" s="41"/>
      <c r="O43" s="41"/>
      <c r="P43" s="42"/>
      <c r="Q43" s="42"/>
    </row>
    <row r="44" spans="1:17" ht="27" customHeight="1">
      <c r="A44" s="44"/>
      <c r="B44" s="144" t="s">
        <v>286</v>
      </c>
      <c r="C44" s="143" t="s">
        <v>240</v>
      </c>
      <c r="D44" s="138" t="s">
        <v>191</v>
      </c>
      <c r="E44" s="145" t="s">
        <v>32</v>
      </c>
      <c r="F44" s="41"/>
      <c r="G44" s="41"/>
      <c r="H44" s="41"/>
      <c r="I44" s="41"/>
      <c r="J44" s="41"/>
      <c r="K44" s="41"/>
      <c r="L44" s="41"/>
      <c r="M44" s="41"/>
      <c r="N44" s="41"/>
      <c r="O44" s="41"/>
      <c r="P44" s="42"/>
      <c r="Q44" s="42"/>
    </row>
    <row r="45" spans="1:17" ht="28.5" customHeight="1">
      <c r="A45" s="44"/>
      <c r="B45" s="144" t="s">
        <v>238</v>
      </c>
      <c r="C45" s="143" t="s">
        <v>172</v>
      </c>
      <c r="D45" s="138" t="s">
        <v>191</v>
      </c>
      <c r="E45" s="145" t="s">
        <v>32</v>
      </c>
      <c r="F45" s="41"/>
      <c r="G45" s="41"/>
      <c r="H45" s="41"/>
      <c r="I45" s="41"/>
      <c r="J45" s="41"/>
      <c r="K45" s="41"/>
      <c r="L45" s="41"/>
      <c r="M45" s="41"/>
      <c r="N45" s="41"/>
      <c r="O45" s="41"/>
      <c r="P45" s="42"/>
      <c r="Q45" s="42"/>
    </row>
    <row r="46" spans="1:17" ht="18.75" customHeight="1">
      <c r="A46" s="44"/>
      <c r="B46" s="146" t="s">
        <v>69</v>
      </c>
      <c r="C46" s="143" t="s">
        <v>243</v>
      </c>
      <c r="D46" s="138" t="s">
        <v>191</v>
      </c>
      <c r="E46" s="145" t="s">
        <v>33</v>
      </c>
      <c r="F46" s="41"/>
      <c r="G46" s="41"/>
      <c r="H46" s="41"/>
      <c r="I46" s="41"/>
      <c r="J46" s="41"/>
      <c r="K46" s="41"/>
      <c r="L46" s="41"/>
      <c r="M46" s="41"/>
      <c r="N46" s="41"/>
      <c r="O46" s="41"/>
      <c r="P46" s="42"/>
      <c r="Q46" s="42"/>
    </row>
    <row r="47" spans="1:17" ht="27.75" customHeight="1">
      <c r="A47" s="44"/>
      <c r="B47" s="146" t="s">
        <v>245</v>
      </c>
      <c r="C47" s="143" t="s">
        <v>173</v>
      </c>
      <c r="D47" s="138" t="s">
        <v>191</v>
      </c>
      <c r="E47" s="145"/>
      <c r="F47" s="41"/>
      <c r="G47" s="41"/>
      <c r="H47" s="41"/>
      <c r="I47" s="41"/>
      <c r="J47" s="41"/>
      <c r="K47" s="41"/>
      <c r="L47" s="41"/>
      <c r="M47" s="41"/>
      <c r="N47" s="41"/>
      <c r="O47" s="41"/>
      <c r="P47" s="42"/>
      <c r="Q47" s="42"/>
    </row>
    <row r="48" spans="1:17" ht="27">
      <c r="A48" s="44"/>
      <c r="B48" s="147" t="s">
        <v>12</v>
      </c>
      <c r="C48" s="138" t="s">
        <v>248</v>
      </c>
      <c r="D48" s="138" t="s">
        <v>191</v>
      </c>
      <c r="E48" s="145" t="s">
        <v>32</v>
      </c>
      <c r="F48" s="41"/>
      <c r="G48" s="41"/>
      <c r="H48" s="41"/>
      <c r="I48" s="41"/>
      <c r="J48" s="41"/>
      <c r="K48" s="41"/>
      <c r="L48" s="41"/>
      <c r="M48" s="41"/>
      <c r="N48" s="41"/>
      <c r="O48" s="41"/>
      <c r="P48" s="42"/>
      <c r="Q48" s="42"/>
    </row>
    <row r="49" spans="1:17" ht="27">
      <c r="A49" s="44"/>
      <c r="B49" s="147" t="s">
        <v>11</v>
      </c>
      <c r="C49" s="138" t="s">
        <v>41</v>
      </c>
      <c r="D49" s="138" t="s">
        <v>191</v>
      </c>
      <c r="E49" s="145" t="s">
        <v>32</v>
      </c>
      <c r="F49" s="41"/>
      <c r="G49" s="41"/>
      <c r="H49" s="41"/>
      <c r="I49" s="41"/>
      <c r="J49" s="41"/>
      <c r="K49" s="41"/>
      <c r="L49" s="41"/>
      <c r="M49" s="41"/>
      <c r="N49" s="41"/>
      <c r="O49" s="41"/>
      <c r="P49" s="42"/>
      <c r="Q49" s="42"/>
    </row>
    <row r="50" spans="1:17" ht="27">
      <c r="A50" s="44"/>
      <c r="B50" s="147" t="s">
        <v>246</v>
      </c>
      <c r="C50" s="138" t="s">
        <v>42</v>
      </c>
      <c r="D50" s="138" t="s">
        <v>191</v>
      </c>
      <c r="E50" s="145" t="s">
        <v>32</v>
      </c>
      <c r="F50" s="41"/>
      <c r="G50" s="41"/>
      <c r="H50" s="41"/>
      <c r="I50" s="41"/>
      <c r="J50" s="41"/>
      <c r="K50" s="41"/>
      <c r="L50" s="41"/>
      <c r="M50" s="41"/>
      <c r="N50" s="41"/>
      <c r="O50" s="41"/>
      <c r="P50" s="42"/>
      <c r="Q50" s="42"/>
    </row>
    <row r="51" spans="1:17" ht="42" customHeight="1">
      <c r="A51" s="44"/>
      <c r="B51" s="148" t="s">
        <v>265</v>
      </c>
      <c r="C51" s="143" t="s">
        <v>267</v>
      </c>
      <c r="D51" s="138" t="s">
        <v>24</v>
      </c>
      <c r="E51" s="145" t="s">
        <v>32</v>
      </c>
      <c r="F51" s="41"/>
      <c r="G51" s="41"/>
      <c r="H51" s="41"/>
      <c r="I51" s="41"/>
      <c r="J51" s="41"/>
      <c r="K51" s="41"/>
      <c r="L51" s="41"/>
      <c r="M51" s="41"/>
      <c r="N51" s="41"/>
      <c r="O51" s="41"/>
      <c r="P51" s="42"/>
      <c r="Q51" s="42"/>
    </row>
    <row r="52" spans="1:17" ht="42" customHeight="1">
      <c r="A52" s="44"/>
      <c r="B52" s="148" t="s">
        <v>266</v>
      </c>
      <c r="C52" s="143" t="s">
        <v>174</v>
      </c>
      <c r="D52" s="138" t="s">
        <v>24</v>
      </c>
      <c r="E52" s="145" t="s">
        <v>32</v>
      </c>
      <c r="F52" s="41"/>
      <c r="G52" s="41"/>
      <c r="H52" s="41"/>
      <c r="I52" s="41"/>
      <c r="J52" s="41"/>
      <c r="K52" s="41"/>
      <c r="L52" s="41"/>
      <c r="M52" s="41"/>
      <c r="N52" s="41"/>
      <c r="O52" s="41"/>
      <c r="P52" s="42"/>
      <c r="Q52" s="42"/>
    </row>
    <row r="53" spans="1:17">
      <c r="A53" s="44"/>
      <c r="B53" s="149"/>
      <c r="C53" s="143"/>
      <c r="D53" s="143"/>
      <c r="E53" s="145"/>
      <c r="F53" s="41"/>
      <c r="G53" s="41"/>
      <c r="H53" s="41"/>
      <c r="I53" s="41"/>
      <c r="J53" s="41"/>
      <c r="K53" s="41"/>
      <c r="L53" s="41"/>
      <c r="M53" s="41"/>
      <c r="N53" s="41"/>
      <c r="O53" s="41"/>
      <c r="P53" s="42"/>
      <c r="Q53" s="42"/>
    </row>
    <row r="54" spans="1:17" ht="14.25" thickBot="1">
      <c r="A54" s="44"/>
      <c r="B54" s="199" t="s">
        <v>43</v>
      </c>
      <c r="C54" s="199"/>
      <c r="D54" s="199"/>
      <c r="E54" s="199"/>
      <c r="F54" s="41"/>
      <c r="G54" s="41"/>
      <c r="H54" s="41"/>
      <c r="I54" s="41"/>
      <c r="J54" s="41"/>
      <c r="K54" s="41"/>
      <c r="L54" s="41"/>
      <c r="M54" s="41"/>
      <c r="N54" s="41"/>
      <c r="O54" s="41"/>
      <c r="P54" s="42"/>
      <c r="Q54" s="42"/>
    </row>
    <row r="55" spans="1:17" ht="14.25" thickBot="1">
      <c r="A55" s="44"/>
      <c r="B55" s="134" t="s">
        <v>27</v>
      </c>
      <c r="C55" s="134" t="s">
        <v>28</v>
      </c>
      <c r="D55" s="134" t="s">
        <v>21</v>
      </c>
      <c r="E55" s="134" t="s">
        <v>29</v>
      </c>
      <c r="F55" s="41"/>
      <c r="G55" s="41"/>
      <c r="H55" s="41"/>
      <c r="I55" s="41"/>
      <c r="J55" s="41"/>
      <c r="K55" s="41"/>
      <c r="L55" s="41"/>
      <c r="M55" s="41"/>
      <c r="N55" s="41"/>
      <c r="O55" s="41"/>
      <c r="P55" s="42"/>
      <c r="Q55" s="42"/>
    </row>
    <row r="56" spans="1:17" ht="40.5">
      <c r="A56" s="44"/>
      <c r="B56" s="150" t="s">
        <v>13</v>
      </c>
      <c r="C56" s="138" t="s">
        <v>44</v>
      </c>
      <c r="D56" s="138" t="s">
        <v>192</v>
      </c>
      <c r="E56" s="137" t="s">
        <v>32</v>
      </c>
      <c r="F56" s="41"/>
      <c r="G56" s="41"/>
      <c r="H56" s="41"/>
      <c r="I56" s="41"/>
      <c r="J56" s="41"/>
      <c r="K56" s="41"/>
      <c r="L56" s="41"/>
      <c r="M56" s="41"/>
      <c r="N56" s="41"/>
      <c r="O56" s="41"/>
      <c r="P56" s="42"/>
      <c r="Q56" s="42"/>
    </row>
    <row r="57" spans="1:17" ht="40.5">
      <c r="A57" s="44"/>
      <c r="B57" s="150" t="s">
        <v>14</v>
      </c>
      <c r="C57" s="138" t="s">
        <v>45</v>
      </c>
      <c r="D57" s="138" t="s">
        <v>192</v>
      </c>
      <c r="E57" s="137" t="s">
        <v>32</v>
      </c>
      <c r="F57" s="41"/>
      <c r="G57" s="41"/>
      <c r="H57" s="41"/>
      <c r="I57" s="41"/>
      <c r="J57" s="41"/>
      <c r="K57" s="41"/>
      <c r="L57" s="41"/>
      <c r="M57" s="41"/>
      <c r="N57" s="41"/>
      <c r="O57" s="41"/>
      <c r="P57" s="42"/>
      <c r="Q57" s="42"/>
    </row>
    <row r="58" spans="1:17" ht="27">
      <c r="A58" s="44"/>
      <c r="B58" s="150" t="s">
        <v>249</v>
      </c>
      <c r="C58" s="138" t="s">
        <v>251</v>
      </c>
      <c r="D58" s="138" t="s">
        <v>191</v>
      </c>
      <c r="E58" s="137" t="s">
        <v>32</v>
      </c>
      <c r="F58" s="41"/>
      <c r="G58" s="41"/>
      <c r="H58" s="41"/>
      <c r="I58" s="41"/>
      <c r="J58" s="41"/>
      <c r="K58" s="41"/>
      <c r="L58" s="41"/>
      <c r="M58" s="41"/>
      <c r="N58" s="41"/>
      <c r="O58" s="41"/>
      <c r="P58" s="42"/>
      <c r="Q58" s="42"/>
    </row>
    <row r="59" spans="1:17" ht="27">
      <c r="A59" s="44"/>
      <c r="B59" s="150" t="s">
        <v>15</v>
      </c>
      <c r="C59" s="138" t="s">
        <v>46</v>
      </c>
      <c r="D59" s="138" t="s">
        <v>191</v>
      </c>
      <c r="E59" s="137" t="s">
        <v>33</v>
      </c>
      <c r="F59" s="41"/>
      <c r="G59" s="41"/>
      <c r="H59" s="41"/>
      <c r="I59" s="41"/>
      <c r="J59" s="41"/>
      <c r="K59" s="41"/>
      <c r="L59" s="41"/>
      <c r="M59" s="41"/>
      <c r="N59" s="41"/>
      <c r="O59" s="41"/>
      <c r="P59" s="42"/>
      <c r="Q59" s="42"/>
    </row>
    <row r="60" spans="1:17" ht="27">
      <c r="A60" s="44"/>
      <c r="B60" s="150" t="s">
        <v>16</v>
      </c>
      <c r="C60" s="138" t="s">
        <v>175</v>
      </c>
      <c r="D60" s="138" t="s">
        <v>191</v>
      </c>
      <c r="E60" s="137" t="s">
        <v>32</v>
      </c>
      <c r="F60" s="41"/>
      <c r="G60" s="41"/>
      <c r="H60" s="41"/>
      <c r="I60" s="41"/>
      <c r="J60" s="41"/>
      <c r="K60" s="41"/>
      <c r="L60" s="41"/>
      <c r="M60" s="41"/>
      <c r="N60" s="41"/>
      <c r="O60" s="41"/>
      <c r="P60" s="42"/>
      <c r="Q60" s="42"/>
    </row>
    <row r="61" spans="1:17">
      <c r="A61" s="44"/>
      <c r="B61" s="138"/>
      <c r="C61" s="138"/>
      <c r="D61" s="138"/>
      <c r="E61" s="138"/>
      <c r="F61" s="41"/>
      <c r="G61" s="41"/>
      <c r="H61" s="41"/>
      <c r="I61" s="41"/>
      <c r="J61" s="41"/>
      <c r="K61" s="41"/>
      <c r="L61" s="41"/>
      <c r="M61" s="41"/>
      <c r="N61" s="41"/>
      <c r="O61" s="41"/>
      <c r="P61" s="42"/>
      <c r="Q61" s="42"/>
    </row>
    <row r="62" spans="1:17" ht="14.25" thickBot="1">
      <c r="A62" s="44"/>
      <c r="B62" s="199" t="s">
        <v>47</v>
      </c>
      <c r="C62" s="199"/>
      <c r="D62" s="199"/>
      <c r="E62" s="199"/>
      <c r="F62" s="41"/>
      <c r="G62" s="41"/>
      <c r="H62" s="41"/>
      <c r="I62" s="41"/>
      <c r="J62" s="41"/>
      <c r="K62" s="41"/>
      <c r="L62" s="41"/>
      <c r="M62" s="41"/>
      <c r="N62" s="41"/>
      <c r="O62" s="41"/>
      <c r="P62" s="42"/>
      <c r="Q62" s="42"/>
    </row>
    <row r="63" spans="1:17" ht="14.25" thickBot="1">
      <c r="A63" s="44"/>
      <c r="B63" s="199" t="s">
        <v>48</v>
      </c>
      <c r="C63" s="199"/>
      <c r="D63" s="199"/>
      <c r="E63" s="199"/>
      <c r="F63" s="41"/>
      <c r="G63" s="41"/>
      <c r="H63" s="41"/>
      <c r="I63" s="41"/>
      <c r="J63" s="41"/>
      <c r="K63" s="41"/>
      <c r="L63" s="41"/>
      <c r="M63" s="41"/>
      <c r="N63" s="41"/>
      <c r="O63" s="41"/>
      <c r="P63" s="42"/>
      <c r="Q63" s="42"/>
    </row>
    <row r="64" spans="1:17" ht="327" customHeight="1" thickBot="1">
      <c r="A64" s="44"/>
      <c r="B64" s="200" t="s">
        <v>252</v>
      </c>
      <c r="C64" s="200"/>
      <c r="D64" s="200"/>
      <c r="E64" s="200"/>
      <c r="F64" s="41"/>
      <c r="G64" s="41"/>
      <c r="H64" s="41"/>
      <c r="I64" s="41"/>
      <c r="J64" s="41"/>
      <c r="K64" s="41"/>
      <c r="L64" s="41"/>
      <c r="M64" s="41"/>
      <c r="N64" s="41"/>
      <c r="O64" s="41"/>
      <c r="P64" s="42"/>
      <c r="Q64" s="42"/>
    </row>
    <row r="65" spans="1:17" ht="24.75" customHeight="1" thickBot="1">
      <c r="A65" s="44"/>
      <c r="B65" s="151"/>
      <c r="C65" s="151"/>
      <c r="D65" s="151"/>
      <c r="E65" s="151"/>
      <c r="F65" s="41"/>
      <c r="G65" s="41"/>
      <c r="H65" s="41"/>
      <c r="I65" s="41"/>
      <c r="J65" s="41"/>
      <c r="K65" s="41"/>
      <c r="L65" s="41"/>
      <c r="M65" s="41"/>
      <c r="N65" s="41"/>
      <c r="O65" s="41"/>
      <c r="P65" s="42"/>
      <c r="Q65" s="42"/>
    </row>
    <row r="66" spans="1:17" ht="14.25" thickBot="1">
      <c r="A66" s="44"/>
      <c r="B66" s="134" t="s">
        <v>27</v>
      </c>
      <c r="C66" s="134" t="s">
        <v>28</v>
      </c>
      <c r="D66" s="134" t="s">
        <v>21</v>
      </c>
      <c r="E66" s="134" t="s">
        <v>29</v>
      </c>
      <c r="F66" s="41"/>
      <c r="G66" s="41"/>
      <c r="H66" s="41"/>
      <c r="I66" s="41"/>
      <c r="J66" s="41"/>
      <c r="K66" s="41"/>
      <c r="L66" s="41"/>
      <c r="M66" s="41"/>
      <c r="N66" s="41"/>
      <c r="O66" s="41"/>
      <c r="P66" s="42"/>
      <c r="Q66" s="42"/>
    </row>
    <row r="67" spans="1:17" ht="40.5">
      <c r="A67" s="44"/>
      <c r="B67" s="150" t="s">
        <v>17</v>
      </c>
      <c r="C67" s="138" t="s">
        <v>253</v>
      </c>
      <c r="D67" s="138" t="s">
        <v>192</v>
      </c>
      <c r="E67" s="137" t="s">
        <v>32</v>
      </c>
      <c r="F67" s="41"/>
      <c r="G67" s="41"/>
      <c r="H67" s="41"/>
      <c r="I67" s="41"/>
      <c r="J67" s="41"/>
      <c r="K67" s="41"/>
      <c r="L67" s="41"/>
      <c r="M67" s="41"/>
      <c r="N67" s="41"/>
      <c r="O67" s="41"/>
      <c r="P67" s="42"/>
      <c r="Q67" s="42"/>
    </row>
    <row r="68" spans="1:17" ht="40.5">
      <c r="A68" s="44"/>
      <c r="B68" s="150" t="s">
        <v>18</v>
      </c>
      <c r="C68" s="138" t="s">
        <v>176</v>
      </c>
      <c r="D68" s="138" t="s">
        <v>192</v>
      </c>
      <c r="E68" s="137" t="s">
        <v>32</v>
      </c>
      <c r="F68" s="41"/>
      <c r="G68" s="41"/>
      <c r="H68" s="41"/>
      <c r="I68" s="41"/>
      <c r="J68" s="41"/>
      <c r="K68" s="41"/>
      <c r="L68" s="41"/>
      <c r="M68" s="41"/>
      <c r="N68" s="41"/>
      <c r="O68" s="41"/>
      <c r="P68" s="42"/>
      <c r="Q68" s="42"/>
    </row>
    <row r="69" spans="1:17" ht="40.5">
      <c r="A69" s="44"/>
      <c r="B69" s="150" t="s">
        <v>19</v>
      </c>
      <c r="C69" s="138" t="s">
        <v>49</v>
      </c>
      <c r="D69" s="138" t="s">
        <v>192</v>
      </c>
      <c r="E69" s="137" t="s">
        <v>32</v>
      </c>
      <c r="F69" s="41"/>
      <c r="G69" s="41"/>
      <c r="H69" s="41"/>
      <c r="I69" s="41"/>
      <c r="J69" s="41"/>
      <c r="K69" s="41"/>
      <c r="L69" s="41"/>
      <c r="M69" s="41"/>
      <c r="N69" s="41"/>
      <c r="O69" s="41"/>
      <c r="P69" s="42"/>
      <c r="Q69" s="42"/>
    </row>
    <row r="70" spans="1:17" ht="40.5">
      <c r="A70" s="44"/>
      <c r="B70" s="150" t="s">
        <v>20</v>
      </c>
      <c r="C70" s="138" t="s">
        <v>50</v>
      </c>
      <c r="D70" s="138" t="s">
        <v>192</v>
      </c>
      <c r="E70" s="137" t="s">
        <v>32</v>
      </c>
      <c r="F70" s="41"/>
      <c r="G70" s="41"/>
      <c r="H70" s="41"/>
      <c r="I70" s="41"/>
      <c r="J70" s="41"/>
      <c r="K70" s="41"/>
      <c r="L70" s="41"/>
      <c r="M70" s="41"/>
      <c r="N70" s="41"/>
      <c r="O70" s="41"/>
      <c r="P70" s="42"/>
      <c r="Q70" s="42"/>
    </row>
    <row r="71" spans="1:17" ht="40.5">
      <c r="A71" s="44"/>
      <c r="B71" s="150" t="s">
        <v>223</v>
      </c>
      <c r="C71" s="138" t="s">
        <v>254</v>
      </c>
      <c r="D71" s="138" t="s">
        <v>192</v>
      </c>
      <c r="E71" s="137" t="s">
        <v>32</v>
      </c>
      <c r="F71" s="41"/>
      <c r="G71" s="41"/>
      <c r="H71" s="41"/>
      <c r="I71" s="41"/>
      <c r="J71" s="41"/>
      <c r="K71" s="41"/>
      <c r="L71" s="41"/>
      <c r="M71" s="41"/>
      <c r="N71" s="41"/>
      <c r="O71" s="41"/>
      <c r="P71" s="42"/>
      <c r="Q71" s="42"/>
    </row>
    <row r="72" spans="1:17" ht="40.5">
      <c r="A72" s="44"/>
      <c r="B72" s="150" t="s">
        <v>60</v>
      </c>
      <c r="C72" s="138" t="s">
        <v>255</v>
      </c>
      <c r="D72" s="138" t="s">
        <v>192</v>
      </c>
      <c r="E72" s="137" t="s">
        <v>32</v>
      </c>
      <c r="F72" s="41"/>
      <c r="G72" s="41"/>
      <c r="H72" s="41"/>
      <c r="I72" s="41"/>
      <c r="J72" s="41"/>
      <c r="K72" s="41"/>
      <c r="L72" s="41"/>
      <c r="M72" s="41"/>
      <c r="N72" s="41"/>
      <c r="O72" s="41"/>
      <c r="P72" s="42"/>
      <c r="Q72" s="42"/>
    </row>
    <row r="73" spans="1:17" ht="40.5">
      <c r="A73" s="44"/>
      <c r="B73" s="150" t="s">
        <v>54</v>
      </c>
      <c r="C73" s="217" t="s">
        <v>177</v>
      </c>
      <c r="D73" s="138" t="s">
        <v>192</v>
      </c>
      <c r="E73" s="137" t="s">
        <v>32</v>
      </c>
      <c r="F73" s="41"/>
      <c r="G73" s="41"/>
      <c r="H73" s="41"/>
      <c r="I73" s="41"/>
      <c r="J73" s="41"/>
      <c r="K73" s="41"/>
      <c r="L73" s="41"/>
      <c r="M73" s="41"/>
      <c r="N73" s="41"/>
      <c r="O73" s="41"/>
      <c r="P73" s="42"/>
      <c r="Q73" s="42"/>
    </row>
    <row r="74" spans="1:17" ht="40.5">
      <c r="A74" s="44"/>
      <c r="B74" s="150" t="s">
        <v>178</v>
      </c>
      <c r="C74" s="218"/>
      <c r="D74" s="138" t="s">
        <v>192</v>
      </c>
      <c r="E74" s="137" t="s">
        <v>32</v>
      </c>
      <c r="F74" s="41"/>
      <c r="G74" s="41"/>
      <c r="H74" s="41"/>
      <c r="I74" s="41"/>
      <c r="J74" s="41"/>
      <c r="K74" s="41"/>
      <c r="L74" s="41"/>
      <c r="M74" s="41"/>
      <c r="N74" s="41"/>
      <c r="O74" s="41"/>
      <c r="P74" s="42"/>
      <c r="Q74" s="42"/>
    </row>
    <row r="75" spans="1:17" ht="40.5">
      <c r="A75" s="44"/>
      <c r="B75" s="150" t="s">
        <v>224</v>
      </c>
      <c r="C75" s="138" t="s">
        <v>51</v>
      </c>
      <c r="D75" s="138" t="s">
        <v>192</v>
      </c>
      <c r="E75" s="137" t="s">
        <v>32</v>
      </c>
      <c r="F75" s="41"/>
      <c r="G75" s="41"/>
      <c r="H75" s="41"/>
      <c r="I75" s="41"/>
      <c r="J75" s="41"/>
      <c r="K75" s="41"/>
      <c r="L75" s="41"/>
      <c r="M75" s="41"/>
      <c r="N75" s="41"/>
      <c r="O75" s="41"/>
      <c r="P75" s="42"/>
      <c r="Q75" s="42"/>
    </row>
    <row r="76" spans="1:17" ht="40.5">
      <c r="A76" s="44"/>
      <c r="B76" s="150" t="s">
        <v>22</v>
      </c>
      <c r="C76" s="138" t="s">
        <v>52</v>
      </c>
      <c r="D76" s="138" t="s">
        <v>192</v>
      </c>
      <c r="E76" s="137" t="s">
        <v>32</v>
      </c>
      <c r="F76" s="41"/>
      <c r="G76" s="41"/>
      <c r="H76" s="41"/>
      <c r="I76" s="41"/>
      <c r="J76" s="41"/>
      <c r="K76" s="41"/>
      <c r="L76" s="41"/>
      <c r="M76" s="41"/>
      <c r="N76" s="41"/>
      <c r="O76" s="41"/>
      <c r="P76" s="42"/>
      <c r="Q76" s="42"/>
    </row>
    <row r="77" spans="1:17">
      <c r="A77" s="44"/>
      <c r="B77" s="143"/>
      <c r="C77" s="143"/>
      <c r="D77" s="143"/>
      <c r="E77" s="143"/>
      <c r="F77" s="41"/>
      <c r="G77" s="41"/>
      <c r="H77" s="41"/>
      <c r="I77" s="41"/>
      <c r="J77" s="41"/>
      <c r="K77" s="41"/>
      <c r="L77" s="41"/>
      <c r="M77" s="41"/>
      <c r="N77" s="41"/>
      <c r="O77" s="41"/>
      <c r="P77" s="42"/>
      <c r="Q77" s="42"/>
    </row>
    <row r="78" spans="1:17">
      <c r="A78" s="44"/>
      <c r="B78" s="143"/>
      <c r="C78" s="143"/>
      <c r="D78" s="143"/>
      <c r="E78" s="143"/>
      <c r="F78" s="41"/>
      <c r="G78" s="41"/>
      <c r="H78" s="41"/>
      <c r="I78" s="41"/>
      <c r="J78" s="41"/>
      <c r="K78" s="41"/>
      <c r="L78" s="41"/>
      <c r="M78" s="41"/>
      <c r="N78" s="41"/>
      <c r="O78" s="41"/>
      <c r="P78" s="42"/>
      <c r="Q78" s="42"/>
    </row>
    <row r="79" spans="1:17">
      <c r="A79" s="44"/>
      <c r="B79" s="143"/>
      <c r="C79" s="143"/>
      <c r="D79" s="143"/>
      <c r="E79" s="143"/>
      <c r="F79" s="41"/>
      <c r="G79" s="41"/>
      <c r="H79" s="41"/>
      <c r="I79" s="41"/>
      <c r="J79" s="41"/>
      <c r="K79" s="41"/>
      <c r="L79" s="41"/>
      <c r="M79" s="41"/>
      <c r="N79" s="41"/>
      <c r="O79" s="41"/>
      <c r="P79" s="42"/>
      <c r="Q79" s="42"/>
    </row>
    <row r="80" spans="1:17">
      <c r="A80" s="44"/>
      <c r="B80" s="143"/>
      <c r="C80" s="143"/>
      <c r="D80" s="143"/>
      <c r="E80" s="143"/>
      <c r="F80" s="41"/>
      <c r="G80" s="41"/>
      <c r="H80" s="41"/>
      <c r="I80" s="41"/>
      <c r="J80" s="41"/>
      <c r="K80" s="41"/>
      <c r="L80" s="41"/>
      <c r="M80" s="41"/>
      <c r="N80" s="41"/>
      <c r="O80" s="41"/>
      <c r="P80" s="42"/>
      <c r="Q80" s="42"/>
    </row>
    <row r="81" spans="1:17" ht="14.25" thickBot="1">
      <c r="A81" s="44"/>
      <c r="B81" s="199" t="s">
        <v>53</v>
      </c>
      <c r="C81" s="199"/>
      <c r="D81" s="199"/>
      <c r="E81" s="199"/>
      <c r="F81" s="41"/>
      <c r="G81" s="41"/>
      <c r="H81" s="41"/>
      <c r="I81" s="41"/>
      <c r="J81" s="41"/>
      <c r="K81" s="41"/>
      <c r="L81" s="41"/>
      <c r="M81" s="41"/>
      <c r="N81" s="41"/>
      <c r="O81" s="41"/>
      <c r="P81" s="42"/>
      <c r="Q81" s="42"/>
    </row>
    <row r="82" spans="1:17" ht="14.25" thickBot="1">
      <c r="A82" s="44"/>
      <c r="B82" s="199" t="s">
        <v>48</v>
      </c>
      <c r="C82" s="199"/>
      <c r="D82" s="199"/>
      <c r="E82" s="199"/>
      <c r="F82" s="41"/>
      <c r="G82" s="41"/>
      <c r="H82" s="41"/>
      <c r="I82" s="41"/>
      <c r="J82" s="41"/>
      <c r="K82" s="41"/>
      <c r="L82" s="41"/>
      <c r="M82" s="41"/>
      <c r="N82" s="41"/>
      <c r="O82" s="41"/>
      <c r="P82" s="42"/>
      <c r="Q82" s="42"/>
    </row>
    <row r="83" spans="1:17" ht="62.25" customHeight="1" thickBot="1">
      <c r="A83" s="44"/>
      <c r="B83" s="200" t="s">
        <v>269</v>
      </c>
      <c r="C83" s="200"/>
      <c r="D83" s="200"/>
      <c r="E83" s="200"/>
      <c r="F83" s="41"/>
      <c r="G83" s="41"/>
      <c r="H83" s="41"/>
      <c r="I83" s="41"/>
      <c r="J83" s="41"/>
      <c r="K83" s="41"/>
      <c r="L83" s="41"/>
      <c r="M83" s="41"/>
      <c r="N83" s="41"/>
      <c r="O83" s="41"/>
      <c r="P83" s="42"/>
      <c r="Q83" s="42"/>
    </row>
    <row r="84" spans="1:17" ht="26.25" customHeight="1">
      <c r="A84" s="44"/>
      <c r="B84" s="152" t="s">
        <v>268</v>
      </c>
      <c r="C84" s="153" t="s">
        <v>193</v>
      </c>
      <c r="D84" s="138" t="s">
        <v>24</v>
      </c>
      <c r="E84" s="137" t="s">
        <v>32</v>
      </c>
      <c r="F84" s="41"/>
      <c r="G84" s="41"/>
      <c r="H84" s="41"/>
      <c r="I84" s="41"/>
      <c r="J84" s="41"/>
      <c r="K84" s="41"/>
      <c r="L84" s="41"/>
      <c r="M84" s="41"/>
      <c r="N84" s="41"/>
      <c r="O84" s="41"/>
      <c r="P84" s="42"/>
      <c r="Q84" s="42"/>
    </row>
    <row r="85" spans="1:17" ht="27">
      <c r="A85" s="44"/>
      <c r="B85" s="152" t="s">
        <v>151</v>
      </c>
      <c r="C85" s="138" t="s">
        <v>271</v>
      </c>
      <c r="D85" s="138" t="s">
        <v>264</v>
      </c>
      <c r="E85" s="137" t="s">
        <v>32</v>
      </c>
      <c r="F85" s="41"/>
      <c r="G85" s="41"/>
      <c r="H85" s="41"/>
      <c r="I85" s="41"/>
      <c r="J85" s="41"/>
      <c r="K85" s="41"/>
      <c r="L85" s="41"/>
      <c r="M85" s="41"/>
      <c r="N85" s="41"/>
      <c r="O85" s="41"/>
      <c r="P85" s="42"/>
      <c r="Q85" s="42"/>
    </row>
    <row r="86" spans="1:17">
      <c r="A86" s="44"/>
      <c r="B86" s="152" t="s">
        <v>171</v>
      </c>
      <c r="C86" s="138" t="s">
        <v>270</v>
      </c>
      <c r="D86" s="138" t="s">
        <v>31</v>
      </c>
      <c r="E86" s="137" t="s">
        <v>32</v>
      </c>
      <c r="F86" s="41"/>
      <c r="G86" s="41"/>
      <c r="H86" s="41"/>
      <c r="I86" s="41"/>
      <c r="J86" s="41"/>
      <c r="K86" s="41"/>
      <c r="L86" s="41"/>
      <c r="M86" s="41"/>
      <c r="N86" s="41"/>
      <c r="O86" s="41"/>
      <c r="P86" s="42"/>
      <c r="Q86" s="42"/>
    </row>
    <row r="87" spans="1:17" ht="27">
      <c r="A87" s="44"/>
      <c r="B87" s="152" t="s">
        <v>292</v>
      </c>
      <c r="C87" s="138" t="s">
        <v>294</v>
      </c>
      <c r="D87" s="138" t="s">
        <v>264</v>
      </c>
      <c r="E87" s="137" t="s">
        <v>33</v>
      </c>
      <c r="F87" s="41"/>
      <c r="G87" s="41"/>
      <c r="H87" s="41"/>
      <c r="I87" s="41"/>
      <c r="J87" s="41"/>
      <c r="K87" s="41"/>
      <c r="L87" s="41"/>
      <c r="M87" s="41"/>
      <c r="N87" s="41"/>
      <c r="O87" s="41"/>
    </row>
    <row r="88" spans="1:17" ht="30.75" customHeight="1" thickBot="1">
      <c r="A88" s="41"/>
      <c r="B88" s="199" t="s">
        <v>291</v>
      </c>
      <c r="C88" s="199"/>
      <c r="D88" s="199"/>
      <c r="E88" s="199"/>
      <c r="F88" s="41"/>
      <c r="G88" s="41"/>
      <c r="H88" s="41"/>
      <c r="I88" s="41"/>
      <c r="J88" s="41"/>
      <c r="K88" s="41"/>
      <c r="L88" s="41"/>
      <c r="M88" s="41"/>
      <c r="N88" s="41"/>
      <c r="O88" s="41"/>
    </row>
    <row r="89" spans="1:17" ht="30.75" customHeight="1" thickBot="1">
      <c r="A89" s="41"/>
      <c r="B89" s="200" t="s">
        <v>293</v>
      </c>
      <c r="C89" s="200"/>
      <c r="D89" s="200"/>
      <c r="E89" s="200"/>
      <c r="F89" s="41"/>
      <c r="G89" s="41"/>
      <c r="H89" s="41"/>
      <c r="I89" s="41"/>
      <c r="J89" s="41"/>
      <c r="K89" s="41"/>
      <c r="L89" s="41"/>
      <c r="M89" s="41"/>
      <c r="N89" s="41"/>
      <c r="O89" s="41"/>
    </row>
    <row r="90" spans="1:17" ht="30.75" customHeight="1">
      <c r="A90" s="41"/>
      <c r="B90" s="45"/>
      <c r="C90" s="41"/>
      <c r="D90" s="41"/>
      <c r="E90" s="41"/>
      <c r="F90" s="41"/>
      <c r="G90" s="41"/>
      <c r="H90" s="41"/>
      <c r="I90" s="41"/>
      <c r="J90" s="41"/>
      <c r="K90" s="41"/>
      <c r="L90" s="41"/>
      <c r="M90" s="41"/>
      <c r="N90" s="41"/>
      <c r="O90" s="41"/>
    </row>
    <row r="91" spans="1:17" ht="30.75" customHeight="1">
      <c r="A91" s="41"/>
      <c r="B91" s="45"/>
      <c r="C91" s="41"/>
      <c r="D91" s="41"/>
      <c r="E91" s="41"/>
      <c r="F91" s="41"/>
      <c r="G91" s="41"/>
      <c r="H91" s="41"/>
      <c r="I91" s="41"/>
      <c r="J91" s="41"/>
      <c r="K91" s="41"/>
      <c r="L91" s="41"/>
      <c r="M91" s="41"/>
      <c r="N91" s="41"/>
      <c r="O91" s="41"/>
    </row>
    <row r="92" spans="1:17" ht="30.75" customHeight="1">
      <c r="A92" s="41"/>
      <c r="B92" s="45"/>
      <c r="C92" s="41"/>
      <c r="D92" s="41"/>
      <c r="E92" s="41"/>
      <c r="F92" s="41"/>
      <c r="G92" s="41"/>
      <c r="H92" s="41"/>
      <c r="I92" s="41"/>
      <c r="J92" s="41"/>
      <c r="K92" s="41"/>
      <c r="L92" s="41"/>
      <c r="M92" s="41"/>
      <c r="N92" s="41"/>
      <c r="O92" s="41"/>
    </row>
    <row r="93" spans="1:17" ht="30.75" customHeight="1">
      <c r="A93" s="41"/>
      <c r="B93" s="45"/>
      <c r="C93" s="41"/>
      <c r="D93" s="41"/>
      <c r="E93" s="41"/>
      <c r="F93" s="41"/>
      <c r="G93" s="41"/>
      <c r="H93" s="41"/>
      <c r="I93" s="41"/>
      <c r="J93" s="41"/>
      <c r="K93" s="41"/>
      <c r="L93" s="41"/>
      <c r="M93" s="41"/>
      <c r="N93" s="41"/>
      <c r="O93" s="41"/>
    </row>
    <row r="94" spans="1:17" ht="30.75" customHeight="1">
      <c r="A94" s="41"/>
      <c r="B94" s="45"/>
      <c r="C94" s="41"/>
      <c r="D94" s="41"/>
      <c r="E94" s="41"/>
      <c r="F94" s="41"/>
      <c r="G94" s="41"/>
      <c r="H94" s="41"/>
      <c r="I94" s="41"/>
      <c r="J94" s="41"/>
      <c r="K94" s="41"/>
      <c r="L94" s="41"/>
      <c r="M94" s="41"/>
      <c r="N94" s="41"/>
      <c r="O94" s="41"/>
    </row>
    <row r="95" spans="1:17" ht="30.75" customHeight="1">
      <c r="A95" s="41"/>
      <c r="B95" s="45"/>
      <c r="C95" s="41"/>
      <c r="D95" s="41"/>
      <c r="E95" s="41"/>
      <c r="F95" s="41"/>
      <c r="G95" s="41"/>
      <c r="H95" s="41"/>
      <c r="I95" s="41"/>
      <c r="J95" s="41"/>
      <c r="K95" s="41"/>
      <c r="L95" s="41"/>
      <c r="M95" s="41"/>
      <c r="N95" s="41"/>
      <c r="O95" s="41"/>
    </row>
    <row r="96" spans="1:17" ht="30.75" customHeight="1">
      <c r="A96" s="41"/>
      <c r="B96" s="45"/>
      <c r="C96" s="41"/>
      <c r="D96" s="41"/>
      <c r="E96" s="41"/>
      <c r="F96" s="41"/>
      <c r="G96" s="41"/>
      <c r="H96" s="41"/>
      <c r="I96" s="41"/>
      <c r="J96" s="41"/>
      <c r="K96" s="41"/>
      <c r="L96" s="41"/>
      <c r="M96" s="41"/>
      <c r="N96" s="41"/>
      <c r="O96" s="41"/>
    </row>
    <row r="97" spans="1:15" ht="30.75" customHeight="1">
      <c r="A97" s="41"/>
      <c r="B97" s="45"/>
      <c r="C97" s="41"/>
      <c r="D97" s="41"/>
      <c r="E97" s="41"/>
      <c r="F97" s="41"/>
      <c r="G97" s="41"/>
      <c r="H97" s="41"/>
      <c r="I97" s="41"/>
      <c r="J97" s="41"/>
      <c r="K97" s="41"/>
      <c r="L97" s="41"/>
      <c r="M97" s="41"/>
      <c r="N97" s="41"/>
      <c r="O97" s="41"/>
    </row>
    <row r="98" spans="1:15" ht="30.75" customHeight="1">
      <c r="A98" s="41"/>
      <c r="B98" s="45"/>
      <c r="C98" s="41"/>
      <c r="D98" s="41"/>
      <c r="E98" s="41"/>
      <c r="F98" s="41"/>
      <c r="G98" s="41"/>
      <c r="H98" s="41"/>
      <c r="I98" s="41"/>
      <c r="J98" s="41"/>
      <c r="K98" s="41"/>
      <c r="L98" s="41"/>
      <c r="M98" s="41"/>
      <c r="N98" s="41"/>
      <c r="O98" s="41"/>
    </row>
    <row r="99" spans="1:15" ht="30.75" customHeight="1">
      <c r="A99" s="41"/>
      <c r="B99" s="45"/>
      <c r="C99" s="41"/>
      <c r="D99" s="41"/>
      <c r="E99" s="41"/>
      <c r="F99" s="41"/>
      <c r="G99" s="41"/>
      <c r="H99" s="41"/>
      <c r="I99" s="41"/>
      <c r="J99" s="41"/>
      <c r="K99" s="41"/>
      <c r="L99" s="41"/>
      <c r="M99" s="41"/>
      <c r="N99" s="41"/>
      <c r="O99" s="41"/>
    </row>
    <row r="100" spans="1:15" ht="30.75" customHeight="1">
      <c r="A100" s="41"/>
      <c r="B100" s="45"/>
      <c r="C100" s="41"/>
      <c r="D100" s="41"/>
      <c r="E100" s="41"/>
      <c r="F100" s="41"/>
      <c r="G100" s="41"/>
      <c r="H100" s="41"/>
      <c r="I100" s="41"/>
      <c r="J100" s="41"/>
      <c r="K100" s="41"/>
      <c r="L100" s="41"/>
      <c r="M100" s="41"/>
      <c r="N100" s="41"/>
      <c r="O100" s="41"/>
    </row>
    <row r="101" spans="1:15" ht="30.75" customHeight="1">
      <c r="A101" s="41"/>
      <c r="B101" s="45"/>
      <c r="C101" s="41"/>
      <c r="D101" s="41"/>
      <c r="E101" s="41"/>
      <c r="F101" s="41"/>
      <c r="G101" s="41"/>
      <c r="H101" s="41"/>
      <c r="I101" s="41"/>
      <c r="J101" s="41"/>
      <c r="K101" s="41"/>
      <c r="L101" s="41"/>
      <c r="M101" s="41"/>
      <c r="N101" s="41"/>
      <c r="O101" s="41"/>
    </row>
    <row r="102" spans="1:15" ht="30.75" customHeight="1">
      <c r="A102" s="41"/>
      <c r="B102" s="45"/>
      <c r="C102" s="41"/>
      <c r="D102" s="41"/>
      <c r="E102" s="41"/>
      <c r="F102" s="41"/>
      <c r="G102" s="41"/>
      <c r="H102" s="41"/>
      <c r="I102" s="41"/>
      <c r="J102" s="41"/>
      <c r="K102" s="41"/>
      <c r="L102" s="41"/>
      <c r="M102" s="41"/>
      <c r="N102" s="41"/>
      <c r="O102" s="41"/>
    </row>
    <row r="103" spans="1:15" ht="30.75" customHeight="1">
      <c r="A103" s="41"/>
      <c r="B103" s="45"/>
      <c r="C103" s="41"/>
      <c r="D103" s="41"/>
      <c r="E103" s="41"/>
      <c r="F103" s="41"/>
      <c r="G103" s="41"/>
      <c r="H103" s="41"/>
      <c r="I103" s="41"/>
      <c r="J103" s="41"/>
      <c r="K103" s="41"/>
      <c r="L103" s="41"/>
      <c r="M103" s="41"/>
      <c r="N103" s="41"/>
      <c r="O103" s="41"/>
    </row>
    <row r="104" spans="1:15" ht="30.75" customHeight="1">
      <c r="A104" s="41"/>
      <c r="B104" s="45"/>
      <c r="C104" s="41"/>
      <c r="D104" s="41"/>
      <c r="E104" s="41"/>
      <c r="F104" s="41"/>
      <c r="G104" s="41"/>
      <c r="H104" s="41"/>
      <c r="I104" s="41"/>
      <c r="J104" s="41"/>
      <c r="K104" s="41"/>
      <c r="L104" s="41"/>
      <c r="M104" s="41"/>
      <c r="N104" s="41"/>
      <c r="O104" s="41"/>
    </row>
    <row r="105" spans="1:15" ht="30.75" customHeight="1">
      <c r="A105" s="41"/>
      <c r="B105" s="45"/>
      <c r="C105" s="41"/>
      <c r="D105" s="41"/>
      <c r="E105" s="41"/>
      <c r="F105" s="41"/>
      <c r="G105" s="41"/>
      <c r="H105" s="41"/>
      <c r="I105" s="41"/>
      <c r="J105" s="41"/>
      <c r="K105" s="41"/>
      <c r="L105" s="41"/>
      <c r="M105" s="41"/>
      <c r="N105" s="41"/>
      <c r="O105" s="41"/>
    </row>
    <row r="106" spans="1:15" ht="30.75" customHeight="1">
      <c r="A106" s="41"/>
      <c r="B106" s="45"/>
      <c r="C106" s="41"/>
      <c r="D106" s="41"/>
      <c r="E106" s="41"/>
      <c r="F106" s="41"/>
      <c r="G106" s="41"/>
      <c r="H106" s="41"/>
      <c r="I106" s="41"/>
      <c r="J106" s="41"/>
      <c r="K106" s="41"/>
      <c r="L106" s="41"/>
      <c r="M106" s="41"/>
      <c r="N106" s="41"/>
      <c r="O106" s="41"/>
    </row>
    <row r="107" spans="1:15" ht="30.75" customHeight="1">
      <c r="A107" s="41"/>
      <c r="B107" s="45"/>
      <c r="C107" s="41"/>
      <c r="D107" s="41"/>
      <c r="E107" s="41"/>
      <c r="F107" s="41"/>
      <c r="G107" s="41"/>
      <c r="H107" s="41"/>
      <c r="I107" s="41"/>
      <c r="J107" s="41"/>
      <c r="K107" s="41"/>
      <c r="L107" s="41"/>
      <c r="M107" s="41"/>
      <c r="N107" s="41"/>
      <c r="O107" s="41"/>
    </row>
    <row r="108" spans="1:15" ht="30.75" customHeight="1">
      <c r="A108" s="41"/>
      <c r="B108" s="45"/>
      <c r="C108" s="41"/>
      <c r="D108" s="41"/>
      <c r="E108" s="41"/>
      <c r="F108" s="41"/>
      <c r="G108" s="41"/>
      <c r="H108" s="41"/>
      <c r="I108" s="41"/>
      <c r="J108" s="41"/>
      <c r="K108" s="41"/>
      <c r="L108" s="41"/>
      <c r="M108" s="41"/>
      <c r="N108" s="41"/>
      <c r="O108" s="41"/>
    </row>
    <row r="109" spans="1:15" ht="30.75" customHeight="1">
      <c r="A109" s="41"/>
      <c r="B109" s="45"/>
      <c r="C109" s="41"/>
      <c r="D109" s="41"/>
      <c r="E109" s="41"/>
      <c r="F109" s="41"/>
      <c r="G109" s="41"/>
      <c r="H109" s="41"/>
      <c r="I109" s="41"/>
      <c r="J109" s="41"/>
      <c r="K109" s="41"/>
      <c r="L109" s="41"/>
      <c r="M109" s="41"/>
      <c r="N109" s="41"/>
      <c r="O109" s="41"/>
    </row>
    <row r="110" spans="1:15" ht="30.75" customHeight="1">
      <c r="A110" s="41"/>
      <c r="B110" s="45"/>
      <c r="C110" s="41"/>
      <c r="D110" s="41"/>
      <c r="E110" s="41"/>
      <c r="F110" s="41"/>
      <c r="G110" s="41"/>
      <c r="H110" s="41"/>
      <c r="I110" s="41"/>
      <c r="J110" s="41"/>
      <c r="K110" s="41"/>
      <c r="L110" s="41"/>
      <c r="M110" s="41"/>
      <c r="N110" s="41"/>
      <c r="O110" s="41"/>
    </row>
    <row r="111" spans="1:15" ht="30.75" customHeight="1">
      <c r="A111" s="41"/>
      <c r="B111" s="45"/>
      <c r="C111" s="41"/>
      <c r="D111" s="41"/>
      <c r="E111" s="41"/>
      <c r="F111" s="41"/>
      <c r="G111" s="41"/>
      <c r="H111" s="41"/>
      <c r="I111" s="41"/>
      <c r="J111" s="41"/>
      <c r="K111" s="41"/>
      <c r="L111" s="41"/>
      <c r="M111" s="41"/>
      <c r="N111" s="41"/>
      <c r="O111" s="41"/>
    </row>
    <row r="112" spans="1:15" ht="30.75" customHeight="1">
      <c r="A112" s="41"/>
      <c r="B112" s="45"/>
      <c r="C112" s="41"/>
      <c r="D112" s="41"/>
      <c r="E112" s="41"/>
      <c r="F112" s="41"/>
    </row>
    <row r="113" spans="1:6" ht="30.75" customHeight="1">
      <c r="A113" s="41"/>
      <c r="B113" s="45"/>
      <c r="C113" s="41"/>
      <c r="D113" s="41"/>
      <c r="E113" s="41"/>
      <c r="F113" s="41"/>
    </row>
    <row r="114" spans="1:6" ht="30.75" customHeight="1">
      <c r="A114" s="41"/>
      <c r="B114" s="45"/>
      <c r="C114" s="41"/>
      <c r="D114" s="41"/>
      <c r="E114" s="41"/>
      <c r="F114" s="41"/>
    </row>
    <row r="115" spans="1:6" ht="30.75" customHeight="1">
      <c r="A115" s="41"/>
      <c r="B115" s="45"/>
      <c r="D115" s="41"/>
      <c r="E115" s="41"/>
      <c r="F115" s="41"/>
    </row>
    <row r="116" spans="1:6" ht="30.75" customHeight="1">
      <c r="A116" s="41"/>
      <c r="B116" s="45"/>
      <c r="D116" s="41"/>
      <c r="E116" s="41"/>
      <c r="F116" s="41"/>
    </row>
    <row r="117" spans="1:6" ht="30.75" customHeight="1">
      <c r="A117" s="41"/>
      <c r="B117" s="45"/>
      <c r="D117" s="41"/>
      <c r="E117" s="41"/>
      <c r="F117" s="41"/>
    </row>
    <row r="118" spans="1:6" ht="30.75" customHeight="1">
      <c r="A118" s="41"/>
      <c r="B118" s="45"/>
      <c r="D118" s="41"/>
      <c r="F118" s="41"/>
    </row>
    <row r="119" spans="1:6">
      <c r="A119" s="41"/>
      <c r="B119" s="45"/>
    </row>
    <row r="120" spans="1:6">
      <c r="B120" s="45"/>
    </row>
    <row r="121" spans="1:6">
      <c r="B121" s="45"/>
    </row>
    <row r="122" spans="1:6">
      <c r="B122" s="45"/>
    </row>
  </sheetData>
  <sheetProtection algorithmName="SHA-512" hashValue="1aH7TaMzDtKZD6iwIKCCrENFJn9fEMzBIoN1RJ1ABqfzCU4tdSo/4A3ULLlZUew24aNPfsu+AER6W43KEGhN5w==" saltValue="vYmEsxzanlwiCWjkOWxeZQ=="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H2" sqref="H2"/>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81</v>
      </c>
      <c r="B1" s="1" t="s">
        <v>82</v>
      </c>
      <c r="C1" s="1" t="s">
        <v>83</v>
      </c>
      <c r="D1" s="1" t="s">
        <v>84</v>
      </c>
      <c r="E1" s="1" t="s">
        <v>85</v>
      </c>
      <c r="F1" s="1" t="s">
        <v>86</v>
      </c>
      <c r="G1" s="1" t="s">
        <v>87</v>
      </c>
      <c r="H1" s="1" t="s">
        <v>88</v>
      </c>
      <c r="I1" s="1" t="s">
        <v>89</v>
      </c>
      <c r="J1" s="1" t="s">
        <v>90</v>
      </c>
      <c r="K1" s="1" t="s">
        <v>91</v>
      </c>
      <c r="L1" s="1" t="s">
        <v>92</v>
      </c>
      <c r="M1" s="1" t="s">
        <v>93</v>
      </c>
      <c r="N1" s="1" t="s">
        <v>94</v>
      </c>
      <c r="O1" s="1" t="s">
        <v>95</v>
      </c>
      <c r="P1" s="1" t="s">
        <v>4</v>
      </c>
      <c r="Q1" s="2" t="s">
        <v>96</v>
      </c>
      <c r="R1" s="2" t="s">
        <v>97</v>
      </c>
      <c r="S1" s="2" t="s">
        <v>98</v>
      </c>
      <c r="T1" s="3" t="s">
        <v>99</v>
      </c>
      <c r="U1" s="3" t="s">
        <v>100</v>
      </c>
      <c r="V1" s="3" t="s">
        <v>101</v>
      </c>
      <c r="W1" s="2" t="s">
        <v>102</v>
      </c>
      <c r="X1" s="3" t="s">
        <v>103</v>
      </c>
      <c r="Y1" s="2" t="s">
        <v>104</v>
      </c>
      <c r="Z1" s="3" t="s">
        <v>105</v>
      </c>
      <c r="AA1" s="3" t="s">
        <v>106</v>
      </c>
      <c r="AB1" s="3" t="s">
        <v>107</v>
      </c>
      <c r="AC1" s="3" t="s">
        <v>108</v>
      </c>
      <c r="AD1" s="3" t="s">
        <v>109</v>
      </c>
      <c r="AE1" s="4" t="s">
        <v>110</v>
      </c>
      <c r="AF1" s="4" t="s">
        <v>111</v>
      </c>
      <c r="AG1" s="4" t="s">
        <v>70</v>
      </c>
      <c r="AH1" s="4" t="s">
        <v>112</v>
      </c>
      <c r="AI1" s="4" t="s">
        <v>113</v>
      </c>
      <c r="AJ1" s="4" t="s">
        <v>114</v>
      </c>
      <c r="AK1" s="5" t="s">
        <v>115</v>
      </c>
      <c r="AL1" s="5" t="s">
        <v>116</v>
      </c>
      <c r="AM1" s="5" t="s">
        <v>117</v>
      </c>
      <c r="AN1" s="6" t="s">
        <v>118</v>
      </c>
      <c r="AO1" s="5" t="s">
        <v>119</v>
      </c>
      <c r="AP1" s="6" t="s">
        <v>120</v>
      </c>
      <c r="AQ1" s="6" t="s">
        <v>121</v>
      </c>
      <c r="AR1" s="6" t="s">
        <v>122</v>
      </c>
      <c r="AS1" s="6" t="s">
        <v>123</v>
      </c>
      <c r="AT1" s="6" t="s">
        <v>124</v>
      </c>
      <c r="AU1" s="7" t="s">
        <v>125</v>
      </c>
      <c r="AV1" s="7" t="s">
        <v>75</v>
      </c>
      <c r="AW1" s="7" t="s">
        <v>5</v>
      </c>
      <c r="AX1" s="7" t="s">
        <v>126</v>
      </c>
      <c r="AY1" s="8" t="s">
        <v>127</v>
      </c>
      <c r="AZ1" s="8" t="s">
        <v>128</v>
      </c>
      <c r="BA1" s="8" t="s">
        <v>129</v>
      </c>
      <c r="BB1" s="8" t="s">
        <v>130</v>
      </c>
      <c r="BC1" s="9" t="s">
        <v>131</v>
      </c>
      <c r="BD1" s="10" t="s">
        <v>132</v>
      </c>
      <c r="BE1" s="10" t="s">
        <v>133</v>
      </c>
      <c r="BF1" s="10" t="s">
        <v>134</v>
      </c>
      <c r="BG1" s="10" t="s">
        <v>135</v>
      </c>
      <c r="BH1" s="10" t="s">
        <v>136</v>
      </c>
      <c r="BI1" s="10" t="s">
        <v>137</v>
      </c>
      <c r="BJ1" s="10" t="s">
        <v>138</v>
      </c>
      <c r="BK1" s="10" t="s">
        <v>139</v>
      </c>
      <c r="BL1" s="10" t="s">
        <v>140</v>
      </c>
      <c r="BM1" s="10" t="s">
        <v>141</v>
      </c>
      <c r="BN1" s="10" t="s">
        <v>142</v>
      </c>
      <c r="BO1" s="10" t="s">
        <v>143</v>
      </c>
      <c r="BP1" s="10" t="s">
        <v>144</v>
      </c>
      <c r="BQ1" s="10" t="s">
        <v>145</v>
      </c>
    </row>
    <row r="2" spans="1:69" ht="106.5" customHeight="1">
      <c r="A2" s="11" t="str">
        <f>UPPER('Matriz de comunicación'!B8)</f>
        <v/>
      </c>
      <c r="B2" s="11">
        <v>0</v>
      </c>
      <c r="C2" s="12" t="str">
        <f>CONCATENATE(IGC!C18, CHAR(10),IGC!D18)</f>
        <v xml:space="preserve">
</v>
      </c>
      <c r="D2" s="13"/>
      <c r="E2" s="12" t="str">
        <f>CONCATENATE(IGC!C8, CHAR(10),"Antecedentes: ",IGC!C10, CHAR(10),"Descripción: ",IGC!C9)</f>
        <v>Instalar cliente de informix
Antecedentes: Se requiere el cliente para realziar la conexión correctamente al manejador de la base de datos
Descripción: Instlar el cliente de informix 4.1 en los servidores de procesamiento donde se ecnuentre instalado el servicio IDE WEB</v>
      </c>
      <c r="F2" s="14" t="str">
        <f>IGC!C23</f>
        <v>Captura F/H Primer Actividad pestaña Plan</v>
      </c>
      <c r="G2" s="14" t="str">
        <f>IGC!E23</f>
        <v>Captura la F/H FIN de Actividad actividad FIN del Plan</v>
      </c>
      <c r="H2" s="15" t="e">
        <f>G2-F2</f>
        <v>#VALUE!</v>
      </c>
      <c r="I2" s="16" t="str">
        <f>CONCATENATE(IGC!C25, " - ",IGC!E25)</f>
        <v xml:space="preserve"> - </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Producción</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cpidwuatnete01
</v>
      </c>
      <c r="S2" s="18"/>
      <c r="T2" s="14" t="str">
        <f>IGC!C10</f>
        <v>Se requiere el cliente para realziar la conexión correctamente al manejador de la base de datos</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El servicio no relizará la conexión a la base de datos</v>
      </c>
      <c r="W2" s="19"/>
      <c r="X2" s="20"/>
      <c r="Y2" s="21"/>
      <c r="Z2" s="14"/>
      <c r="AA2" s="14"/>
      <c r="AB2" s="22"/>
      <c r="AC2" s="18" t="str">
        <f>SELECCION11</f>
        <v>Ricardo Tejeda de la Cruz/MDG APE4/58090200/50249/ricardo.tejeda@sat.gob.mx</v>
      </c>
      <c r="AD2" s="18">
        <f>'Matriz de comunicación'!D8</f>
        <v>0</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Si 
En qué consiste las validaciones: 
Tiene dependencias?: </v>
      </c>
      <c r="AJ2" s="18"/>
      <c r="AK2" s="18"/>
      <c r="AL2" s="23"/>
      <c r="AM2" s="23"/>
      <c r="AN2" s="18" t="s">
        <v>146</v>
      </c>
      <c r="AO2" s="24"/>
      <c r="AP2" s="18" t="str">
        <f>UPPER(IGC!C11)</f>
        <v>NORMAL</v>
      </c>
      <c r="AQ2" s="18"/>
      <c r="AR2" s="13"/>
      <c r="AS2" s="18"/>
      <c r="AT2" s="25"/>
      <c r="AU2" s="26" t="s">
        <v>147</v>
      </c>
      <c r="AV2" s="18" t="str">
        <f>IGC!C13</f>
        <v>Si</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48</vt:i4>
      </vt:variant>
    </vt:vector>
  </HeadingPairs>
  <TitlesOfParts>
    <vt:vector size="55" baseType="lpstr">
      <vt:lpstr>IGC</vt:lpstr>
      <vt:lpstr>CIs</vt:lpstr>
      <vt:lpstr>Plan</vt:lpstr>
      <vt:lpstr>Matriz de comunicación</vt:lpstr>
      <vt:lpstr>Anexos</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SELECCION3</vt:lpstr>
      <vt:lpstr>SELECCION4</vt:lpstr>
      <vt:lpstr>SELECCION5</vt:lpstr>
      <vt:lpstr>SELECCION6</vt:lpstr>
      <vt:lpstr>SELECCION7</vt:lpstr>
      <vt:lpstr>SELECCION8</vt:lpstr>
      <vt:lpstr>SELECCION9</vt:lpstr>
      <vt:lpstr>SELECION3</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2017-05-22T15:29:21Z</cp:lastPrinted>
  <dcterms:created xsi:type="dcterms:W3CDTF">2015-10-24T16:41:04Z</dcterms:created>
  <dcterms:modified xsi:type="dcterms:W3CDTF">2019-06-26T22:03:09Z</dcterms:modified>
</cp:coreProperties>
</file>