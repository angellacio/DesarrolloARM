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C:\Users\CS5\Desktop\"/>
    </mc:Choice>
  </mc:AlternateContent>
  <xr:revisionPtr revIDLastSave="0" documentId="13_ncr:1_{D09A9934-97BA-411E-8380-FEA7B268FA1F}" xr6:coauthVersionLast="34" xr6:coauthVersionMax="34" xr10:uidLastSave="{00000000-0000-0000-0000-000000000000}"/>
  <workbookProtection workbookAlgorithmName="SHA-512" workbookHashValue="yOfQhwU8XKvjcQ/7wZ7+vH+xRER0cpsot1kXDh9Dw5MqRJet0Lkk4QuZMtMu0YP4+r51L+bM88Zo4SIspKDLQQ==" workbookSaltValue="ljSfs+uecH6HKv+2F21pkw==" workbookSpinCount="100000" lockStructure="1"/>
  <bookViews>
    <workbookView xWindow="0" yWindow="0" windowWidth="25200" windowHeight="11475" xr2:uid="{00000000-000D-0000-FFFF-FFFF0000000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6">'Guia de llenado'!#REF!</definedName>
    <definedName name="_xlnm.Print_Titles" localSheetId="0">IGC!$2:$4</definedName>
    <definedName name="_xlnm.Print_Titles" localSheetId="2">Plan!$2:$3</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79017"/>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7"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H3" authorId="0" shapeId="0" xr:uid="{00000000-0006-0000-0200-00000100000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B12" authorId="0" shapeId="0" xr:uid="{00000000-0006-0000-0300-000001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xr:uid="{00000000-0006-0000-0300-000002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<sst xmlns="http://schemas.openxmlformats.org/spreadsheetml/2006/main" count="589" uniqueCount="403">
  <si>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</si>
  <si>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</si>
  <si>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</si>
  <si>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</si>
  <si>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</si>
  <si>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</si>
  <si>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</si>
  <si>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</si>
  <si>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</si>
  <si>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</si>
  <si>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</si>
  <si>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</si>
  <si>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</si>
  <si>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</si>
  <si>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</si>
  <si>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</si>
  <si>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</si>
  <si>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</si>
  <si>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</si>
  <si>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</si>
  <si>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</si>
  <si>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</si>
  <si>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</si>
  <si>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</si>
  <si>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</si>
  <si>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</si>
  <si>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</si>
  <si>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</si>
  <si>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</si>
  <si>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</si>
  <si>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</si>
  <si>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</si>
  <si>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</si>
  <si>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</si>
  <si>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</si>
  <si>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</si>
  <si>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</si>
  <si>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</si>
  <si>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</si>
  <si>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</si>
  <si>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</si>
  <si>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</si>
  <si>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</si>
  <si>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</si>
  <si>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</si>
  <si>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</si>
  <si>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</si>
  <si>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</si>
  <si>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</si>
  <si>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</si>
  <si>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</si>
  <si>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</si>
  <si>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</si>
  <si>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</si>
  <si>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</si>
  <si>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</si>
  <si>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</si>
  <si>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</si>
  <si>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</si>
  <si>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</si>
  <si>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</si>
  <si>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</si>
  <si>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</si>
  <si>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</si>
  <si>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</si>
  <si>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</si>
  <si>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</si>
  <si>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</si>
  <si>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</si>
  <si>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</si>
  <si>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</si>
  <si>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</si>
  <si>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</si>
  <si>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</si>
  <si>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</si>
  <si>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</si>
  <si>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</si>
  <si>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</si>
  <si>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</si>
  <si>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</si>
  <si>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</si>
  <si>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</si>
  <si>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</si>
  <si>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</si>
  <si>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</si>
  <si>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</si>
  <si>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</si>
  <si>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</si>
  <si>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</si>
  <si>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</si>
  <si>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</si>
  <si>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</si>
  <si>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</si>
  <si>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</si>
  <si>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</si>
  <si>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</si>
  <si>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</si>
  <si>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</si>
  <si>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</si>
  <si>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</si>
  <si>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</si>
  <si>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</si>
  <si>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</si>
  <si>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</si>
  <si>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</si>
  <si>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</si>
  <si>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</si>
  <si>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</si>
  <si>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</si>
  <si>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</si>
  <si>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</si>
  <si>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</si>
  <si>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</si>
  <si>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</si>
  <si>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</si>
  <si>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</si>
  <si>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</si>
  <si>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</si>
  <si>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</si>
  <si>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</si>
  <si>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</si>
  <si>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</si>
  <si>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</si>
  <si>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</si>
  <si>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</si>
  <si>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</si>
  <si>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</si>
  <si>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</si>
  <si>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</si>
  <si>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</si>
  <si>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</si>
  <si>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</si>
  <si>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</si>
  <si>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</si>
  <si>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</si>
  <si>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</si>
  <si>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</si>
  <si>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</si>
  <si>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</si>
  <si>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</si>
  <si>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</si>
  <si>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</si>
  <si>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</si>
  <si>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</si>
  <si>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</si>
  <si>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</si>
  <si>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</si>
  <si>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</si>
  <si>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</si>
  <si>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</si>
  <si>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</si>
  <si>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</si>
  <si>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</si>
  <si>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</si>
  <si>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</si>
  <si>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</si>
  <si>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</si>
  <si>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</si>
  <si>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</si>
  <si>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</si>
  <si>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</si>
  <si>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</si>
  <si>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</si>
  <si>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</si>
  <si>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</si>
  <si>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</si>
  <si>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</si>
  <si>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</si>
  <si>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</si>
  <si>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</si>
  <si>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</si>
  <si>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</si>
  <si>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</si>
  <si>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</si>
  <si>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</si>
  <si>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</si>
  <si>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</si>
  <si>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</si>
  <si>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</si>
  <si>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</si>
  <si>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</si>
  <si>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</si>
  <si>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</si>
  <si>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</si>
  <si>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</si>
  <si>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</si>
  <si>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</si>
  <si>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</si>
  <si>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</si>
  <si>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</si>
  <si>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</si>
  <si>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</si>
  <si>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</si>
  <si>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</si>
  <si>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</si>
  <si>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</si>
  <si>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</si>
  <si>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</si>
  <si>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</si>
  <si>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</si>
  <si>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</si>
  <si>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</si>
  <si>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</si>
  <si>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</si>
  <si>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</si>
  <si>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</si>
  <si>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</si>
  <si>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</si>
  <si>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</si>
  <si>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</si>
  <si>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</si>
  <si>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</si>
  <si>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</si>
  <si>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</si>
  <si>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</si>
  <si>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</si>
  <si>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</si>
  <si>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</si>
  <si>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</si>
  <si>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</si>
  <si>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</si>
  <si>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</si>
  <si>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</si>
  <si>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</si>
  <si>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</si>
  <si>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</si>
  <si>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</si>
  <si>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</si>
  <si>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</si>
  <si>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</si>
  <si>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</si>
  <si>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</si>
  <si>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</si>
  <si>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</si>
  <si>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</si>
  <si>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</si>
  <si>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</si>
  <si>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</si>
  <si>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</si>
  <si>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</si>
  <si>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</si>
  <si>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</si>
  <si>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</si>
  <si>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</si>
  <si>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</si>
  <si>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</si>
  <si>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</si>
  <si>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</si>
  <si>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</si>
  <si>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</si>
  <si>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</si>
  <si>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</si>
  <si>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</si>
  <si>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</si>
  <si>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</si>
  <si>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</si>
  <si>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</si>
  <si>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</si>
  <si>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</si>
  <si>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</si>
  <si>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</si>
  <si>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</si>
  <si>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</si>
  <si>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</si>
  <si>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</si>
  <si>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</si>
  <si>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</si>
  <si>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</si>
  <si>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</si>
  <si>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</si>
  <si>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</si>
  <si>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</si>
  <si>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</si>
  <si>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</si>
  <si>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</si>
  <si>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</si>
  <si>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</si>
  <si>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</si>
  <si>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</si>
  <si>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</si>
  <si>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</si>
  <si>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</si>
  <si>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</si>
  <si>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</si>
  <si>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</si>
  <si>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</si>
  <si>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</si>
  <si>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</si>
  <si>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</si>
  <si>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</si>
  <si>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</si>
  <si>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</si>
  <si>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</si>
  <si>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</si>
  <si>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</si>
  <si>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</si>
  <si>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</si>
  <si>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</si>
  <si>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</si>
  <si>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</si>
  <si>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</si>
  <si>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</si>
  <si>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</si>
  <si>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</si>
  <si>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</si>
  <si>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</si>
  <si>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</si>
  <si>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</si>
  <si>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</si>
  <si>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</si>
  <si>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</si>
  <si>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</si>
  <si>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</si>
  <si>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</si>
  <si>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</si>
  <si>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</si>
  <si>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</si>
  <si>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</si>
  <si>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</si>
  <si>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</si>
  <si>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</si>
  <si>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</si>
  <si>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</si>
  <si>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</si>
  <si>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</si>
  <si>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</si>
  <si>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</si>
  <si>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</si>
  <si>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</si>
  <si>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</si>
  <si>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</si>
  <si>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</si>
  <si>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</si>
  <si>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</si>
  <si>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</si>
  <si>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</si>
  <si>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</si>
  <si>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</si>
  <si>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</si>
  <si>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</si>
  <si>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</si>
  <si>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</si>
  <si>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</si>
  <si>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</si>
  <si>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</si>
  <si>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</si>
  <si>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</si>
  <si>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</si>
  <si>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</si>
  <si>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</si>
  <si>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</si>
  <si>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</si>
  <si>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</si>
  <si>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</si>
  <si>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</si>
  <si>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</si>
  <si>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</si>
  <si>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</si>
  <si>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</si>
  <si>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</si>
  <si>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</si>
  <si>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</si>
  <si>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</si>
  <si>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</si>
  <si>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</si>
  <si>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</si>
  <si>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</si>
  <si>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</si>
  <si>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</si>
  <si>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</si>
  <si>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</si>
  <si>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</si>
  <si>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</si>
  <si>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</si>
  <si>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</si>
  <si>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</si>
  <si>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</si>
  <si>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Adriana Miranda Figueroa  / adriana.miranda@sat.gob.mx</t>
  </si>
  <si>
    <t xml:space="preserve"> (PPMC):51010 "Mejoras al Modulo de descargas de acuses del IDE"</t>
  </si>
  <si>
    <t>IDE-WEB</t>
  </si>
  <si>
    <t>Crear un usuario de dominio para IDE-WEB</t>
  </si>
  <si>
    <t>El aplicativo de IDE-WEB utiliza seguridad integrada.</t>
  </si>
  <si>
    <t>Se solicita que el área de seguridad de T-System genere el usuario de dominio para el aplicativo de IDE-WEB así como asignarle permisos de SQLServer a la base de datos IDE-WEB,  DYP UTIL</t>
  </si>
  <si>
    <t>Estándar</t>
  </si>
  <si>
    <t>No se prodrá utilizar el aplicativo de IDE-WEB</t>
  </si>
  <si>
    <t>Entregar  usuario y contraseña a Jorge Alberto de Flon  o Martha Patricia Tellez Torres</t>
  </si>
  <si>
    <t>Eliminar cuenta UsrIDEWEB</t>
  </si>
  <si>
    <t>JORGE ALBERTO DE FLON GONZALEZ</t>
  </si>
  <si>
    <t xml:space="preserve">Jorge Alberto de Flón González </t>
  </si>
  <si>
    <t>jorge.deflon@sat.gob.mx</t>
  </si>
  <si>
    <t>Creación de cuenta:
Editar el archivo "script_ideweb_usr.sql" y sustituir la cadena "XXDominio" por el dominio del ambiente</t>
  </si>
  <si>
    <t>Directorio Activo</t>
  </si>
  <si>
    <t>Equipo de Base Datos</t>
  </si>
  <si>
    <t>Creación de la cuenta en el dominio
nombre: UsrIDEWEB
Contraseña: (Debera ser definida)
miembro: Administrador
Es una cuenta de servicio y no debe de caducar la contraseña</t>
  </si>
  <si>
    <t>02/08/2018  16:00:00 p.m.</t>
  </si>
  <si>
    <t>02/08/2018  16:00:00 p. m</t>
  </si>
  <si>
    <t>cpriiuatacdy02</t>
  </si>
  <si>
    <t>10.228.193.135</t>
  </si>
  <si>
    <t>cpriiuatmsql02</t>
  </si>
  <si>
    <t>10.237.130.135 
10.230.226.2
10.238.142.2</t>
  </si>
  <si>
    <t>cpriiuatmsql01</t>
  </si>
  <si>
    <t>10.237.130.134 
10.230.226.1
10.238.142.1</t>
  </si>
  <si>
    <t>Abrir una sesión de sql en el servidor cpriiuatmsql01 o cpriiuatmsql02 y ejecutar el archivo "script_ideweb_usr.sql"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</si>
</sst>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43" fillId="0" borderId="13" xfId="25" applyFont="1" applyFill="1" applyBorder="1" applyAlignment="1" applyProtection="1">
      <alignment wrapText="1"/>
      <protection locked="0"/>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2" fillId="13" borderId="0" xfId="2" applyFont="1" applyFill="1" applyBorder="1" applyAlignment="1">
      <alignment horizontal="left" vertical="top" wrapText="1"/>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Comma 2" xfId="36" xr:uid="{00000000-0005-0000-0000-000000000000}"/>
    <cellStyle name="Estilo 1" xfId="3" xr:uid="{00000000-0005-0000-0000-000001000000}"/>
    <cellStyle name="Excel Built-in Normal" xfId="4" xr:uid="{00000000-0005-0000-0000-000002000000}"/>
    <cellStyle name="Excel Built-in Normal 1" xfId="27" xr:uid="{00000000-0005-0000-0000-000003000000}"/>
    <cellStyle name="Excel Built-in Normal 2" xfId="32" xr:uid="{00000000-0005-0000-0000-000004000000}"/>
    <cellStyle name="Excel Built-in Normal 3" xfId="361" xr:uid="{00000000-0005-0000-0000-000005000000}"/>
    <cellStyle name="Good" xfId="1" builtinId="26"/>
    <cellStyle name="Heading 1" xfId="37" xr:uid="{00000000-0005-0000-0000-000007000000}"/>
    <cellStyle name="Heading1 1" xfId="38" xr:uid="{00000000-0005-0000-0000-000008000000}"/>
    <cellStyle name="Hyperlink 2" xfId="39" xr:uid="{00000000-0005-0000-0000-000009000000}"/>
    <cellStyle name="Hyperlink 3" xfId="40" xr:uid="{00000000-0005-0000-0000-00000A000000}"/>
    <cellStyle name="Millares 2" xfId="41" xr:uid="{00000000-0005-0000-0000-00000B000000}"/>
    <cellStyle name="Neutral 2" xfId="42" xr:uid="{00000000-0005-0000-0000-00000C000000}"/>
    <cellStyle name="Normal" xfId="0" builtinId="0"/>
    <cellStyle name="Normal 1" xfId="5" xr:uid="{00000000-0005-0000-0000-00000E000000}"/>
    <cellStyle name="Normal 1 2" xfId="43" xr:uid="{00000000-0005-0000-0000-00000F000000}"/>
    <cellStyle name="Normal 10" xfId="44" xr:uid="{00000000-0005-0000-0000-000010000000}"/>
    <cellStyle name="Normal 10 2" xfId="45" xr:uid="{00000000-0005-0000-0000-000011000000}"/>
    <cellStyle name="Normal 11" xfId="46" xr:uid="{00000000-0005-0000-0000-000012000000}"/>
    <cellStyle name="Normal 11 2" xfId="47" xr:uid="{00000000-0005-0000-0000-000013000000}"/>
    <cellStyle name="Normal 12" xfId="48" xr:uid="{00000000-0005-0000-0000-000014000000}"/>
    <cellStyle name="Normal 2" xfId="6" xr:uid="{00000000-0005-0000-0000-000015000000}"/>
    <cellStyle name="Normal 2 10" xfId="7" xr:uid="{00000000-0005-0000-0000-000016000000}"/>
    <cellStyle name="Normal 2 2" xfId="2" xr:uid="{00000000-0005-0000-0000-000017000000}"/>
    <cellStyle name="Normal 2 2 2" xfId="8" xr:uid="{00000000-0005-0000-0000-000018000000}"/>
    <cellStyle name="Normal 2 2 2 2" xfId="9" xr:uid="{00000000-0005-0000-0000-000019000000}"/>
    <cellStyle name="Normal 2 2 2 2 2" xfId="50" xr:uid="{00000000-0005-0000-0000-00001A000000}"/>
    <cellStyle name="Normal 2 2 2 2 2 2" xfId="51" xr:uid="{00000000-0005-0000-0000-00001B000000}"/>
    <cellStyle name="Normal 2 2 2 2 2 2 2" xfId="52" xr:uid="{00000000-0005-0000-0000-00001C000000}"/>
    <cellStyle name="Normal 2 2 2 2 2 3" xfId="53" xr:uid="{00000000-0005-0000-0000-00001D000000}"/>
    <cellStyle name="Normal 2 2 2 2 3" xfId="54" xr:uid="{00000000-0005-0000-0000-00001E000000}"/>
    <cellStyle name="Normal 2 2 2 2 3 2" xfId="55" xr:uid="{00000000-0005-0000-0000-00001F000000}"/>
    <cellStyle name="Normal 2 2 2 2 3 2 2" xfId="56" xr:uid="{00000000-0005-0000-0000-000020000000}"/>
    <cellStyle name="Normal 2 2 2 2 3 3" xfId="57" xr:uid="{00000000-0005-0000-0000-000021000000}"/>
    <cellStyle name="Normal 2 2 2 2 4" xfId="58" xr:uid="{00000000-0005-0000-0000-000022000000}"/>
    <cellStyle name="Normal 2 2 2 2 4 2" xfId="59" xr:uid="{00000000-0005-0000-0000-000023000000}"/>
    <cellStyle name="Normal 2 2 2 2 5" xfId="60" xr:uid="{00000000-0005-0000-0000-000024000000}"/>
    <cellStyle name="Normal 2 2 2 2 6" xfId="49" xr:uid="{00000000-0005-0000-0000-000025000000}"/>
    <cellStyle name="Normal 2 2 2 3" xfId="28" xr:uid="{00000000-0005-0000-0000-000026000000}"/>
    <cellStyle name="Normal 2 2 2 3 2" xfId="61" xr:uid="{00000000-0005-0000-0000-000027000000}"/>
    <cellStyle name="Normal 2 2 2 3 2 2" xfId="62" xr:uid="{00000000-0005-0000-0000-000028000000}"/>
    <cellStyle name="Normal 2 2 2 3 2 2 2" xfId="63" xr:uid="{00000000-0005-0000-0000-000029000000}"/>
    <cellStyle name="Normal 2 2 2 3 2 3" xfId="64" xr:uid="{00000000-0005-0000-0000-00002A000000}"/>
    <cellStyle name="Normal 2 2 2 3 3" xfId="65" xr:uid="{00000000-0005-0000-0000-00002B000000}"/>
    <cellStyle name="Normal 2 2 2 3 3 2" xfId="66" xr:uid="{00000000-0005-0000-0000-00002C000000}"/>
    <cellStyle name="Normal 2 2 2 3 3 2 2" xfId="67" xr:uid="{00000000-0005-0000-0000-00002D000000}"/>
    <cellStyle name="Normal 2 2 2 3 3 3" xfId="68" xr:uid="{00000000-0005-0000-0000-00002E000000}"/>
    <cellStyle name="Normal 2 2 2 3 4" xfId="69" xr:uid="{00000000-0005-0000-0000-00002F000000}"/>
    <cellStyle name="Normal 2 2 2 3 4 2" xfId="70" xr:uid="{00000000-0005-0000-0000-000030000000}"/>
    <cellStyle name="Normal 2 2 2 3 5" xfId="71" xr:uid="{00000000-0005-0000-0000-000031000000}"/>
    <cellStyle name="Normal 2 2 2 4" xfId="72" xr:uid="{00000000-0005-0000-0000-000032000000}"/>
    <cellStyle name="Normal 2 2 2 4 2" xfId="73" xr:uid="{00000000-0005-0000-0000-000033000000}"/>
    <cellStyle name="Normal 2 2 2 4 2 2" xfId="74" xr:uid="{00000000-0005-0000-0000-000034000000}"/>
    <cellStyle name="Normal 2 2 2 4 3" xfId="75" xr:uid="{00000000-0005-0000-0000-000035000000}"/>
    <cellStyle name="Normal 2 2 2 5" xfId="76" xr:uid="{00000000-0005-0000-0000-000036000000}"/>
    <cellStyle name="Normal 2 2 2 5 2" xfId="77" xr:uid="{00000000-0005-0000-0000-000037000000}"/>
    <cellStyle name="Normal 2 2 2 5 2 2" xfId="78" xr:uid="{00000000-0005-0000-0000-000038000000}"/>
    <cellStyle name="Normal 2 2 2 5 3" xfId="79" xr:uid="{00000000-0005-0000-0000-000039000000}"/>
    <cellStyle name="Normal 2 2 2 6" xfId="80" xr:uid="{00000000-0005-0000-0000-00003A000000}"/>
    <cellStyle name="Normal 2 2 2 6 2" xfId="81" xr:uid="{00000000-0005-0000-0000-00003B000000}"/>
    <cellStyle name="Normal 2 2 2 7" xfId="82" xr:uid="{00000000-0005-0000-0000-00003C000000}"/>
    <cellStyle name="Normal 2 2 3" xfId="10" xr:uid="{00000000-0005-0000-0000-00003D000000}"/>
    <cellStyle name="Normal 2 2 3 2" xfId="11" xr:uid="{00000000-0005-0000-0000-00003E000000}"/>
    <cellStyle name="Normal 2 2 3 2 2" xfId="12" xr:uid="{00000000-0005-0000-0000-00003F000000}"/>
    <cellStyle name="Normal 2 2 3 2 2 2" xfId="13" xr:uid="{00000000-0005-0000-0000-000040000000}"/>
    <cellStyle name="Normal 2 2 3 2 2 2 2" xfId="25" xr:uid="{00000000-0005-0000-0000-000041000000}"/>
    <cellStyle name="Normal 2 2 3 2 2 2 2 2" xfId="83" xr:uid="{00000000-0005-0000-0000-000042000000}"/>
    <cellStyle name="Normal 2 2 3 2 2 2 2 2 2" xfId="84" xr:uid="{00000000-0005-0000-0000-000043000000}"/>
    <cellStyle name="Normal 2 2 3 2 2 2 2 2 2 2" xfId="85" xr:uid="{00000000-0005-0000-0000-000044000000}"/>
    <cellStyle name="Normal 2 2 3 2 2 2 2 2 3" xfId="86" xr:uid="{00000000-0005-0000-0000-000045000000}"/>
    <cellStyle name="Normal 2 2 3 2 2 2 2 3" xfId="87" xr:uid="{00000000-0005-0000-0000-000046000000}"/>
    <cellStyle name="Normal 2 2 3 2 2 2 2 3 2" xfId="88" xr:uid="{00000000-0005-0000-0000-000047000000}"/>
    <cellStyle name="Normal 2 2 3 2 2 2 2 3 2 2" xfId="89" xr:uid="{00000000-0005-0000-0000-000048000000}"/>
    <cellStyle name="Normal 2 2 3 2 2 2 2 3 3" xfId="90" xr:uid="{00000000-0005-0000-0000-000049000000}"/>
    <cellStyle name="Normal 2 2 3 2 2 2 2 4" xfId="91" xr:uid="{00000000-0005-0000-0000-00004A000000}"/>
    <cellStyle name="Normal 2 2 3 2 2 2 2 4 2" xfId="92" xr:uid="{00000000-0005-0000-0000-00004B000000}"/>
    <cellStyle name="Normal 2 2 3 2 2 2 2 5" xfId="93" xr:uid="{00000000-0005-0000-0000-00004C000000}"/>
    <cellStyle name="Normal 2 2 3 2 2 2 3" xfId="94" xr:uid="{00000000-0005-0000-0000-00004D000000}"/>
    <cellStyle name="Normal 2 2 3 2 2 2 3 2" xfId="95" xr:uid="{00000000-0005-0000-0000-00004E000000}"/>
    <cellStyle name="Normal 2 2 3 2 2 2 3 2 2" xfId="96" xr:uid="{00000000-0005-0000-0000-00004F000000}"/>
    <cellStyle name="Normal 2 2 3 2 2 2 3 2 2 2" xfId="97" xr:uid="{00000000-0005-0000-0000-000050000000}"/>
    <cellStyle name="Normal 2 2 3 2 2 2 3 2 3" xfId="98" xr:uid="{00000000-0005-0000-0000-000051000000}"/>
    <cellStyle name="Normal 2 2 3 2 2 2 3 3" xfId="99" xr:uid="{00000000-0005-0000-0000-000052000000}"/>
    <cellStyle name="Normal 2 2 3 2 2 2 3 3 2" xfId="100" xr:uid="{00000000-0005-0000-0000-000053000000}"/>
    <cellStyle name="Normal 2 2 3 2 2 2 3 3 2 2" xfId="101" xr:uid="{00000000-0005-0000-0000-000054000000}"/>
    <cellStyle name="Normal 2 2 3 2 2 2 3 3 3" xfId="102" xr:uid="{00000000-0005-0000-0000-000055000000}"/>
    <cellStyle name="Normal 2 2 3 2 2 2 3 4" xfId="103" xr:uid="{00000000-0005-0000-0000-000056000000}"/>
    <cellStyle name="Normal 2 2 3 2 2 2 3 4 2" xfId="104" xr:uid="{00000000-0005-0000-0000-000057000000}"/>
    <cellStyle name="Normal 2 2 3 2 2 2 3 5" xfId="105" xr:uid="{00000000-0005-0000-0000-000058000000}"/>
    <cellStyle name="Normal 2 2 3 2 2 2 4" xfId="106" xr:uid="{00000000-0005-0000-0000-000059000000}"/>
    <cellStyle name="Normal 2 2 3 2 2 2 4 2" xfId="107" xr:uid="{00000000-0005-0000-0000-00005A000000}"/>
    <cellStyle name="Normal 2 2 3 2 2 2 4 2 2" xfId="108" xr:uid="{00000000-0005-0000-0000-00005B000000}"/>
    <cellStyle name="Normal 2 2 3 2 2 2 4 3" xfId="109" xr:uid="{00000000-0005-0000-0000-00005C000000}"/>
    <cellStyle name="Normal 2 2 3 2 2 2 5" xfId="110" xr:uid="{00000000-0005-0000-0000-00005D000000}"/>
    <cellStyle name="Normal 2 2 3 2 2 2 5 2" xfId="111" xr:uid="{00000000-0005-0000-0000-00005E000000}"/>
    <cellStyle name="Normal 2 2 3 2 2 2 5 2 2" xfId="112" xr:uid="{00000000-0005-0000-0000-00005F000000}"/>
    <cellStyle name="Normal 2 2 3 2 2 2 5 3" xfId="113" xr:uid="{00000000-0005-0000-0000-000060000000}"/>
    <cellStyle name="Normal 2 2 3 2 2 2 6" xfId="114" xr:uid="{00000000-0005-0000-0000-000061000000}"/>
    <cellStyle name="Normal 2 2 3 2 2 2 6 2" xfId="115" xr:uid="{00000000-0005-0000-0000-000062000000}"/>
    <cellStyle name="Normal 2 2 3 2 2 2 7" xfId="116" xr:uid="{00000000-0005-0000-0000-000063000000}"/>
    <cellStyle name="Normal 2 2 3 2 2 3" xfId="29" xr:uid="{00000000-0005-0000-0000-000064000000}"/>
    <cellStyle name="Normal 2 2 3 2 2 3 2" xfId="117" xr:uid="{00000000-0005-0000-0000-000065000000}"/>
    <cellStyle name="Normal 2 2 3 2 2 3 2 2" xfId="118" xr:uid="{00000000-0005-0000-0000-000066000000}"/>
    <cellStyle name="Normal 2 2 3 2 2 3 2 2 2" xfId="119" xr:uid="{00000000-0005-0000-0000-000067000000}"/>
    <cellStyle name="Normal 2 2 3 2 2 3 2 3" xfId="120" xr:uid="{00000000-0005-0000-0000-000068000000}"/>
    <cellStyle name="Normal 2 2 3 2 2 3 3" xfId="121" xr:uid="{00000000-0005-0000-0000-000069000000}"/>
    <cellStyle name="Normal 2 2 3 2 2 3 3 2" xfId="122" xr:uid="{00000000-0005-0000-0000-00006A000000}"/>
    <cellStyle name="Normal 2 2 3 2 2 3 3 2 2" xfId="123" xr:uid="{00000000-0005-0000-0000-00006B000000}"/>
    <cellStyle name="Normal 2 2 3 2 2 3 3 3" xfId="124" xr:uid="{00000000-0005-0000-0000-00006C000000}"/>
    <cellStyle name="Normal 2 2 3 2 2 3 4" xfId="125" xr:uid="{00000000-0005-0000-0000-00006D000000}"/>
    <cellStyle name="Normal 2 2 3 2 2 3 4 2" xfId="126" xr:uid="{00000000-0005-0000-0000-00006E000000}"/>
    <cellStyle name="Normal 2 2 3 2 2 3 5" xfId="127" xr:uid="{00000000-0005-0000-0000-00006F000000}"/>
    <cellStyle name="Normal 2 2 3 2 2 4" xfId="128" xr:uid="{00000000-0005-0000-0000-000070000000}"/>
    <cellStyle name="Normal 2 2 3 2 2 4 2" xfId="129" xr:uid="{00000000-0005-0000-0000-000071000000}"/>
    <cellStyle name="Normal 2 2 3 2 2 4 2 2" xfId="130" xr:uid="{00000000-0005-0000-0000-000072000000}"/>
    <cellStyle name="Normal 2 2 3 2 2 4 2 2 2" xfId="131" xr:uid="{00000000-0005-0000-0000-000073000000}"/>
    <cellStyle name="Normal 2 2 3 2 2 4 2 3" xfId="132" xr:uid="{00000000-0005-0000-0000-000074000000}"/>
    <cellStyle name="Normal 2 2 3 2 2 4 3" xfId="133" xr:uid="{00000000-0005-0000-0000-000075000000}"/>
    <cellStyle name="Normal 2 2 3 2 2 4 3 2" xfId="134" xr:uid="{00000000-0005-0000-0000-000076000000}"/>
    <cellStyle name="Normal 2 2 3 2 2 4 3 2 2" xfId="135" xr:uid="{00000000-0005-0000-0000-000077000000}"/>
    <cellStyle name="Normal 2 2 3 2 2 4 3 3" xfId="136" xr:uid="{00000000-0005-0000-0000-000078000000}"/>
    <cellStyle name="Normal 2 2 3 2 2 4 4" xfId="137" xr:uid="{00000000-0005-0000-0000-000079000000}"/>
    <cellStyle name="Normal 2 2 3 2 2 4 4 2" xfId="138" xr:uid="{00000000-0005-0000-0000-00007A000000}"/>
    <cellStyle name="Normal 2 2 3 2 2 4 5" xfId="139" xr:uid="{00000000-0005-0000-0000-00007B000000}"/>
    <cellStyle name="Normal 2 2 3 2 2 5" xfId="140" xr:uid="{00000000-0005-0000-0000-00007C000000}"/>
    <cellStyle name="Normal 2 2 3 2 2 5 2" xfId="141" xr:uid="{00000000-0005-0000-0000-00007D000000}"/>
    <cellStyle name="Normal 2 2 3 2 2 5 2 2" xfId="142" xr:uid="{00000000-0005-0000-0000-00007E000000}"/>
    <cellStyle name="Normal 2 2 3 2 2 5 3" xfId="143" xr:uid="{00000000-0005-0000-0000-00007F000000}"/>
    <cellStyle name="Normal 2 2 3 2 2 6" xfId="144" xr:uid="{00000000-0005-0000-0000-000080000000}"/>
    <cellStyle name="Normal 2 2 3 2 2 6 2" xfId="145" xr:uid="{00000000-0005-0000-0000-000081000000}"/>
    <cellStyle name="Normal 2 2 3 2 2 6 2 2" xfId="146" xr:uid="{00000000-0005-0000-0000-000082000000}"/>
    <cellStyle name="Normal 2 2 3 2 2 6 3" xfId="147" xr:uid="{00000000-0005-0000-0000-000083000000}"/>
    <cellStyle name="Normal 2 2 3 2 2 7" xfId="148" xr:uid="{00000000-0005-0000-0000-000084000000}"/>
    <cellStyle name="Normal 2 2 3 2 2 7 2" xfId="149" xr:uid="{00000000-0005-0000-0000-000085000000}"/>
    <cellStyle name="Normal 2 2 3 2 2 8" xfId="150" xr:uid="{00000000-0005-0000-0000-000086000000}"/>
    <cellStyle name="Normal 2 2 3 2 3" xfId="151" xr:uid="{00000000-0005-0000-0000-000087000000}"/>
    <cellStyle name="Normal 2 2 3 2 3 2" xfId="152" xr:uid="{00000000-0005-0000-0000-000088000000}"/>
    <cellStyle name="Normal 2 2 3 2 3 2 2" xfId="153" xr:uid="{00000000-0005-0000-0000-000089000000}"/>
    <cellStyle name="Normal 2 2 3 2 3 3" xfId="154" xr:uid="{00000000-0005-0000-0000-00008A000000}"/>
    <cellStyle name="Normal 2 2 3 2 4" xfId="155" xr:uid="{00000000-0005-0000-0000-00008B000000}"/>
    <cellStyle name="Normal 2 2 3 2 4 2" xfId="156" xr:uid="{00000000-0005-0000-0000-00008C000000}"/>
    <cellStyle name="Normal 2 2 3 2 4 2 2" xfId="157" xr:uid="{00000000-0005-0000-0000-00008D000000}"/>
    <cellStyle name="Normal 2 2 3 2 4 3" xfId="158" xr:uid="{00000000-0005-0000-0000-00008E000000}"/>
    <cellStyle name="Normal 2 2 3 2 5" xfId="159" xr:uid="{00000000-0005-0000-0000-00008F000000}"/>
    <cellStyle name="Normal 2 2 3 2 5 2" xfId="160" xr:uid="{00000000-0005-0000-0000-000090000000}"/>
    <cellStyle name="Normal 2 2 3 2 6" xfId="161" xr:uid="{00000000-0005-0000-0000-000091000000}"/>
    <cellStyle name="Normal 2 2 3 3" xfId="30" xr:uid="{00000000-0005-0000-0000-000092000000}"/>
    <cellStyle name="Normal 2 2 3 3 2" xfId="162" xr:uid="{00000000-0005-0000-0000-000093000000}"/>
    <cellStyle name="Normal 2 2 3 3 2 2" xfId="163" xr:uid="{00000000-0005-0000-0000-000094000000}"/>
    <cellStyle name="Normal 2 2 3 3 2 2 2" xfId="164" xr:uid="{00000000-0005-0000-0000-000095000000}"/>
    <cellStyle name="Normal 2 2 3 3 2 3" xfId="165" xr:uid="{00000000-0005-0000-0000-000096000000}"/>
    <cellStyle name="Normal 2 2 3 3 3" xfId="166" xr:uid="{00000000-0005-0000-0000-000097000000}"/>
    <cellStyle name="Normal 2 2 3 3 3 2" xfId="167" xr:uid="{00000000-0005-0000-0000-000098000000}"/>
    <cellStyle name="Normal 2 2 3 3 3 2 2" xfId="168" xr:uid="{00000000-0005-0000-0000-000099000000}"/>
    <cellStyle name="Normal 2 2 3 3 3 3" xfId="169" xr:uid="{00000000-0005-0000-0000-00009A000000}"/>
    <cellStyle name="Normal 2 2 3 3 4" xfId="170" xr:uid="{00000000-0005-0000-0000-00009B000000}"/>
    <cellStyle name="Normal 2 2 3 3 4 2" xfId="171" xr:uid="{00000000-0005-0000-0000-00009C000000}"/>
    <cellStyle name="Normal 2 2 3 3 5" xfId="172" xr:uid="{00000000-0005-0000-0000-00009D000000}"/>
    <cellStyle name="Normal 2 2 3 4" xfId="173" xr:uid="{00000000-0005-0000-0000-00009E000000}"/>
    <cellStyle name="Normal 2 2 3 4 2" xfId="174" xr:uid="{00000000-0005-0000-0000-00009F000000}"/>
    <cellStyle name="Normal 2 2 3 4 2 2" xfId="175" xr:uid="{00000000-0005-0000-0000-0000A0000000}"/>
    <cellStyle name="Normal 2 2 3 4 3" xfId="176" xr:uid="{00000000-0005-0000-0000-0000A1000000}"/>
    <cellStyle name="Normal 2 2 3 5" xfId="177" xr:uid="{00000000-0005-0000-0000-0000A2000000}"/>
    <cellStyle name="Normal 2 2 3 5 2" xfId="178" xr:uid="{00000000-0005-0000-0000-0000A3000000}"/>
    <cellStyle name="Normal 2 2 3 5 2 2" xfId="179" xr:uid="{00000000-0005-0000-0000-0000A4000000}"/>
    <cellStyle name="Normal 2 2 3 5 3" xfId="180" xr:uid="{00000000-0005-0000-0000-0000A5000000}"/>
    <cellStyle name="Normal 2 2 3 6" xfId="181" xr:uid="{00000000-0005-0000-0000-0000A6000000}"/>
    <cellStyle name="Normal 2 2 3 6 2" xfId="182" xr:uid="{00000000-0005-0000-0000-0000A7000000}"/>
    <cellStyle name="Normal 2 2 3 7" xfId="183" xr:uid="{00000000-0005-0000-0000-0000A8000000}"/>
    <cellStyle name="Normal 2 2 4" xfId="31" xr:uid="{00000000-0005-0000-0000-0000A9000000}"/>
    <cellStyle name="Normal 2 3" xfId="14" xr:uid="{00000000-0005-0000-0000-0000AA000000}"/>
    <cellStyle name="Normal 2 3 2" xfId="185" xr:uid="{00000000-0005-0000-0000-0000AB000000}"/>
    <cellStyle name="Normal 2 3 2 2" xfId="186" xr:uid="{00000000-0005-0000-0000-0000AC000000}"/>
    <cellStyle name="Normal 2 3 2 2 2" xfId="187" xr:uid="{00000000-0005-0000-0000-0000AD000000}"/>
    <cellStyle name="Normal 2 3 2 3" xfId="188" xr:uid="{00000000-0005-0000-0000-0000AE000000}"/>
    <cellStyle name="Normal 2 3 2 4" xfId="189" xr:uid="{00000000-0005-0000-0000-0000AF000000}"/>
    <cellStyle name="Normal 2 3 3" xfId="190" xr:uid="{00000000-0005-0000-0000-0000B0000000}"/>
    <cellStyle name="Normal 2 3 3 2" xfId="191" xr:uid="{00000000-0005-0000-0000-0000B1000000}"/>
    <cellStyle name="Normal 2 3 3 2 2" xfId="192" xr:uid="{00000000-0005-0000-0000-0000B2000000}"/>
    <cellStyle name="Normal 2 3 3 3" xfId="193" xr:uid="{00000000-0005-0000-0000-0000B3000000}"/>
    <cellStyle name="Normal 2 3 4" xfId="194" xr:uid="{00000000-0005-0000-0000-0000B4000000}"/>
    <cellStyle name="Normal 2 3 4 2" xfId="195" xr:uid="{00000000-0005-0000-0000-0000B5000000}"/>
    <cellStyle name="Normal 2 3 5" xfId="196" xr:uid="{00000000-0005-0000-0000-0000B6000000}"/>
    <cellStyle name="Normal 2 3 6" xfId="184" xr:uid="{00000000-0005-0000-0000-0000B7000000}"/>
    <cellStyle name="Normal 2 4" xfId="15" xr:uid="{00000000-0005-0000-0000-0000B8000000}"/>
    <cellStyle name="Normal 2 4 2" xfId="198" xr:uid="{00000000-0005-0000-0000-0000B9000000}"/>
    <cellStyle name="Normal 2 4 2 2" xfId="199" xr:uid="{00000000-0005-0000-0000-0000BA000000}"/>
    <cellStyle name="Normal 2 4 2 2 2" xfId="200" xr:uid="{00000000-0005-0000-0000-0000BB000000}"/>
    <cellStyle name="Normal 2 4 2 3" xfId="201" xr:uid="{00000000-0005-0000-0000-0000BC000000}"/>
    <cellStyle name="Normal 2 4 3" xfId="202" xr:uid="{00000000-0005-0000-0000-0000BD000000}"/>
    <cellStyle name="Normal 2 4 3 2" xfId="203" xr:uid="{00000000-0005-0000-0000-0000BE000000}"/>
    <cellStyle name="Normal 2 4 3 2 2" xfId="204" xr:uid="{00000000-0005-0000-0000-0000BF000000}"/>
    <cellStyle name="Normal 2 4 3 3" xfId="205" xr:uid="{00000000-0005-0000-0000-0000C0000000}"/>
    <cellStyle name="Normal 2 4 4" xfId="206" xr:uid="{00000000-0005-0000-0000-0000C1000000}"/>
    <cellStyle name="Normal 2 4 4 2" xfId="207" xr:uid="{00000000-0005-0000-0000-0000C2000000}"/>
    <cellStyle name="Normal 2 4 5" xfId="208" xr:uid="{00000000-0005-0000-0000-0000C3000000}"/>
    <cellStyle name="Normal 2 4 6" xfId="197" xr:uid="{00000000-0005-0000-0000-0000C4000000}"/>
    <cellStyle name="Normal 2 5" xfId="26" xr:uid="{00000000-0005-0000-0000-0000C5000000}"/>
    <cellStyle name="Normal 2 5 2" xfId="209" xr:uid="{00000000-0005-0000-0000-0000C6000000}"/>
    <cellStyle name="Normal 2 5 2 2" xfId="210" xr:uid="{00000000-0005-0000-0000-0000C7000000}"/>
    <cellStyle name="Normal 2 5 3" xfId="211" xr:uid="{00000000-0005-0000-0000-0000C8000000}"/>
    <cellStyle name="Normal 2 6" xfId="212" xr:uid="{00000000-0005-0000-0000-0000C9000000}"/>
    <cellStyle name="Normal 2 6 2" xfId="213" xr:uid="{00000000-0005-0000-0000-0000CA000000}"/>
    <cellStyle name="Normal 2 6 2 2" xfId="214" xr:uid="{00000000-0005-0000-0000-0000CB000000}"/>
    <cellStyle name="Normal 2 6 3" xfId="215" xr:uid="{00000000-0005-0000-0000-0000CC000000}"/>
    <cellStyle name="Normal 2 7" xfId="216" xr:uid="{00000000-0005-0000-0000-0000CD000000}"/>
    <cellStyle name="Normal 2 7 2" xfId="217" xr:uid="{00000000-0005-0000-0000-0000CE000000}"/>
    <cellStyle name="Normal 2 8" xfId="218" xr:uid="{00000000-0005-0000-0000-0000CF000000}"/>
    <cellStyle name="Normal 3" xfId="16" xr:uid="{00000000-0005-0000-0000-0000D0000000}"/>
    <cellStyle name="Normal 3 2" xfId="17" xr:uid="{00000000-0005-0000-0000-0000D1000000}"/>
    <cellStyle name="Normal 3 2 2" xfId="220" xr:uid="{00000000-0005-0000-0000-0000D2000000}"/>
    <cellStyle name="Normal 3 2 2 2" xfId="221" xr:uid="{00000000-0005-0000-0000-0000D3000000}"/>
    <cellStyle name="Normal 3 2 2 2 2" xfId="222" xr:uid="{00000000-0005-0000-0000-0000D4000000}"/>
    <cellStyle name="Normal 3 2 2 3" xfId="223" xr:uid="{00000000-0005-0000-0000-0000D5000000}"/>
    <cellStyle name="Normal 3 2 2 4" xfId="224" xr:uid="{00000000-0005-0000-0000-0000D6000000}"/>
    <cellStyle name="Normal 3 2 3" xfId="225" xr:uid="{00000000-0005-0000-0000-0000D7000000}"/>
    <cellStyle name="Normal 3 2 3 2" xfId="226" xr:uid="{00000000-0005-0000-0000-0000D8000000}"/>
    <cellStyle name="Normal 3 2 3 2 2" xfId="227" xr:uid="{00000000-0005-0000-0000-0000D9000000}"/>
    <cellStyle name="Normal 3 2 3 3" xfId="228" xr:uid="{00000000-0005-0000-0000-0000DA000000}"/>
    <cellStyle name="Normal 3 2 4" xfId="229" xr:uid="{00000000-0005-0000-0000-0000DB000000}"/>
    <cellStyle name="Normal 3 2 4 2" xfId="230" xr:uid="{00000000-0005-0000-0000-0000DC000000}"/>
    <cellStyle name="Normal 3 2 5" xfId="231" xr:uid="{00000000-0005-0000-0000-0000DD000000}"/>
    <cellStyle name="Normal 3 2 6" xfId="219" xr:uid="{00000000-0005-0000-0000-0000DE000000}"/>
    <cellStyle name="Normal 3 3" xfId="34" xr:uid="{00000000-0005-0000-0000-0000DF000000}"/>
    <cellStyle name="Normal 3 3 2" xfId="232" xr:uid="{00000000-0005-0000-0000-0000E0000000}"/>
    <cellStyle name="Normal 3 3 2 2" xfId="233" xr:uid="{00000000-0005-0000-0000-0000E1000000}"/>
    <cellStyle name="Normal 3 3 2 2 2" xfId="234" xr:uid="{00000000-0005-0000-0000-0000E2000000}"/>
    <cellStyle name="Normal 3 3 2 3" xfId="235" xr:uid="{00000000-0005-0000-0000-0000E3000000}"/>
    <cellStyle name="Normal 3 3 3" xfId="236" xr:uid="{00000000-0005-0000-0000-0000E4000000}"/>
    <cellStyle name="Normal 3 3 3 2" xfId="237" xr:uid="{00000000-0005-0000-0000-0000E5000000}"/>
    <cellStyle name="Normal 3 3 3 2 2" xfId="238" xr:uid="{00000000-0005-0000-0000-0000E6000000}"/>
    <cellStyle name="Normal 3 3 3 3" xfId="239" xr:uid="{00000000-0005-0000-0000-0000E7000000}"/>
    <cellStyle name="Normal 3 3 4" xfId="240" xr:uid="{00000000-0005-0000-0000-0000E8000000}"/>
    <cellStyle name="Normal 3 3 4 2" xfId="241" xr:uid="{00000000-0005-0000-0000-0000E9000000}"/>
    <cellStyle name="Normal 3 3 5" xfId="242" xr:uid="{00000000-0005-0000-0000-0000EA000000}"/>
    <cellStyle name="Normal 3 4" xfId="243" xr:uid="{00000000-0005-0000-0000-0000EB000000}"/>
    <cellStyle name="Normal 3 4 2" xfId="244" xr:uid="{00000000-0005-0000-0000-0000EC000000}"/>
    <cellStyle name="Normal 3 4 2 2" xfId="245" xr:uid="{00000000-0005-0000-0000-0000ED000000}"/>
    <cellStyle name="Normal 3 4 3" xfId="246" xr:uid="{00000000-0005-0000-0000-0000EE000000}"/>
    <cellStyle name="Normal 3 5" xfId="247" xr:uid="{00000000-0005-0000-0000-0000EF000000}"/>
    <cellStyle name="Normal 3 5 2" xfId="248" xr:uid="{00000000-0005-0000-0000-0000F0000000}"/>
    <cellStyle name="Normal 3 5 2 2" xfId="249" xr:uid="{00000000-0005-0000-0000-0000F1000000}"/>
    <cellStyle name="Normal 3 5 3" xfId="250" xr:uid="{00000000-0005-0000-0000-0000F2000000}"/>
    <cellStyle name="Normal 3 6" xfId="251" xr:uid="{00000000-0005-0000-0000-0000F3000000}"/>
    <cellStyle name="Normal 3 6 2" xfId="252" xr:uid="{00000000-0005-0000-0000-0000F4000000}"/>
    <cellStyle name="Normal 3 7" xfId="253" xr:uid="{00000000-0005-0000-0000-0000F5000000}"/>
    <cellStyle name="Normal 4" xfId="18" xr:uid="{00000000-0005-0000-0000-0000F6000000}"/>
    <cellStyle name="Normal 4 2" xfId="19" xr:uid="{00000000-0005-0000-0000-0000F7000000}"/>
    <cellStyle name="Normal 4 2 2" xfId="255" xr:uid="{00000000-0005-0000-0000-0000F8000000}"/>
    <cellStyle name="Normal 4 2 2 2" xfId="256" xr:uid="{00000000-0005-0000-0000-0000F9000000}"/>
    <cellStyle name="Normal 4 2 2 2 2" xfId="257" xr:uid="{00000000-0005-0000-0000-0000FA000000}"/>
    <cellStyle name="Normal 4 2 2 3" xfId="258" xr:uid="{00000000-0005-0000-0000-0000FB000000}"/>
    <cellStyle name="Normal 4 2 2 4" xfId="259" xr:uid="{00000000-0005-0000-0000-0000FC000000}"/>
    <cellStyle name="Normal 4 2 3" xfId="260" xr:uid="{00000000-0005-0000-0000-0000FD000000}"/>
    <cellStyle name="Normal 4 2 3 2" xfId="261" xr:uid="{00000000-0005-0000-0000-0000FE000000}"/>
    <cellStyle name="Normal 4 2 3 2 2" xfId="262" xr:uid="{00000000-0005-0000-0000-0000FF000000}"/>
    <cellStyle name="Normal 4 2 3 3" xfId="263" xr:uid="{00000000-0005-0000-0000-000000010000}"/>
    <cellStyle name="Normal 4 2 4" xfId="264" xr:uid="{00000000-0005-0000-0000-000001010000}"/>
    <cellStyle name="Normal 4 2 4 2" xfId="265" xr:uid="{00000000-0005-0000-0000-000002010000}"/>
    <cellStyle name="Normal 4 2 5" xfId="266" xr:uid="{00000000-0005-0000-0000-000003010000}"/>
    <cellStyle name="Normal 4 2 6" xfId="254" xr:uid="{00000000-0005-0000-0000-000004010000}"/>
    <cellStyle name="Normal 4 3" xfId="20" xr:uid="{00000000-0005-0000-0000-000005010000}"/>
    <cellStyle name="Normal 4 3 2" xfId="268" xr:uid="{00000000-0005-0000-0000-000006010000}"/>
    <cellStyle name="Normal 4 3 2 2" xfId="269" xr:uid="{00000000-0005-0000-0000-000007010000}"/>
    <cellStyle name="Normal 4 3 2 2 2" xfId="270" xr:uid="{00000000-0005-0000-0000-000008010000}"/>
    <cellStyle name="Normal 4 3 2 3" xfId="271" xr:uid="{00000000-0005-0000-0000-000009010000}"/>
    <cellStyle name="Normal 4 3 3" xfId="272" xr:uid="{00000000-0005-0000-0000-00000A010000}"/>
    <cellStyle name="Normal 4 3 3 2" xfId="273" xr:uid="{00000000-0005-0000-0000-00000B010000}"/>
    <cellStyle name="Normal 4 3 3 2 2" xfId="274" xr:uid="{00000000-0005-0000-0000-00000C010000}"/>
    <cellStyle name="Normal 4 3 3 3" xfId="275" xr:uid="{00000000-0005-0000-0000-00000D010000}"/>
    <cellStyle name="Normal 4 3 4" xfId="276" xr:uid="{00000000-0005-0000-0000-00000E010000}"/>
    <cellStyle name="Normal 4 3 4 2" xfId="277" xr:uid="{00000000-0005-0000-0000-00000F010000}"/>
    <cellStyle name="Normal 4 3 5" xfId="278" xr:uid="{00000000-0005-0000-0000-000010010000}"/>
    <cellStyle name="Normal 4 3 6" xfId="267" xr:uid="{00000000-0005-0000-0000-000011010000}"/>
    <cellStyle name="Normal 4 4" xfId="35" xr:uid="{00000000-0005-0000-0000-000012010000}"/>
    <cellStyle name="Normal 4 4 2" xfId="279" xr:uid="{00000000-0005-0000-0000-000013010000}"/>
    <cellStyle name="Normal 4 4 2 2" xfId="280" xr:uid="{00000000-0005-0000-0000-000014010000}"/>
    <cellStyle name="Normal 4 4 3" xfId="281" xr:uid="{00000000-0005-0000-0000-000015010000}"/>
    <cellStyle name="Normal 4 5" xfId="282" xr:uid="{00000000-0005-0000-0000-000016010000}"/>
    <cellStyle name="Normal 4 5 2" xfId="283" xr:uid="{00000000-0005-0000-0000-000017010000}"/>
    <cellStyle name="Normal 4 5 2 2" xfId="284" xr:uid="{00000000-0005-0000-0000-000018010000}"/>
    <cellStyle name="Normal 4 5 3" xfId="285" xr:uid="{00000000-0005-0000-0000-000019010000}"/>
    <cellStyle name="Normal 4 6" xfId="286" xr:uid="{00000000-0005-0000-0000-00001A010000}"/>
    <cellStyle name="Normal 4 6 2" xfId="287" xr:uid="{00000000-0005-0000-0000-00001B010000}"/>
    <cellStyle name="Normal 4 7" xfId="288" xr:uid="{00000000-0005-0000-0000-00001C010000}"/>
    <cellStyle name="Normal 5" xfId="21" xr:uid="{00000000-0005-0000-0000-00001D010000}"/>
    <cellStyle name="Normal 5 2" xfId="290" xr:uid="{00000000-0005-0000-0000-00001E010000}"/>
    <cellStyle name="Normal 5 3" xfId="291" xr:uid="{00000000-0005-0000-0000-00001F010000}"/>
    <cellStyle name="Normal 5 4" xfId="289" xr:uid="{00000000-0005-0000-0000-000020010000}"/>
    <cellStyle name="Normal 5 5" xfId="362" xr:uid="{00000000-0005-0000-0000-000021010000}"/>
    <cellStyle name="Normal 6" xfId="23" xr:uid="{00000000-0005-0000-0000-000022010000}"/>
    <cellStyle name="Normal 6 2" xfId="292" xr:uid="{00000000-0005-0000-0000-000023010000}"/>
    <cellStyle name="Normal 7" xfId="293" xr:uid="{00000000-0005-0000-0000-000024010000}"/>
    <cellStyle name="Normal 7 2" xfId="294" xr:uid="{00000000-0005-0000-0000-000025010000}"/>
    <cellStyle name="Normal 7 2 2" xfId="295" xr:uid="{00000000-0005-0000-0000-000026010000}"/>
    <cellStyle name="Normal 7 2 2 2" xfId="296" xr:uid="{00000000-0005-0000-0000-000027010000}"/>
    <cellStyle name="Normal 7 2 2 2 2" xfId="297" xr:uid="{00000000-0005-0000-0000-000028010000}"/>
    <cellStyle name="Normal 7 2 2 3" xfId="298" xr:uid="{00000000-0005-0000-0000-000029010000}"/>
    <cellStyle name="Normal 7 2 3" xfId="299" xr:uid="{00000000-0005-0000-0000-00002A010000}"/>
    <cellStyle name="Normal 7 2 3 2" xfId="300" xr:uid="{00000000-0005-0000-0000-00002B010000}"/>
    <cellStyle name="Normal 7 2 3 2 2" xfId="301" xr:uid="{00000000-0005-0000-0000-00002C010000}"/>
    <cellStyle name="Normal 7 2 3 3" xfId="302" xr:uid="{00000000-0005-0000-0000-00002D010000}"/>
    <cellStyle name="Normal 7 2 4" xfId="303" xr:uid="{00000000-0005-0000-0000-00002E010000}"/>
    <cellStyle name="Normal 7 2 4 2" xfId="304" xr:uid="{00000000-0005-0000-0000-00002F010000}"/>
    <cellStyle name="Normal 7 2 5" xfId="305" xr:uid="{00000000-0005-0000-0000-000030010000}"/>
    <cellStyle name="Normal 7 2 6" xfId="306" xr:uid="{00000000-0005-0000-0000-000031010000}"/>
    <cellStyle name="Normal 7 3" xfId="307" xr:uid="{00000000-0005-0000-0000-000032010000}"/>
    <cellStyle name="Normal 7 3 2" xfId="308" xr:uid="{00000000-0005-0000-0000-000033010000}"/>
    <cellStyle name="Normal 7 3 2 2" xfId="309" xr:uid="{00000000-0005-0000-0000-000034010000}"/>
    <cellStyle name="Normal 7 3 3" xfId="310" xr:uid="{00000000-0005-0000-0000-000035010000}"/>
    <cellStyle name="Normal 7 3 4" xfId="311" xr:uid="{00000000-0005-0000-0000-000036010000}"/>
    <cellStyle name="Normal 7 4" xfId="312" xr:uid="{00000000-0005-0000-0000-000037010000}"/>
    <cellStyle name="Normal 7 4 2" xfId="313" xr:uid="{00000000-0005-0000-0000-000038010000}"/>
    <cellStyle name="Normal 7 4 2 2" xfId="314" xr:uid="{00000000-0005-0000-0000-000039010000}"/>
    <cellStyle name="Normal 7 4 3" xfId="315" xr:uid="{00000000-0005-0000-0000-00003A010000}"/>
    <cellStyle name="Normal 7 4 4" xfId="316" xr:uid="{00000000-0005-0000-0000-00003B010000}"/>
    <cellStyle name="Normal 7 5" xfId="317" xr:uid="{00000000-0005-0000-0000-00003C010000}"/>
    <cellStyle name="Normal 7 5 2" xfId="318" xr:uid="{00000000-0005-0000-0000-00003D010000}"/>
    <cellStyle name="Normal 7 6" xfId="319" xr:uid="{00000000-0005-0000-0000-00003E010000}"/>
    <cellStyle name="Normal 8" xfId="320" xr:uid="{00000000-0005-0000-0000-00003F010000}"/>
    <cellStyle name="Normal 8 2" xfId="321" xr:uid="{00000000-0005-0000-0000-000040010000}"/>
    <cellStyle name="Normal 8 2 2" xfId="322" xr:uid="{00000000-0005-0000-0000-000041010000}"/>
    <cellStyle name="Normal 8 2 2 2" xfId="323" xr:uid="{00000000-0005-0000-0000-000042010000}"/>
    <cellStyle name="Normal 8 2 2 2 2" xfId="324" xr:uid="{00000000-0005-0000-0000-000043010000}"/>
    <cellStyle name="Normal 8 2 2 3" xfId="325" xr:uid="{00000000-0005-0000-0000-000044010000}"/>
    <cellStyle name="Normal 8 2 3" xfId="326" xr:uid="{00000000-0005-0000-0000-000045010000}"/>
    <cellStyle name="Normal 8 2 3 2" xfId="327" xr:uid="{00000000-0005-0000-0000-000046010000}"/>
    <cellStyle name="Normal 8 2 3 2 2" xfId="328" xr:uid="{00000000-0005-0000-0000-000047010000}"/>
    <cellStyle name="Normal 8 2 3 3" xfId="329" xr:uid="{00000000-0005-0000-0000-000048010000}"/>
    <cellStyle name="Normal 8 2 4" xfId="330" xr:uid="{00000000-0005-0000-0000-000049010000}"/>
    <cellStyle name="Normal 8 2 4 2" xfId="331" xr:uid="{00000000-0005-0000-0000-00004A010000}"/>
    <cellStyle name="Normal 8 2 5" xfId="332" xr:uid="{00000000-0005-0000-0000-00004B010000}"/>
    <cellStyle name="Normal 8 3" xfId="333" xr:uid="{00000000-0005-0000-0000-00004C010000}"/>
    <cellStyle name="Normal 8 3 2" xfId="334" xr:uid="{00000000-0005-0000-0000-00004D010000}"/>
    <cellStyle name="Normal 8 3 2 2" xfId="335" xr:uid="{00000000-0005-0000-0000-00004E010000}"/>
    <cellStyle name="Normal 8 3 2 2 2" xfId="336" xr:uid="{00000000-0005-0000-0000-00004F010000}"/>
    <cellStyle name="Normal 8 3 2 3" xfId="337" xr:uid="{00000000-0005-0000-0000-000050010000}"/>
    <cellStyle name="Normal 8 3 3" xfId="338" xr:uid="{00000000-0005-0000-0000-000051010000}"/>
    <cellStyle name="Normal 8 3 3 2" xfId="339" xr:uid="{00000000-0005-0000-0000-000052010000}"/>
    <cellStyle name="Normal 8 3 3 2 2" xfId="340" xr:uid="{00000000-0005-0000-0000-000053010000}"/>
    <cellStyle name="Normal 8 3 3 3" xfId="341" xr:uid="{00000000-0005-0000-0000-000054010000}"/>
    <cellStyle name="Normal 8 3 4" xfId="342" xr:uid="{00000000-0005-0000-0000-000055010000}"/>
    <cellStyle name="Normal 8 3 4 2" xfId="343" xr:uid="{00000000-0005-0000-0000-000056010000}"/>
    <cellStyle name="Normal 8 3 5" xfId="344" xr:uid="{00000000-0005-0000-0000-000057010000}"/>
    <cellStyle name="Normal 8 4" xfId="345" xr:uid="{00000000-0005-0000-0000-000058010000}"/>
    <cellStyle name="Normal 8 4 2" xfId="346" xr:uid="{00000000-0005-0000-0000-000059010000}"/>
    <cellStyle name="Normal 8 4 2 2" xfId="347" xr:uid="{00000000-0005-0000-0000-00005A010000}"/>
    <cellStyle name="Normal 8 4 3" xfId="348" xr:uid="{00000000-0005-0000-0000-00005B010000}"/>
    <cellStyle name="Normal 8 5" xfId="349" xr:uid="{00000000-0005-0000-0000-00005C010000}"/>
    <cellStyle name="Normal 8 5 2" xfId="350" xr:uid="{00000000-0005-0000-0000-00005D010000}"/>
    <cellStyle name="Normal 8 5 2 2" xfId="351" xr:uid="{00000000-0005-0000-0000-00005E010000}"/>
    <cellStyle name="Normal 8 5 3" xfId="352" xr:uid="{00000000-0005-0000-0000-00005F010000}"/>
    <cellStyle name="Normal 8 6" xfId="353" xr:uid="{00000000-0005-0000-0000-000060010000}"/>
    <cellStyle name="Normal 8 6 2" xfId="354" xr:uid="{00000000-0005-0000-0000-000061010000}"/>
    <cellStyle name="Normal 8 7" xfId="355" xr:uid="{00000000-0005-0000-0000-000062010000}"/>
    <cellStyle name="Normal 9" xfId="356" xr:uid="{00000000-0005-0000-0000-000063010000}"/>
    <cellStyle name="Percent 2" xfId="357" xr:uid="{00000000-0005-0000-0000-000064010000}"/>
    <cellStyle name="Result 1" xfId="358" xr:uid="{00000000-0005-0000-0000-000065010000}"/>
    <cellStyle name="Result2 1" xfId="359" xr:uid="{00000000-0005-0000-0000-000066010000}"/>
    <cellStyle name="Style 1" xfId="22" xr:uid="{00000000-0005-0000-0000-000067010000}"/>
    <cellStyle name="TableStyleLight1" xfId="24" xr:uid="{00000000-0005-0000-0000-000068010000}"/>
    <cellStyle name="TableStyleLight1 2" xfId="33" xr:uid="{00000000-0005-0000-0000-000069010000}"/>
    <cellStyle name="Total 2" xfId="360" xr:uid="{00000000-0005-0000-0000-00006A010000}"/>
  </cellStyles>
  <dxfs count="1270">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5"/>
  <sheetViews>
    <sheetView tabSelected="1" topLeftCell="A4" zoomScale="80" zoomScaleNormal="80" zoomScaleSheetLayoutView="100" workbookViewId="0">
      <selection activeCell="E8" sqref="E8"/>
    </sheetView>
  </sheetViews>
  <sheetFormatPr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186" t="s">
        <v>278</v>
      </c>
      <c r="C2" s="186"/>
      <c r="D2" s="186"/>
      <c r="E2" s="129"/>
      <c r="F2" s="119"/>
      <c r="G2" s="119"/>
      <c r="H2" s="119"/>
      <c r="I2" s="130"/>
    </row>
    <row r="3" spans="1:9" ht="3" customHeight="1">
      <c r="A3" s="119"/>
      <c r="B3" s="131"/>
      <c r="C3" s="132"/>
      <c r="D3" s="133"/>
      <c r="E3" s="133"/>
      <c r="F3" s="119"/>
      <c r="G3" s="119"/>
      <c r="H3" s="119"/>
      <c r="I3" s="130"/>
    </row>
    <row r="4" spans="1:9">
      <c r="A4" s="119"/>
      <c r="B4" s="192" t="s">
        <v>356</v>
      </c>
      <c r="C4" s="193"/>
      <c r="D4" s="193"/>
      <c r="E4" s="193"/>
      <c r="F4" s="119"/>
      <c r="G4" s="119"/>
      <c r="H4" s="119"/>
      <c r="I4" s="130"/>
    </row>
    <row r="5" spans="1:9" ht="32.25" customHeight="1">
      <c r="A5" s="134"/>
      <c r="B5" s="127" t="s">
        <v>243</v>
      </c>
      <c r="C5" s="135"/>
      <c r="D5" s="127" t="s">
        <v>250</v>
      </c>
      <c r="E5" s="136" t="s">
        <v>395</v>
      </c>
      <c r="F5" s="114"/>
      <c r="G5" s="114"/>
      <c r="H5" s="114"/>
      <c r="I5" s="137"/>
    </row>
    <row r="6" spans="1:9" ht="42" customHeight="1">
      <c r="A6" s="134"/>
      <c r="B6" s="138" t="s">
        <v>263</v>
      </c>
      <c r="C6" s="139" t="s">
        <v>378</v>
      </c>
      <c r="D6" s="138" t="s">
        <v>279</v>
      </c>
      <c r="E6" s="139"/>
      <c r="F6" s="114"/>
      <c r="G6" s="140"/>
      <c r="H6" s="114"/>
    </row>
    <row r="7" spans="1:9" ht="53.25" customHeight="1">
      <c r="A7" s="134"/>
      <c r="B7" s="127" t="s">
        <v>251</v>
      </c>
      <c r="C7" s="135" t="s">
        <v>369</v>
      </c>
      <c r="D7" s="127" t="s">
        <v>239</v>
      </c>
      <c r="E7" s="135" t="s">
        <v>379</v>
      </c>
      <c r="F7" s="114"/>
      <c r="G7" s="139"/>
      <c r="H7" s="141" t="s">
        <v>125</v>
      </c>
    </row>
    <row r="8" spans="1:9" ht="60.75" customHeight="1">
      <c r="A8" s="134"/>
      <c r="B8" s="142" t="s">
        <v>237</v>
      </c>
      <c r="C8" s="139" t="s">
        <v>380</v>
      </c>
      <c r="D8" s="142" t="s">
        <v>240</v>
      </c>
      <c r="E8" s="135" t="s">
        <v>127</v>
      </c>
      <c r="F8" s="114"/>
      <c r="G8" s="143" t="s">
        <v>127</v>
      </c>
      <c r="H8" s="114"/>
      <c r="I8" s="137"/>
    </row>
    <row r="9" spans="1:9" ht="50.25" customHeight="1">
      <c r="A9" s="134"/>
      <c r="B9" s="127" t="s">
        <v>235</v>
      </c>
      <c r="C9" s="187" t="s">
        <v>382</v>
      </c>
      <c r="D9" s="188"/>
      <c r="E9" s="189"/>
      <c r="F9" s="114"/>
      <c r="G9" s="143"/>
      <c r="H9" s="114"/>
      <c r="I9" s="137"/>
    </row>
    <row r="10" spans="1:9" ht="63.75" customHeight="1">
      <c r="A10" s="134"/>
      <c r="B10" s="142" t="s">
        <v>236</v>
      </c>
      <c r="C10" s="187" t="s">
        <v>381</v>
      </c>
      <c r="D10" s="188"/>
      <c r="E10" s="189"/>
      <c r="F10" s="114"/>
      <c r="G10" s="143" t="s">
        <v>120</v>
      </c>
      <c r="H10" s="114"/>
      <c r="I10" s="144"/>
    </row>
    <row r="11" spans="1:9" ht="61.5" customHeight="1">
      <c r="A11" s="134"/>
      <c r="B11" s="142" t="s">
        <v>238</v>
      </c>
      <c r="C11" s="135" t="s">
        <v>383</v>
      </c>
      <c r="D11" s="190"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191"/>
      <c r="F11" s="114"/>
      <c r="G11" s="143"/>
      <c r="H11" s="114"/>
      <c r="I11" s="144"/>
    </row>
    <row r="12" spans="1:9" ht="69.75" customHeight="1">
      <c r="A12" s="134"/>
      <c r="B12" s="127" t="s">
        <v>341</v>
      </c>
      <c r="C12" s="139" t="s">
        <v>384</v>
      </c>
      <c r="D12" s="127" t="s">
        <v>252</v>
      </c>
      <c r="E12" s="136" t="s">
        <v>394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187" t="s">
        <v>368</v>
      </c>
      <c r="D14" s="188"/>
      <c r="E14" s="189"/>
      <c r="F14" s="114"/>
      <c r="G14" s="114"/>
      <c r="H14" s="114"/>
    </row>
    <row r="15" spans="1:9" ht="47.25" customHeight="1">
      <c r="A15" s="134"/>
      <c r="B15" s="127" t="s">
        <v>254</v>
      </c>
      <c r="C15" s="187" t="s">
        <v>368</v>
      </c>
      <c r="D15" s="188"/>
      <c r="E15" s="189"/>
      <c r="F15" s="114"/>
      <c r="G15" s="114"/>
      <c r="H15" s="114"/>
    </row>
    <row r="16" spans="1:9" ht="21" customHeight="1">
      <c r="A16" s="134"/>
      <c r="B16" s="183" t="s">
        <v>204</v>
      </c>
      <c r="C16" s="184"/>
      <c r="D16" s="184"/>
      <c r="E16" s="185"/>
      <c r="F16" s="114"/>
      <c r="G16" s="114"/>
      <c r="H16" s="114"/>
    </row>
    <row r="17" spans="1:8" ht="57" customHeight="1">
      <c r="A17" s="134"/>
      <c r="B17" s="146" t="s">
        <v>256</v>
      </c>
      <c r="C17" s="199"/>
      <c r="D17" s="200"/>
      <c r="E17" s="201"/>
      <c r="F17" s="114"/>
      <c r="G17" s="147"/>
      <c r="H17" s="148"/>
    </row>
    <row r="18" spans="1:8" ht="58.5" customHeight="1">
      <c r="A18" s="134"/>
      <c r="B18" s="149" t="s">
        <v>283</v>
      </c>
      <c r="C18" s="135"/>
      <c r="D18" s="205" t="str">
        <f>IF(C18="Nulo","No se tendrá Afectación al Servicio o Componentes",IF(C18="Parcial","Se presentará Intermitencia o Degradación en el Servicio",IF(C18="Total","Se presentará Afectación del Servicio o Componentes durante la Ventana de Tiempo","")))</f>
        <v/>
      </c>
      <c r="E18" s="206"/>
      <c r="F18" s="114"/>
      <c r="G18" s="150"/>
      <c r="H18" s="141" t="s">
        <v>124</v>
      </c>
    </row>
    <row r="19" spans="1:8" ht="51" customHeight="1">
      <c r="A19" s="134"/>
      <c r="B19" s="149" t="s">
        <v>284</v>
      </c>
      <c r="C19" s="202"/>
      <c r="D19" s="203"/>
      <c r="E19" s="204"/>
      <c r="F19" s="114"/>
      <c r="G19" s="114"/>
      <c r="H19" s="114"/>
    </row>
    <row r="20" spans="1:8" ht="51" customHeight="1">
      <c r="A20" s="134"/>
      <c r="B20" s="149" t="s">
        <v>257</v>
      </c>
      <c r="C20" s="151"/>
      <c r="D20" s="207"/>
      <c r="E20" s="208"/>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43314.75</v>
      </c>
      <c r="F23" s="114"/>
      <c r="G23" s="114"/>
      <c r="H23" s="114"/>
    </row>
    <row r="24" spans="1:8" ht="36" customHeight="1">
      <c r="A24" s="134"/>
      <c r="B24" s="149" t="s">
        <v>288</v>
      </c>
      <c r="C24" s="153" t="str">
        <f>IF(Plan!D4=0,"Selecciona VT Actividad en Pestaña Plan celda D4",Plan!D4)</f>
        <v>Selecciona VT Actividad en Pestaña Plan celda D4</v>
      </c>
      <c r="D24" s="197"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98"/>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202"/>
      <c r="D26" s="203"/>
      <c r="E26" s="204"/>
      <c r="F26" s="114"/>
      <c r="G26" s="114"/>
      <c r="H26" s="114"/>
    </row>
    <row r="27" spans="1:8" ht="39" customHeight="1">
      <c r="A27" s="134"/>
      <c r="B27" s="146" t="s">
        <v>260</v>
      </c>
      <c r="C27" s="194"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95"/>
      <c r="E27" s="196"/>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269" priority="127" operator="containsText" text="Captura los Aprobadores en la Pestaña Matriz de Comunicación">
      <formula>NOT(ISERROR(SEARCH("Captura los Aprobadores en la Pestaña Matriz de Comunicación",C27)))</formula>
    </cfRule>
    <cfRule type="containsText" dxfId="1268"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67" priority="61">
      <formula>LEN(TRIM(C23))=0</formula>
    </cfRule>
    <cfRule type="containsText" dxfId="1266" priority="173" operator="containsText" text="Captura F/H Primer Actividad pestaña Plan">
      <formula>NOT(ISERROR(SEARCH("Captura F/H Primer Actividad pestaña Plan",C23)))</formula>
    </cfRule>
  </conditionalFormatting>
  <conditionalFormatting sqref="E23">
    <cfRule type="containsText" dxfId="1265" priority="172" operator="containsText" text="Captura Actividad Macro FIN en Pestaña Plan">
      <formula>NOT(ISERROR(SEARCH("Captura Actividad Macro FIN en Pestaña Plan",E23)))</formula>
    </cfRule>
  </conditionalFormatting>
  <conditionalFormatting sqref="D24:E24">
    <cfRule type="containsText" dxfId="1264" priority="170" operator="containsText" text="Selecciona en la pestaña Plan la opción en la Celda D4">
      <formula>NOT(ISERROR(SEARCH("Selecciona en la pestaña Plan la opción en la Celda D4",D24)))</formula>
    </cfRule>
  </conditionalFormatting>
  <conditionalFormatting sqref="C6">
    <cfRule type="containsBlanks" dxfId="1263" priority="190">
      <formula>LEN(TRIM(C6))=0</formula>
    </cfRule>
  </conditionalFormatting>
  <conditionalFormatting sqref="E6">
    <cfRule type="containsBlanks" dxfId="1262" priority="191">
      <formula>LEN(TRIM(E6))=0</formula>
    </cfRule>
  </conditionalFormatting>
  <conditionalFormatting sqref="C8">
    <cfRule type="containsBlanks" dxfId="1261" priority="195">
      <formula>LEN(TRIM(C8))=0</formula>
    </cfRule>
  </conditionalFormatting>
  <conditionalFormatting sqref="C9">
    <cfRule type="containsBlanks" dxfId="1260" priority="196">
      <formula>LEN(TRIM(C9))=0</formula>
    </cfRule>
  </conditionalFormatting>
  <conditionalFormatting sqref="C10">
    <cfRule type="containsBlanks" dxfId="1259" priority="197">
      <formula>LEN(TRIM(C10))=0</formula>
    </cfRule>
  </conditionalFormatting>
  <conditionalFormatting sqref="C12">
    <cfRule type="containsBlanks" dxfId="1258" priority="198">
      <formula>LEN(TRIM(C12))=0</formula>
    </cfRule>
  </conditionalFormatting>
  <conditionalFormatting sqref="C11">
    <cfRule type="containsBlanks" dxfId="1257" priority="199">
      <formula>LEN(TRIM(C11))=0</formula>
    </cfRule>
  </conditionalFormatting>
  <conditionalFormatting sqref="C13">
    <cfRule type="containsBlanks" dxfId="1256" priority="200">
      <formula>LEN(TRIM(C13))=0</formula>
    </cfRule>
  </conditionalFormatting>
  <conditionalFormatting sqref="E13">
    <cfRule type="containsBlanks" dxfId="1255" priority="201">
      <formula>LEN(TRIM(E13))=0</formula>
    </cfRule>
  </conditionalFormatting>
  <conditionalFormatting sqref="C14">
    <cfRule type="containsBlanks" dxfId="1254" priority="202">
      <formula>LEN(TRIM(C14))=0</formula>
    </cfRule>
  </conditionalFormatting>
  <conditionalFormatting sqref="C15">
    <cfRule type="containsBlanks" dxfId="1253" priority="203">
      <formula>LEN(TRIM(C15))=0</formula>
    </cfRule>
  </conditionalFormatting>
  <conditionalFormatting sqref="E5">
    <cfRule type="containsBlanks" dxfId="1252" priority="194">
      <formula>LEN(TRIM(E5))=0</formula>
    </cfRule>
  </conditionalFormatting>
  <conditionalFormatting sqref="C17">
    <cfRule type="containsBlanks" dxfId="1251" priority="189">
      <formula>LEN(TRIM(C17))=0</formula>
    </cfRule>
  </conditionalFormatting>
  <conditionalFormatting sqref="C18">
    <cfRule type="containsBlanks" dxfId="1250" priority="188">
      <formula>LEN(TRIM(C18))=0</formula>
    </cfRule>
  </conditionalFormatting>
  <conditionalFormatting sqref="E7">
    <cfRule type="containsBlanks" dxfId="1249" priority="77">
      <formula>LEN(TRIM(E7))=0</formula>
    </cfRule>
  </conditionalFormatting>
  <conditionalFormatting sqref="C7">
    <cfRule type="containsBlanks" dxfId="1248" priority="75">
      <formula>LEN(TRIM(C7))=0</formula>
    </cfRule>
  </conditionalFormatting>
  <conditionalFormatting sqref="C19:C20">
    <cfRule type="containsBlanks" dxfId="1247" priority="71">
      <formula>LEN(TRIM(C19))=0</formula>
    </cfRule>
  </conditionalFormatting>
  <conditionalFormatting sqref="C21">
    <cfRule type="containsBlanks" dxfId="1246" priority="69">
      <formula>LEN(TRIM(C21))=0</formula>
    </cfRule>
  </conditionalFormatting>
  <conditionalFormatting sqref="E21">
    <cfRule type="containsBlanks" dxfId="1245" priority="67">
      <formula>LEN(TRIM(E21))=0</formula>
    </cfRule>
  </conditionalFormatting>
  <conditionalFormatting sqref="E22">
    <cfRule type="containsBlanks" dxfId="1244" priority="63">
      <formula>LEN(TRIM(E22))=0</formula>
    </cfRule>
  </conditionalFormatting>
  <conditionalFormatting sqref="C24">
    <cfRule type="containsText" dxfId="1243" priority="14" operator="containsText" text="Selecciona VT Actividad en Pestaña Plan celda D4">
      <formula>NOT(ISERROR(SEARCH("Selecciona VT Actividad en Pestaña Plan celda D4",C24)))</formula>
    </cfRule>
    <cfRule type="containsBlanks" dxfId="1242" priority="59">
      <formula>LEN(TRIM(C24))=0</formula>
    </cfRule>
    <cfRule type="containsText" dxfId="1241" priority="60" operator="containsText" text="Captura F/H Primer Actividad pestaña Plan">
      <formula>NOT(ISERROR(SEARCH("Captura F/H Primer Actividad pestaña Plan",C24)))</formula>
    </cfRule>
  </conditionalFormatting>
  <conditionalFormatting sqref="C25">
    <cfRule type="containsText" dxfId="1240" priority="13" operator="containsText" text="Captura Actividad Macro VTI pestaña PIan">
      <formula>NOT(ISERROR(SEARCH("Captura Actividad Macro VTI pestaña PIan",C25)))</formula>
    </cfRule>
    <cfRule type="containsText" dxfId="1239" priority="58" operator="containsText" text="Captura F/H Primer Actividad pestaña Plan">
      <formula>NOT(ISERROR(SEARCH("Captura F/H Primer Actividad pestaña Plan",C25)))</formula>
    </cfRule>
  </conditionalFormatting>
  <conditionalFormatting sqref="E25">
    <cfRule type="containsText" dxfId="1238" priority="12" operator="containsText" text="Captura Actividad Macro VTF Pestaña Plan">
      <formula>NOT(ISERROR(SEARCH("Captura Actividad Macro VTF Pestaña Plan",E25)))</formula>
    </cfRule>
    <cfRule type="containsText" dxfId="1237" priority="56" operator="containsText" text="Captura F/H Primer Actividad pestaña Plan">
      <formula>NOT(ISERROR(SEARCH("Captura F/H Primer Actividad pestaña Plan",E25)))</formula>
    </cfRule>
  </conditionalFormatting>
  <conditionalFormatting sqref="C26">
    <cfRule type="containsBlanks" dxfId="1236" priority="54">
      <formula>LEN(TRIM(C26))=0</formula>
    </cfRule>
  </conditionalFormatting>
  <conditionalFormatting sqref="C22">
    <cfRule type="containsBlanks" dxfId="1235" priority="52">
      <formula>LEN(TRIM(C22))=0</formula>
    </cfRule>
  </conditionalFormatting>
  <conditionalFormatting sqref="G29">
    <cfRule type="containsBlanks" dxfId="1234" priority="192">
      <formula>LEN(TRIM(G29))=0</formula>
    </cfRule>
  </conditionalFormatting>
  <conditionalFormatting sqref="C29">
    <cfRule type="containsText" dxfId="1233" priority="46" operator="containsText" text="Captura F/H Primer Actividad pestaña Plan">
      <formula>NOT(ISERROR(SEARCH("Captura F/H Primer Actividad pestaña Plan",C29)))</formula>
    </cfRule>
    <cfRule type="containsBlanks" dxfId="1232" priority="193">
      <formula>LEN(TRIM(C29))=0</formula>
    </cfRule>
  </conditionalFormatting>
  <conditionalFormatting sqref="E29">
    <cfRule type="containsText" dxfId="1231" priority="43" operator="containsText" text="Captura F/H Primer Actividad pestaña Plan">
      <formula>NOT(ISERROR(SEARCH("Captura F/H Primer Actividad pestaña Plan",E29)))</formula>
    </cfRule>
    <cfRule type="containsBlanks" dxfId="1230" priority="44">
      <formula>LEN(TRIM(E29))=0</formula>
    </cfRule>
  </conditionalFormatting>
  <conditionalFormatting sqref="C31">
    <cfRule type="containsText" dxfId="1229" priority="37" operator="containsText" text="Captura F/H Primer Actividad pestaña Plan">
      <formula>NOT(ISERROR(SEARCH("Captura F/H Primer Actividad pestaña Plan",C31)))</formula>
    </cfRule>
    <cfRule type="containsBlanks" dxfId="1228" priority="38">
      <formula>LEN(TRIM(C31))=0</formula>
    </cfRule>
  </conditionalFormatting>
  <conditionalFormatting sqref="E31">
    <cfRule type="containsText" dxfId="1227" priority="35" operator="containsText" text="Captura F/H Primer Actividad pestaña Plan">
      <formula>NOT(ISERROR(SEARCH("Captura F/H Primer Actividad pestaña Plan",E31)))</formula>
    </cfRule>
    <cfRule type="containsBlanks" dxfId="1226" priority="36">
      <formula>LEN(TRIM(E31))=0</formula>
    </cfRule>
  </conditionalFormatting>
  <conditionalFormatting sqref="C32">
    <cfRule type="containsText" dxfId="1225" priority="33" operator="containsText" text="Captura F/H Primer Actividad pestaña Plan">
      <formula>NOT(ISERROR(SEARCH("Captura F/H Primer Actividad pestaña Plan",C32)))</formula>
    </cfRule>
    <cfRule type="containsBlanks" dxfId="1224" priority="34">
      <formula>LEN(TRIM(C32))=0</formula>
    </cfRule>
  </conditionalFormatting>
  <conditionalFormatting sqref="E32">
    <cfRule type="containsText" dxfId="1223" priority="31" operator="containsText" text="Captura F/H Primer Actividad pestaña Plan">
      <formula>NOT(ISERROR(SEARCH("Captura F/H Primer Actividad pestaña Plan",E32)))</formula>
    </cfRule>
    <cfRule type="containsBlanks" dxfId="1222" priority="32">
      <formula>LEN(TRIM(E32))=0</formula>
    </cfRule>
  </conditionalFormatting>
  <conditionalFormatting sqref="G18">
    <cfRule type="containsBlanks" dxfId="1221" priority="30">
      <formula>LEN(TRIM(G18))=0</formula>
    </cfRule>
  </conditionalFormatting>
  <conditionalFormatting sqref="G7">
    <cfRule type="containsBlanks" dxfId="1220" priority="28">
      <formula>LEN(TRIM(G7))=0</formula>
    </cfRule>
  </conditionalFormatting>
  <conditionalFormatting sqref="C33">
    <cfRule type="containsBlanks" dxfId="1219" priority="22">
      <formula>LEN(TRIM(C33))=0</formula>
    </cfRule>
  </conditionalFormatting>
  <conditionalFormatting sqref="E33">
    <cfRule type="containsBlanks" dxfId="1218" priority="20">
      <formula>LEN(TRIM(E33))=0</formula>
    </cfRule>
  </conditionalFormatting>
  <conditionalFormatting sqref="E12">
    <cfRule type="containsBlanks" dxfId="1217" priority="18">
      <formula>LEN(TRIM(E12))=0</formula>
    </cfRule>
  </conditionalFormatting>
  <conditionalFormatting sqref="E8">
    <cfRule type="containsBlanks" dxfId="1216" priority="16">
      <formula>LEN(TRIM(E8))=0</formula>
    </cfRule>
  </conditionalFormatting>
  <conditionalFormatting sqref="E30">
    <cfRule type="containsText" dxfId="1215" priority="8" operator="containsText" text="Captura F/H Primer Actividad pestaña Plan">
      <formula>NOT(ISERROR(SEARCH("Captura F/H Primer Actividad pestaña Plan",E30)))</formula>
    </cfRule>
    <cfRule type="containsBlanks" dxfId="1214" priority="9">
      <formula>LEN(TRIM(E30))=0</formula>
    </cfRule>
  </conditionalFormatting>
  <conditionalFormatting sqref="C30">
    <cfRule type="containsText" dxfId="1213" priority="2" operator="containsText" text="Captura F/H Primer Actividad pestaña Plan">
      <formula>NOT(ISERROR(SEARCH("Captura F/H Primer Actividad pestaña Plan",C30)))</formula>
    </cfRule>
    <cfRule type="containsBlanks" dxfId="1212" priority="3">
      <formula>LEN(TRIM(C30))=0</formula>
    </cfRule>
  </conditionalFormatting>
  <conditionalFormatting sqref="C5">
    <cfRule type="containsBlanks" dxfId="1211"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xr:uid="{00000000-0002-0000-0000-000000000000}"/>
    <dataValidation allowBlank="1" showInputMessage="1" showErrorMessage="1" promptTitle="Indetificador de el SAT" prompt="Mensaje" sqref="B5" xr:uid="{00000000-0002-0000-0000-000001000000}"/>
    <dataValidation type="list" allowBlank="1" showInputMessage="1" showErrorMessage="1" error="Debe Capturar Información de la Lista Desplgable" prompt="Selecciona el Ambiente donde se pretende realizar el Cambio" sqref="E8" xr:uid="{00000000-0002-0000-0000-000002000000}">
      <formula1>$G$8:$G$10</formula1>
    </dataValidation>
    <dataValidation type="list" allowBlank="1" showInputMessage="1" showErrorMessage="1" error="Debe Capturar Información de la Lista Desplgable" prompt="Selecciona Opción de Lista" sqref="C7" xr:uid="{00000000-0002-0000-0000-000003000000}">
      <formula1>"Contribuyentes, Empleados, Locales, Aduanas, N/A"</formula1>
    </dataValidation>
    <dataValidation type="list" allowBlank="1" showInputMessage="1" showErrorMessage="1" error="Debe Capturar Información de la Lista Desplgable" prompt="Selecciona Opción de Lista" sqref="C13" xr:uid="{00000000-0002-0000-0000-000004000000}">
      <formula1>"Si, No"</formula1>
    </dataValidation>
    <dataValidation type="list" allowBlank="1" showInputMessage="1" showErrorMessage="1" error="Debe Capturar Información de la Lista Desplgable" prompt="Selecciona Opción de Lista" sqref="C22" xr:uid="{00000000-0002-0000-0000-000005000000}">
      <formula1>"Viable, No Viable, Otras alternativas"</formula1>
    </dataValidation>
    <dataValidation allowBlank="1" showInputMessage="1" prompt="Campo depende de Info de Pestaña Plan en la Actividad Macro VTF" sqref="E25" xr:uid="{00000000-0002-0000-0000-000006000000}"/>
    <dataValidation type="textLength" operator="lessThan" allowBlank="1" showInputMessage="1" showErrorMessage="1" prompt="Breve explicación del Objetivo_x000a_maximo 6 renglones" sqref="C8" xr:uid="{00000000-0002-0000-0000-000007000000}">
      <formula1>355</formula1>
    </dataValidation>
    <dataValidation type="textLength" operator="lessThanOrEqual" allowBlank="1" showInputMessage="1" showErrorMessage="1" prompt="Permite captura de información _x000a_maximo 10 renglones" sqref="C9" xr:uid="{00000000-0002-0000-0000-000008000000}">
      <formula1>1500</formula1>
    </dataValidation>
    <dataValidation type="textLength" operator="lessThan" allowBlank="1" showInputMessage="1" showErrorMessage="1" error="Permite solo 255 caracteres" prompt="Permite captura de información _x000a_maximo 4 renglones" sqref="C10 D10:E10" xr:uid="{00000000-0002-0000-0000-00000900000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xr:uid="{00000000-0002-0000-0000-00000A000000}">
      <formula1>"Estándar,Normal,Emergente"</formula1>
    </dataValidation>
    <dataValidation allowBlank="1" showInputMessage="1" prompt="Campo depende de Info de Pestaña Plan en la Actividad Macro FIN" sqref="E23" xr:uid="{00000000-0002-0000-0000-00000B000000}"/>
    <dataValidation allowBlank="1" showInputMessage="1" showErrorMessage="1" prompt="Campo depende de la selecciónde de Info celda D4 de la Pestaña Plan en la Actividad Macro VT" sqref="C24" xr:uid="{00000000-0002-0000-0000-00000C000000}"/>
    <dataValidation allowBlank="1" showInputMessage="1" prompt="Campo depende de Info de Pestaña Plan en la Actividad Macro VTI" sqref="C25" xr:uid="{00000000-0002-0000-0000-00000D000000}"/>
    <dataValidation allowBlank="1" showInputMessage="1" showErrorMessage="1" prompt="Campo depende de Info de Pestaña Matriz de Comunicación Aprobador(es)" sqref="C27:E27" xr:uid="{00000000-0002-0000-0000-00000E000000}"/>
    <dataValidation type="list" allowBlank="1" showInputMessage="1" showErrorMessage="1" prompt="Selecciona Tipo de Impacto de Lista" sqref="C18" xr:uid="{00000000-0002-0000-0000-00000F000000}">
      <formula1>"Nulo,Parcial,Total"</formula1>
    </dataValidation>
    <dataValidation allowBlank="1" showInputMessage="1" showErrorMessage="1" prompt="Campo depende de Info de Pestaña Plan en la Actividad Macro INI" sqref="C23" xr:uid="{00000000-0002-0000-0000-000010000000}"/>
    <dataValidation type="list" allowBlank="1" showInputMessage="1" showErrorMessage="1" prompt="Selecciona Opción de Lista" sqref="C33 C30" xr:uid="{00000000-0002-0000-0000-000011000000}">
      <formula1>"Exitoso,No Exitoso"</formula1>
    </dataValidation>
    <dataValidation type="list" allowBlank="1" showInputMessage="1" showErrorMessage="1" sqref="C20" xr:uid="{00000000-0002-0000-0000-000012000000}">
      <formula1>"Si,No"</formula1>
    </dataValidation>
    <dataValidation type="textLength" operator="lessThan" allowBlank="1" showInputMessage="1" showErrorMessage="1" error="Permite solo 255 caracteres" sqref="D11:E11" xr:uid="{00000000-0002-0000-0000-000013000000}">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J294"/>
  <sheetViews>
    <sheetView zoomScaleNormal="100" workbookViewId="0">
      <selection activeCell="C7" sqref="C7:D7"/>
    </sheetView>
  </sheetViews>
  <sheetFormatPr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23.25" customHeight="1">
      <c r="C4" s="212" t="s">
        <v>13</v>
      </c>
      <c r="D4" s="212"/>
      <c r="E4" s="122" t="s">
        <v>14</v>
      </c>
      <c r="F4" s="123" t="s">
        <v>319</v>
      </c>
      <c r="G4" s="123" t="s">
        <v>15</v>
      </c>
      <c r="H4" s="123" t="s">
        <v>16</v>
      </c>
    </row>
    <row r="5" spans="3:8" ht="31.5" customHeight="1">
      <c r="C5" s="210" t="s">
        <v>396</v>
      </c>
      <c r="D5" s="211"/>
      <c r="E5" s="90" t="s">
        <v>397</v>
      </c>
      <c r="F5" s="125" t="s">
        <v>391</v>
      </c>
      <c r="G5" s="126"/>
      <c r="H5" s="126"/>
    </row>
    <row r="6" spans="3:8" ht="36.75">
      <c r="C6" s="210" t="s">
        <v>400</v>
      </c>
      <c r="D6" s="211"/>
      <c r="E6" s="90" t="s">
        <v>401</v>
      </c>
      <c r="F6" s="125" t="s">
        <v>392</v>
      </c>
      <c r="G6" s="125"/>
      <c r="H6" s="126"/>
    </row>
    <row r="7" spans="3:8" ht="40.5" customHeight="1">
      <c r="C7" s="210" t="s">
        <v>398</v>
      </c>
      <c r="D7" s="211"/>
      <c r="E7" s="90" t="s">
        <v>399</v>
      </c>
      <c r="F7" s="125" t="s">
        <v>392</v>
      </c>
      <c r="G7" s="125"/>
      <c r="H7" s="126"/>
    </row>
    <row r="8" spans="3:8" ht="13.5">
      <c r="C8" s="210"/>
      <c r="D8" s="211"/>
      <c r="E8" s="90"/>
      <c r="F8" s="125"/>
      <c r="G8" s="125"/>
      <c r="H8" s="126"/>
    </row>
    <row r="9" spans="3:8" ht="12.75" customHeight="1">
      <c r="C9" s="210"/>
      <c r="D9" s="211"/>
      <c r="E9" s="124"/>
      <c r="F9" s="125"/>
      <c r="G9" s="125"/>
      <c r="H9" s="126"/>
    </row>
    <row r="10" spans="3:8" ht="12.75" customHeight="1">
      <c r="C10" s="210"/>
      <c r="D10" s="211"/>
      <c r="E10" s="124"/>
      <c r="F10" s="125"/>
      <c r="G10" s="125"/>
      <c r="H10" s="126"/>
    </row>
    <row r="11" spans="3:8" ht="12.75" customHeight="1">
      <c r="C11" s="210"/>
      <c r="D11" s="211"/>
      <c r="E11" s="124"/>
      <c r="F11" s="125"/>
      <c r="G11" s="125"/>
      <c r="H11" s="126"/>
    </row>
    <row r="12" spans="3:8" ht="12.75" customHeight="1">
      <c r="C12" s="210"/>
      <c r="D12" s="211"/>
      <c r="E12" s="124"/>
      <c r="F12" s="125"/>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09"/>
      <c r="D18" s="209"/>
      <c r="E18" s="124"/>
      <c r="F18" s="125"/>
      <c r="G18" s="124"/>
      <c r="H18" s="126"/>
    </row>
    <row r="19" spans="3:8" ht="12.75" customHeight="1">
      <c r="C19" s="209"/>
      <c r="D19" s="209"/>
      <c r="E19" s="124"/>
      <c r="F19" s="125"/>
      <c r="G19" s="124"/>
      <c r="H19" s="126"/>
    </row>
    <row r="20" spans="3:8" ht="12.75" customHeight="1">
      <c r="C20" s="209"/>
      <c r="D20" s="209"/>
      <c r="E20" s="124"/>
      <c r="F20" s="125"/>
      <c r="G20" s="124"/>
      <c r="H20" s="126"/>
    </row>
    <row r="21" spans="3:8" ht="12.75" customHeight="1">
      <c r="C21" s="209"/>
      <c r="D21" s="209"/>
      <c r="E21" s="124"/>
      <c r="F21" s="124"/>
      <c r="G21" s="126"/>
      <c r="H21" s="126"/>
    </row>
    <row r="22" spans="3:8" ht="12.75" customHeight="1">
      <c r="C22" s="209"/>
      <c r="D22" s="209"/>
      <c r="E22" s="124"/>
      <c r="F22" s="124"/>
      <c r="G22" s="126"/>
      <c r="H22" s="126"/>
    </row>
    <row r="23" spans="3:8" ht="12.75" customHeight="1">
      <c r="C23" s="209"/>
      <c r="D23" s="209"/>
      <c r="E23" s="124"/>
      <c r="F23" s="124"/>
      <c r="G23" s="126"/>
      <c r="H23" s="126"/>
    </row>
    <row r="24" spans="3:8" ht="12.75" customHeight="1">
      <c r="C24" s="209"/>
      <c r="D24" s="209"/>
      <c r="E24" s="124"/>
      <c r="F24" s="124"/>
      <c r="G24" s="126"/>
      <c r="H24" s="126"/>
    </row>
    <row r="25" spans="3:8" ht="12.75" customHeight="1">
      <c r="C25" s="209"/>
      <c r="D25" s="209"/>
      <c r="E25" s="124"/>
      <c r="F25" s="124"/>
      <c r="G25" s="126"/>
      <c r="H25" s="126"/>
    </row>
    <row r="26" spans="3:8" ht="12.75" customHeight="1">
      <c r="C26" s="209"/>
      <c r="D26" s="209"/>
      <c r="E26" s="124"/>
      <c r="F26" s="124"/>
      <c r="G26" s="126"/>
      <c r="H26" s="126"/>
    </row>
    <row r="27" spans="3:8" ht="12.75" customHeight="1">
      <c r="C27" s="209"/>
      <c r="D27" s="209"/>
      <c r="E27" s="124"/>
      <c r="F27" s="124"/>
      <c r="G27" s="126"/>
      <c r="H27" s="126"/>
    </row>
    <row r="28" spans="3:8" ht="12.75" customHeight="1">
      <c r="C28" s="209"/>
      <c r="D28" s="209"/>
      <c r="E28" s="124"/>
      <c r="F28" s="124"/>
      <c r="G28" s="126"/>
      <c r="H28" s="126"/>
    </row>
    <row r="29" spans="3:8" ht="12.75" customHeight="1">
      <c r="C29" s="209"/>
      <c r="D29" s="209"/>
      <c r="E29" s="124"/>
      <c r="F29" s="124"/>
      <c r="G29" s="126"/>
      <c r="H29" s="126"/>
    </row>
    <row r="30" spans="3:8" ht="12.75" customHeight="1">
      <c r="C30" s="209"/>
      <c r="D30" s="209"/>
      <c r="E30" s="124"/>
      <c r="F30" s="124"/>
      <c r="G30" s="126"/>
      <c r="H30" s="126"/>
    </row>
    <row r="31" spans="3:8" ht="12.75" customHeight="1">
      <c r="C31" s="209"/>
      <c r="D31" s="209"/>
      <c r="E31" s="124"/>
      <c r="F31" s="124"/>
      <c r="G31" s="126"/>
      <c r="H31" s="126"/>
    </row>
    <row r="32" spans="3:8" ht="12.75" customHeight="1">
      <c r="C32" s="209"/>
      <c r="D32" s="209"/>
      <c r="E32" s="124"/>
      <c r="F32" s="124"/>
      <c r="G32" s="126"/>
      <c r="H32" s="126"/>
    </row>
    <row r="33" spans="3:8" ht="12.75" customHeight="1">
      <c r="C33" s="209"/>
      <c r="D33" s="209"/>
      <c r="E33" s="124"/>
      <c r="F33" s="124"/>
      <c r="G33" s="126"/>
      <c r="H33" s="126"/>
    </row>
    <row r="34" spans="3:8" ht="12.75" customHeight="1">
      <c r="C34" s="209"/>
      <c r="D34" s="209"/>
      <c r="E34" s="124"/>
      <c r="F34" s="124"/>
      <c r="G34" s="126"/>
      <c r="H34" s="126"/>
    </row>
    <row r="35" spans="3:8" ht="12.75" customHeight="1">
      <c r="C35" s="209"/>
      <c r="D35" s="209"/>
      <c r="E35" s="124"/>
      <c r="F35" s="124"/>
      <c r="G35" s="126"/>
      <c r="H35" s="126"/>
    </row>
    <row r="36" spans="3:8" ht="12.75" customHeight="1">
      <c r="C36" s="209"/>
      <c r="D36" s="209"/>
      <c r="E36" s="124"/>
      <c r="F36" s="124"/>
      <c r="G36" s="126"/>
      <c r="H36" s="126"/>
    </row>
    <row r="37" spans="3:8" ht="12.75" customHeight="1">
      <c r="C37" s="209"/>
      <c r="D37" s="209"/>
      <c r="E37" s="124"/>
      <c r="F37" s="124"/>
      <c r="G37" s="126"/>
      <c r="H37" s="126"/>
    </row>
    <row r="38" spans="3:8" ht="12.75" customHeight="1">
      <c r="C38" s="209"/>
      <c r="D38" s="209"/>
      <c r="E38" s="124"/>
      <c r="F38" s="124"/>
      <c r="G38" s="126"/>
      <c r="H38" s="126"/>
    </row>
    <row r="39" spans="3:8" ht="12.75" customHeight="1">
      <c r="C39" s="209"/>
      <c r="D39" s="209"/>
      <c r="E39" s="124"/>
      <c r="F39" s="124"/>
      <c r="G39" s="126"/>
      <c r="H39" s="126"/>
    </row>
    <row r="40" spans="3:8" ht="12.75" customHeight="1">
      <c r="C40" s="209"/>
      <c r="D40" s="209"/>
      <c r="E40" s="124"/>
      <c r="F40" s="124"/>
      <c r="G40" s="126"/>
      <c r="H40" s="126"/>
    </row>
    <row r="41" spans="3:8" ht="12.75" customHeight="1">
      <c r="C41" s="209"/>
      <c r="D41" s="209"/>
      <c r="E41" s="124"/>
      <c r="F41" s="124"/>
      <c r="G41" s="126"/>
      <c r="H41" s="126"/>
    </row>
    <row r="42" spans="3:8" ht="12.75" customHeight="1">
      <c r="C42" s="209"/>
      <c r="D42" s="209"/>
      <c r="E42" s="124"/>
      <c r="F42" s="124"/>
      <c r="G42" s="126"/>
      <c r="H42" s="126"/>
    </row>
    <row r="43" spans="3:8" ht="12.75" customHeight="1">
      <c r="C43" s="209"/>
      <c r="D43" s="209"/>
      <c r="E43" s="124"/>
      <c r="F43" s="124"/>
      <c r="G43" s="126"/>
      <c r="H43" s="126"/>
    </row>
    <row r="44" spans="3:8" ht="12.75" customHeight="1">
      <c r="C44" s="209"/>
      <c r="D44" s="209"/>
      <c r="E44" s="124"/>
      <c r="F44" s="124"/>
      <c r="G44" s="126"/>
      <c r="H44" s="126"/>
    </row>
    <row r="45" spans="3:8" ht="12.75" customHeight="1">
      <c r="C45" s="209"/>
      <c r="D45" s="209"/>
      <c r="E45" s="124"/>
      <c r="F45" s="124"/>
      <c r="G45" s="126"/>
      <c r="H45" s="126"/>
    </row>
    <row r="46" spans="3:8" ht="12.75" customHeight="1">
      <c r="C46" s="209"/>
      <c r="D46" s="209"/>
      <c r="E46" s="124"/>
      <c r="F46" s="124"/>
      <c r="G46" s="126"/>
      <c r="H46" s="126"/>
    </row>
    <row r="47" spans="3:8" ht="12.75" customHeight="1">
      <c r="C47" s="209"/>
      <c r="D47" s="209"/>
      <c r="E47" s="124"/>
      <c r="F47" s="124"/>
      <c r="G47" s="126"/>
      <c r="H47" s="126"/>
    </row>
    <row r="48" spans="3:8" ht="12.75" customHeight="1">
      <c r="C48" s="209"/>
      <c r="D48" s="209"/>
      <c r="E48" s="124"/>
      <c r="F48" s="124"/>
      <c r="G48" s="126"/>
      <c r="H48" s="126"/>
    </row>
    <row r="49" spans="3:8" ht="12.75" customHeight="1">
      <c r="C49" s="209"/>
      <c r="D49" s="209"/>
      <c r="E49" s="124"/>
      <c r="F49" s="124"/>
      <c r="G49" s="126"/>
      <c r="H49" s="126"/>
    </row>
    <row r="50" spans="3:8" ht="12.75" customHeight="1">
      <c r="C50" s="209"/>
      <c r="D50" s="209"/>
      <c r="E50" s="124"/>
      <c r="F50" s="124"/>
      <c r="G50" s="126"/>
      <c r="H50" s="126"/>
    </row>
    <row r="51" spans="3:8" ht="12.75" customHeight="1">
      <c r="C51" s="209"/>
      <c r="D51" s="209"/>
      <c r="E51" s="124"/>
      <c r="F51" s="124"/>
      <c r="G51" s="126"/>
      <c r="H51" s="126"/>
    </row>
    <row r="52" spans="3:8" ht="12.75" customHeight="1">
      <c r="C52" s="209"/>
      <c r="D52" s="209"/>
      <c r="E52" s="124"/>
      <c r="F52" s="124"/>
      <c r="G52" s="126"/>
      <c r="H52" s="126"/>
    </row>
    <row r="53" spans="3:8" ht="12.75" customHeight="1">
      <c r="C53" s="209"/>
      <c r="D53" s="209"/>
      <c r="E53" s="124"/>
      <c r="F53" s="124"/>
      <c r="G53" s="126"/>
      <c r="H53" s="126"/>
    </row>
    <row r="54" spans="3:8" ht="12.75" customHeight="1">
      <c r="C54" s="209"/>
      <c r="D54" s="209"/>
      <c r="E54" s="124"/>
      <c r="F54" s="124"/>
      <c r="G54" s="126"/>
      <c r="H54" s="126"/>
    </row>
    <row r="55" spans="3:8" ht="12.75" customHeight="1">
      <c r="C55" s="209"/>
      <c r="D55" s="209"/>
      <c r="E55" s="124"/>
      <c r="F55" s="124"/>
      <c r="G55" s="126"/>
      <c r="H55" s="126"/>
    </row>
    <row r="56" spans="3:8" ht="12.75" customHeight="1">
      <c r="C56" s="209"/>
      <c r="D56" s="209"/>
      <c r="E56" s="124"/>
      <c r="F56" s="124"/>
      <c r="G56" s="126"/>
      <c r="H56" s="126"/>
    </row>
    <row r="57" spans="3:8" ht="12.75" customHeight="1">
      <c r="C57" s="209"/>
      <c r="D57" s="209"/>
      <c r="E57" s="124"/>
      <c r="F57" s="124"/>
      <c r="G57" s="126"/>
      <c r="H57" s="126"/>
    </row>
    <row r="58" spans="3:8" ht="12.75" customHeight="1">
      <c r="C58" s="209"/>
      <c r="D58" s="209"/>
      <c r="E58" s="124"/>
      <c r="F58" s="124"/>
      <c r="G58" s="126"/>
      <c r="H58" s="126"/>
    </row>
    <row r="59" spans="3:8" ht="12.75" customHeight="1">
      <c r="C59" s="209"/>
      <c r="D59" s="209"/>
      <c r="E59" s="124"/>
      <c r="F59" s="124"/>
      <c r="G59" s="126"/>
      <c r="H59" s="126"/>
    </row>
    <row r="60" spans="3:8" ht="12.75" customHeight="1">
      <c r="C60" s="209"/>
      <c r="D60" s="209"/>
      <c r="E60" s="124"/>
      <c r="F60" s="124"/>
      <c r="G60" s="126"/>
      <c r="H60" s="126"/>
    </row>
    <row r="61" spans="3:8" ht="12.75" customHeight="1">
      <c r="C61" s="209"/>
      <c r="D61" s="209"/>
      <c r="E61" s="124"/>
      <c r="F61" s="124"/>
      <c r="G61" s="126"/>
      <c r="H61" s="126"/>
    </row>
    <row r="62" spans="3:8" ht="12.75" customHeight="1">
      <c r="C62" s="209"/>
      <c r="D62" s="209"/>
      <c r="E62" s="124"/>
      <c r="F62" s="124"/>
      <c r="G62" s="126"/>
      <c r="H62" s="126"/>
    </row>
    <row r="63" spans="3:8" ht="12.75" customHeight="1">
      <c r="C63" s="209"/>
      <c r="D63" s="209"/>
      <c r="E63" s="124"/>
      <c r="F63" s="124"/>
      <c r="G63" s="126"/>
      <c r="H63" s="126"/>
    </row>
    <row r="64" spans="3:8" ht="12.75" customHeight="1">
      <c r="C64" s="209"/>
      <c r="D64" s="209"/>
      <c r="E64" s="124"/>
      <c r="F64" s="124"/>
      <c r="G64" s="126"/>
      <c r="H64" s="126"/>
    </row>
    <row r="65" spans="3:8" ht="12.75" customHeight="1">
      <c r="C65" s="209"/>
      <c r="D65" s="209"/>
      <c r="E65" s="124"/>
      <c r="F65" s="124"/>
      <c r="G65" s="126"/>
      <c r="H65" s="126"/>
    </row>
    <row r="66" spans="3:8" ht="12.75" customHeight="1">
      <c r="C66" s="209"/>
      <c r="D66" s="209"/>
      <c r="E66" s="124"/>
      <c r="F66" s="124"/>
      <c r="G66" s="126"/>
      <c r="H66" s="126"/>
    </row>
    <row r="67" spans="3:8" ht="12.75" customHeight="1">
      <c r="C67" s="209"/>
      <c r="D67" s="209"/>
      <c r="E67" s="124"/>
      <c r="F67" s="124"/>
      <c r="G67" s="126"/>
      <c r="H67" s="126"/>
    </row>
    <row r="68" spans="3:8" ht="12.75" customHeight="1">
      <c r="C68" s="209"/>
      <c r="D68" s="209"/>
      <c r="E68" s="124"/>
      <c r="F68" s="124"/>
      <c r="G68" s="126"/>
      <c r="H68" s="126"/>
    </row>
    <row r="69" spans="3:8" ht="12.75" customHeight="1">
      <c r="C69" s="209"/>
      <c r="D69" s="209"/>
      <c r="E69" s="124"/>
      <c r="F69" s="124"/>
      <c r="G69" s="126"/>
      <c r="H69" s="126"/>
    </row>
    <row r="70" spans="3:8" ht="12.75" customHeight="1">
      <c r="C70" s="209"/>
      <c r="D70" s="209"/>
      <c r="E70" s="124"/>
      <c r="F70" s="124"/>
      <c r="G70" s="126"/>
      <c r="H70" s="126"/>
    </row>
    <row r="71" spans="3:8" ht="12.75" customHeight="1">
      <c r="C71" s="209"/>
      <c r="D71" s="209"/>
      <c r="E71" s="124"/>
      <c r="F71" s="124"/>
      <c r="G71" s="126"/>
      <c r="H71" s="126"/>
    </row>
    <row r="72" spans="3:8" ht="12.75" customHeight="1">
      <c r="C72" s="209"/>
      <c r="D72" s="209"/>
      <c r="E72" s="124"/>
      <c r="F72" s="124"/>
      <c r="G72" s="126"/>
      <c r="H72" s="126"/>
    </row>
    <row r="73" spans="3:8" ht="12.75" customHeight="1">
      <c r="C73" s="209"/>
      <c r="D73" s="209"/>
      <c r="E73" s="124"/>
      <c r="F73" s="124"/>
      <c r="G73" s="126"/>
      <c r="H73" s="126"/>
    </row>
    <row r="74" spans="3:8" ht="12.75" customHeight="1">
      <c r="C74" s="209"/>
      <c r="D74" s="209"/>
      <c r="E74" s="124"/>
      <c r="F74" s="124"/>
      <c r="G74" s="126"/>
      <c r="H74" s="126"/>
    </row>
    <row r="75" spans="3:8" ht="12.75" customHeight="1">
      <c r="C75" s="209"/>
      <c r="D75" s="209"/>
      <c r="E75" s="124"/>
      <c r="F75" s="124"/>
      <c r="G75" s="126"/>
      <c r="H75" s="126"/>
    </row>
    <row r="76" spans="3:8" ht="12.75" customHeight="1">
      <c r="C76" s="209"/>
      <c r="D76" s="209"/>
      <c r="E76" s="124"/>
      <c r="F76" s="124"/>
      <c r="G76" s="126"/>
      <c r="H76" s="126"/>
    </row>
    <row r="77" spans="3:8" ht="12.75" customHeight="1">
      <c r="C77" s="209"/>
      <c r="D77" s="209"/>
      <c r="E77" s="124"/>
      <c r="F77" s="124"/>
      <c r="G77" s="126"/>
      <c r="H77" s="126"/>
    </row>
    <row r="78" spans="3:8" ht="12.75" customHeight="1">
      <c r="C78" s="209"/>
      <c r="D78" s="209"/>
      <c r="E78" s="124"/>
      <c r="F78" s="124"/>
      <c r="G78" s="126"/>
      <c r="H78" s="126"/>
    </row>
    <row r="79" spans="3:8" ht="12.75" customHeight="1">
      <c r="C79" s="209"/>
      <c r="D79" s="209"/>
      <c r="E79" s="124"/>
      <c r="F79" s="124"/>
      <c r="G79" s="126"/>
      <c r="H79" s="126"/>
    </row>
    <row r="80" spans="3:8" ht="12.75" customHeight="1">
      <c r="C80" s="209"/>
      <c r="D80" s="209"/>
      <c r="E80" s="124"/>
      <c r="F80" s="124"/>
      <c r="G80" s="126"/>
      <c r="H80" s="126"/>
    </row>
    <row r="81" spans="3:8" ht="12.75" customHeight="1">
      <c r="C81" s="209"/>
      <c r="D81" s="209"/>
      <c r="E81" s="124"/>
      <c r="F81" s="124"/>
      <c r="G81" s="126"/>
      <c r="H81" s="126"/>
    </row>
    <row r="82" spans="3:8" ht="12.75" customHeight="1">
      <c r="C82" s="209"/>
      <c r="D82" s="209"/>
      <c r="E82" s="124"/>
      <c r="F82" s="124"/>
      <c r="G82" s="126"/>
      <c r="H82" s="126"/>
    </row>
    <row r="83" spans="3:8" ht="12.75" customHeight="1">
      <c r="C83" s="209"/>
      <c r="D83" s="209"/>
      <c r="E83" s="124"/>
      <c r="F83" s="124"/>
      <c r="G83" s="126"/>
      <c r="H83" s="126"/>
    </row>
    <row r="84" spans="3:8" ht="12.75" customHeight="1">
      <c r="C84" s="209"/>
      <c r="D84" s="209"/>
      <c r="E84" s="124"/>
      <c r="F84" s="124"/>
      <c r="G84" s="126"/>
      <c r="H84" s="126"/>
    </row>
    <row r="85" spans="3:8" ht="12.75" customHeight="1">
      <c r="C85" s="209"/>
      <c r="D85" s="209"/>
      <c r="E85" s="124"/>
      <c r="F85" s="124"/>
      <c r="G85" s="126"/>
      <c r="H85" s="126"/>
    </row>
    <row r="86" spans="3:8" ht="12.75" customHeight="1">
      <c r="C86" s="209"/>
      <c r="D86" s="209"/>
      <c r="E86" s="124"/>
      <c r="F86" s="124"/>
      <c r="G86" s="126"/>
      <c r="H86" s="126"/>
    </row>
    <row r="87" spans="3:8" ht="12.75" customHeight="1">
      <c r="C87" s="209"/>
      <c r="D87" s="209"/>
      <c r="E87" s="124"/>
      <c r="F87" s="124"/>
      <c r="G87" s="126"/>
      <c r="H87" s="126"/>
    </row>
    <row r="88" spans="3:8" ht="12.75" customHeight="1">
      <c r="C88" s="209"/>
      <c r="D88" s="209"/>
      <c r="E88" s="124"/>
      <c r="F88" s="124"/>
      <c r="G88" s="126"/>
      <c r="H88" s="126"/>
    </row>
    <row r="89" spans="3:8" ht="12.75" customHeight="1">
      <c r="C89" s="209"/>
      <c r="D89" s="209"/>
      <c r="E89" s="124"/>
      <c r="F89" s="124"/>
      <c r="G89" s="126"/>
      <c r="H89" s="126"/>
    </row>
    <row r="90" spans="3:8" ht="12.75" customHeight="1">
      <c r="C90" s="209"/>
      <c r="D90" s="209"/>
      <c r="E90" s="124"/>
      <c r="F90" s="124"/>
      <c r="G90" s="126"/>
      <c r="H90" s="126"/>
    </row>
    <row r="91" spans="3:8" ht="12.75" customHeight="1">
      <c r="C91" s="209"/>
      <c r="D91" s="209"/>
      <c r="E91" s="124"/>
      <c r="F91" s="124"/>
      <c r="G91" s="126"/>
      <c r="H91" s="126"/>
    </row>
    <row r="92" spans="3:8" ht="12.75" customHeight="1">
      <c r="C92" s="209"/>
      <c r="D92" s="209"/>
      <c r="E92" s="124"/>
      <c r="F92" s="124"/>
      <c r="G92" s="126"/>
      <c r="H92" s="126"/>
    </row>
    <row r="93" spans="3:8" ht="12.75" customHeight="1">
      <c r="C93" s="209"/>
      <c r="D93" s="209"/>
      <c r="E93" s="124"/>
      <c r="F93" s="124"/>
      <c r="G93" s="126"/>
      <c r="H93" s="126"/>
    </row>
    <row r="94" spans="3:8" ht="12.75" customHeight="1">
      <c r="C94" s="209"/>
      <c r="D94" s="209"/>
      <c r="E94" s="124"/>
      <c r="F94" s="124"/>
      <c r="G94" s="126"/>
      <c r="H94" s="126"/>
    </row>
    <row r="95" spans="3:8" ht="12.75" customHeight="1">
      <c r="C95" s="209"/>
      <c r="D95" s="209"/>
      <c r="E95" s="124"/>
      <c r="F95" s="124"/>
      <c r="G95" s="126"/>
      <c r="H95" s="126"/>
    </row>
    <row r="96" spans="3:8" ht="12.75" customHeight="1">
      <c r="C96" s="209"/>
      <c r="D96" s="209"/>
      <c r="E96" s="124"/>
      <c r="F96" s="124"/>
      <c r="G96" s="126"/>
      <c r="H96" s="126"/>
    </row>
    <row r="97" spans="3:8" ht="12.75" customHeight="1">
      <c r="C97" s="209"/>
      <c r="D97" s="209"/>
      <c r="E97" s="124"/>
      <c r="F97" s="124"/>
      <c r="G97" s="126"/>
      <c r="H97" s="126"/>
    </row>
    <row r="98" spans="3:8" ht="12.75" customHeight="1">
      <c r="C98" s="209"/>
      <c r="D98" s="209"/>
      <c r="E98" s="124"/>
      <c r="F98" s="124"/>
      <c r="G98" s="126"/>
      <c r="H98" s="126"/>
    </row>
    <row r="99" spans="3:8" ht="12.75" customHeight="1">
      <c r="C99" s="209"/>
      <c r="D99" s="209"/>
      <c r="E99" s="124"/>
      <c r="F99" s="124"/>
      <c r="G99" s="126"/>
      <c r="H99" s="126"/>
    </row>
    <row r="100" spans="3:8" ht="12.75" customHeight="1">
      <c r="C100" s="209"/>
      <c r="D100" s="209"/>
      <c r="E100" s="124"/>
      <c r="F100" s="124"/>
      <c r="G100" s="126"/>
      <c r="H100" s="126"/>
    </row>
    <row r="101" spans="3:8" ht="12.75" customHeight="1">
      <c r="C101" s="209"/>
      <c r="D101" s="209"/>
      <c r="E101" s="124"/>
      <c r="F101" s="124"/>
      <c r="G101" s="126"/>
      <c r="H101" s="126"/>
    </row>
    <row r="102" spans="3:8" ht="12.75" customHeight="1">
      <c r="C102" s="209"/>
      <c r="D102" s="209"/>
      <c r="E102" s="124"/>
      <c r="F102" s="124"/>
      <c r="G102" s="126"/>
      <c r="H102" s="126"/>
    </row>
    <row r="103" spans="3:8" ht="12.75" customHeight="1">
      <c r="C103" s="209"/>
      <c r="D103" s="209"/>
      <c r="E103" s="124"/>
      <c r="F103" s="124"/>
      <c r="G103" s="126"/>
      <c r="H103" s="126"/>
    </row>
    <row r="104" spans="3:8" ht="12.75" customHeight="1">
      <c r="C104" s="209"/>
      <c r="D104" s="209"/>
      <c r="E104" s="124"/>
      <c r="F104" s="124"/>
      <c r="G104" s="126"/>
      <c r="H104" s="126"/>
    </row>
    <row r="105" spans="3:8" ht="12.75" customHeight="1">
      <c r="C105" s="209"/>
      <c r="D105" s="209"/>
      <c r="E105" s="124"/>
      <c r="F105" s="124"/>
      <c r="G105" s="126"/>
      <c r="H105" s="126"/>
    </row>
    <row r="106" spans="3:8" ht="12.75" customHeight="1">
      <c r="C106" s="209"/>
      <c r="D106" s="209"/>
      <c r="E106" s="124"/>
      <c r="F106" s="124"/>
      <c r="G106" s="126"/>
      <c r="H106" s="126"/>
    </row>
    <row r="107" spans="3:8" ht="12.75" customHeight="1">
      <c r="C107" s="209"/>
      <c r="D107" s="209"/>
      <c r="E107" s="124"/>
      <c r="F107" s="124"/>
      <c r="G107" s="126"/>
      <c r="H107" s="126"/>
    </row>
    <row r="108" spans="3:8" ht="12.75" customHeight="1">
      <c r="C108" s="209"/>
      <c r="D108" s="209"/>
      <c r="E108" s="124"/>
      <c r="F108" s="124"/>
      <c r="G108" s="126"/>
      <c r="H108" s="126"/>
    </row>
    <row r="109" spans="3:8" ht="12.75" customHeight="1">
      <c r="C109" s="209"/>
      <c r="D109" s="209"/>
      <c r="E109" s="124"/>
      <c r="F109" s="124"/>
      <c r="G109" s="126"/>
      <c r="H109" s="126"/>
    </row>
    <row r="110" spans="3:8" ht="12.75" customHeight="1">
      <c r="C110" s="209"/>
      <c r="D110" s="209"/>
      <c r="E110" s="124"/>
      <c r="F110" s="124"/>
      <c r="G110" s="126"/>
      <c r="H110" s="126"/>
    </row>
    <row r="111" spans="3:8" ht="12.75" customHeight="1">
      <c r="C111" s="209"/>
      <c r="D111" s="209"/>
      <c r="E111" s="124"/>
      <c r="F111" s="124"/>
      <c r="G111" s="126"/>
      <c r="H111" s="126"/>
    </row>
    <row r="112" spans="3:8" ht="12.75" customHeight="1">
      <c r="C112" s="209"/>
      <c r="D112" s="209"/>
      <c r="E112" s="124"/>
      <c r="F112" s="124"/>
      <c r="G112" s="126"/>
      <c r="H112" s="126"/>
    </row>
    <row r="113" spans="3:8" ht="12.75" customHeight="1">
      <c r="C113" s="209"/>
      <c r="D113" s="209"/>
      <c r="E113" s="124"/>
      <c r="F113" s="124"/>
      <c r="G113" s="126"/>
      <c r="H113" s="126"/>
    </row>
    <row r="114" spans="3:8" ht="12.75" customHeight="1">
      <c r="C114" s="209"/>
      <c r="D114" s="209"/>
      <c r="E114" s="124"/>
      <c r="F114" s="124"/>
      <c r="G114" s="126"/>
      <c r="H114" s="126"/>
    </row>
    <row r="115" spans="3:8" ht="12.75" customHeight="1">
      <c r="C115" s="209"/>
      <c r="D115" s="209"/>
      <c r="E115" s="124"/>
      <c r="F115" s="124"/>
      <c r="G115" s="126"/>
      <c r="H115" s="126"/>
    </row>
    <row r="116" spans="3:8" ht="12.75" customHeight="1">
      <c r="C116" s="209"/>
      <c r="D116" s="209"/>
      <c r="E116" s="124"/>
      <c r="F116" s="124"/>
      <c r="G116" s="126"/>
      <c r="H116" s="126"/>
    </row>
    <row r="117" spans="3:8" ht="12.75" customHeight="1">
      <c r="C117" s="209"/>
      <c r="D117" s="209"/>
      <c r="E117" s="124"/>
      <c r="F117" s="124"/>
      <c r="G117" s="126"/>
      <c r="H117" s="126"/>
    </row>
    <row r="118" spans="3:8" ht="12.75" customHeight="1">
      <c r="C118" s="209"/>
      <c r="D118" s="209"/>
      <c r="E118" s="124"/>
      <c r="F118" s="124"/>
      <c r="G118" s="126"/>
      <c r="H118" s="126"/>
    </row>
    <row r="119" spans="3:8" ht="12.75" customHeight="1">
      <c r="C119" s="209"/>
      <c r="D119" s="209"/>
      <c r="E119" s="124"/>
      <c r="F119" s="124"/>
      <c r="G119" s="126"/>
      <c r="H119" s="126"/>
    </row>
    <row r="120" spans="3:8" ht="12.75" customHeight="1">
      <c r="C120" s="209"/>
      <c r="D120" s="209"/>
      <c r="E120" s="124"/>
      <c r="F120" s="124"/>
      <c r="G120" s="126"/>
      <c r="H120" s="126"/>
    </row>
    <row r="121" spans="3:8" ht="12.75" customHeight="1">
      <c r="C121" s="209"/>
      <c r="D121" s="209"/>
      <c r="E121" s="124"/>
      <c r="F121" s="124"/>
      <c r="G121" s="126"/>
      <c r="H121" s="126"/>
    </row>
    <row r="122" spans="3:8" ht="12.75" customHeight="1">
      <c r="C122" s="209"/>
      <c r="D122" s="209"/>
      <c r="E122" s="124"/>
      <c r="F122" s="124"/>
      <c r="G122" s="126"/>
      <c r="H122" s="126"/>
    </row>
    <row r="123" spans="3:8" ht="12.75" customHeight="1">
      <c r="C123" s="209"/>
      <c r="D123" s="209"/>
      <c r="E123" s="124"/>
      <c r="F123" s="124"/>
      <c r="G123" s="126"/>
      <c r="H123" s="126"/>
    </row>
    <row r="124" spans="3:8" ht="12.75" customHeight="1">
      <c r="C124" s="209"/>
      <c r="D124" s="209"/>
      <c r="E124" s="124"/>
      <c r="F124" s="124"/>
      <c r="G124" s="126"/>
      <c r="H124" s="126"/>
    </row>
    <row r="125" spans="3:8" ht="12.75" customHeight="1">
      <c r="C125" s="209"/>
      <c r="D125" s="209"/>
      <c r="E125" s="124"/>
      <c r="F125" s="124"/>
      <c r="G125" s="126"/>
      <c r="H125" s="126"/>
    </row>
    <row r="126" spans="3:8" ht="12.75" customHeight="1">
      <c r="C126" s="209"/>
      <c r="D126" s="209"/>
      <c r="E126" s="124"/>
      <c r="F126" s="124"/>
      <c r="G126" s="126"/>
      <c r="H126" s="126"/>
    </row>
    <row r="127" spans="3:8" ht="12.75" customHeight="1">
      <c r="C127" s="209"/>
      <c r="D127" s="209"/>
      <c r="E127" s="124"/>
      <c r="F127" s="124"/>
      <c r="G127" s="126"/>
      <c r="H127" s="126"/>
    </row>
    <row r="128" spans="3:8" ht="12.75" customHeight="1">
      <c r="C128" s="209"/>
      <c r="D128" s="209"/>
      <c r="E128" s="124"/>
      <c r="F128" s="124"/>
      <c r="G128" s="126"/>
      <c r="H128" s="126"/>
    </row>
    <row r="129" spans="3:8" ht="12.75" customHeight="1">
      <c r="C129" s="209"/>
      <c r="D129" s="209"/>
      <c r="E129" s="124"/>
      <c r="F129" s="124"/>
      <c r="G129" s="126"/>
      <c r="H129" s="126"/>
    </row>
    <row r="130" spans="3:8" ht="12.75" customHeight="1">
      <c r="C130" s="209"/>
      <c r="D130" s="209"/>
      <c r="E130" s="124"/>
      <c r="F130" s="124"/>
      <c r="G130" s="126"/>
      <c r="H130" s="126"/>
    </row>
    <row r="131" spans="3:8" ht="12.75" customHeight="1">
      <c r="C131" s="209"/>
      <c r="D131" s="209"/>
      <c r="E131" s="124"/>
      <c r="F131" s="124"/>
      <c r="G131" s="126"/>
      <c r="H131" s="126"/>
    </row>
    <row r="132" spans="3:8" ht="12.75" customHeight="1">
      <c r="C132" s="209"/>
      <c r="D132" s="209"/>
      <c r="E132" s="124"/>
      <c r="F132" s="124"/>
      <c r="G132" s="126"/>
      <c r="H132" s="126"/>
    </row>
    <row r="133" spans="3:8" ht="12.75" customHeight="1">
      <c r="C133" s="209"/>
      <c r="D133" s="209"/>
      <c r="E133" s="124"/>
      <c r="F133" s="124"/>
      <c r="G133" s="126"/>
      <c r="H133" s="126"/>
    </row>
    <row r="134" spans="3:8" ht="12.75" customHeight="1">
      <c r="C134" s="209"/>
      <c r="D134" s="209"/>
      <c r="E134" s="124"/>
      <c r="F134" s="124"/>
      <c r="G134" s="126"/>
      <c r="H134" s="126"/>
    </row>
    <row r="135" spans="3:8" ht="12.75" customHeight="1">
      <c r="C135" s="209"/>
      <c r="D135" s="209"/>
      <c r="E135" s="124"/>
      <c r="F135" s="124"/>
      <c r="G135" s="126"/>
      <c r="H135" s="126"/>
    </row>
    <row r="136" spans="3:8" ht="12.75" customHeight="1">
      <c r="C136" s="209"/>
      <c r="D136" s="209"/>
      <c r="E136" s="124"/>
      <c r="F136" s="124"/>
      <c r="G136" s="126"/>
      <c r="H136" s="126"/>
    </row>
    <row r="137" spans="3:8" ht="12.75" customHeight="1">
      <c r="C137" s="209"/>
      <c r="D137" s="209"/>
      <c r="E137" s="124"/>
      <c r="F137" s="124"/>
      <c r="G137" s="126"/>
      <c r="H137" s="126"/>
    </row>
    <row r="138" spans="3:8" ht="12.75" customHeight="1">
      <c r="C138" s="209"/>
      <c r="D138" s="209"/>
      <c r="E138" s="124"/>
      <c r="F138" s="124"/>
      <c r="G138" s="126"/>
      <c r="H138" s="126"/>
    </row>
    <row r="139" spans="3:8" ht="12.75" customHeight="1">
      <c r="C139" s="209"/>
      <c r="D139" s="209"/>
      <c r="E139" s="124"/>
      <c r="F139" s="124"/>
      <c r="G139" s="126"/>
      <c r="H139" s="126"/>
    </row>
    <row r="140" spans="3:8" ht="12.75" customHeight="1">
      <c r="C140" s="209"/>
      <c r="D140" s="209"/>
      <c r="E140" s="124"/>
      <c r="F140" s="124"/>
      <c r="G140" s="126"/>
      <c r="H140" s="126"/>
    </row>
    <row r="141" spans="3:8" ht="12.75" customHeight="1">
      <c r="C141" s="209"/>
      <c r="D141" s="209"/>
      <c r="E141" s="124"/>
      <c r="F141" s="124"/>
      <c r="G141" s="126"/>
      <c r="H141" s="126"/>
    </row>
    <row r="142" spans="3:8" ht="12.75" customHeight="1">
      <c r="C142" s="209"/>
      <c r="D142" s="209"/>
      <c r="E142" s="124"/>
      <c r="F142" s="124"/>
      <c r="G142" s="126"/>
      <c r="H142" s="126"/>
    </row>
    <row r="143" spans="3:8" ht="12.75" customHeight="1">
      <c r="C143" s="209"/>
      <c r="D143" s="209"/>
      <c r="E143" s="124"/>
      <c r="F143" s="124"/>
      <c r="G143" s="126"/>
      <c r="H143" s="126"/>
    </row>
    <row r="144" spans="3:8" ht="12.75" customHeight="1">
      <c r="C144" s="209"/>
      <c r="D144" s="209"/>
      <c r="E144" s="124"/>
      <c r="F144" s="124"/>
      <c r="G144" s="126"/>
      <c r="H144" s="126"/>
    </row>
    <row r="145" spans="3:8" ht="12.75" customHeight="1">
      <c r="C145" s="209"/>
      <c r="D145" s="209"/>
      <c r="E145" s="124"/>
      <c r="F145" s="124"/>
      <c r="G145" s="126"/>
      <c r="H145" s="126"/>
    </row>
    <row r="146" spans="3:8" ht="12.75" customHeight="1">
      <c r="C146" s="209"/>
      <c r="D146" s="209"/>
      <c r="E146" s="124"/>
      <c r="F146" s="124"/>
      <c r="G146" s="126"/>
      <c r="H146" s="126"/>
    </row>
    <row r="147" spans="3:8" ht="12.75" customHeight="1">
      <c r="C147" s="209"/>
      <c r="D147" s="209"/>
      <c r="E147" s="124"/>
      <c r="F147" s="124"/>
      <c r="G147" s="126"/>
      <c r="H147" s="126"/>
    </row>
    <row r="148" spans="3:8" ht="12.75" customHeight="1">
      <c r="C148" s="209"/>
      <c r="D148" s="209"/>
      <c r="E148" s="124"/>
      <c r="F148" s="124"/>
      <c r="G148" s="126"/>
      <c r="H148" s="126"/>
    </row>
    <row r="149" spans="3:8" ht="12.75" customHeight="1">
      <c r="C149" s="209"/>
      <c r="D149" s="209"/>
      <c r="E149" s="124"/>
      <c r="F149" s="124"/>
      <c r="G149" s="126"/>
      <c r="H149" s="126"/>
    </row>
    <row r="150" spans="3:8" ht="12.75" customHeight="1">
      <c r="C150" s="209"/>
      <c r="D150" s="209"/>
      <c r="E150" s="124"/>
      <c r="F150" s="124"/>
      <c r="G150" s="126"/>
      <c r="H150" s="126"/>
    </row>
    <row r="151" spans="3:8" ht="12.75" customHeight="1">
      <c r="C151" s="209"/>
      <c r="D151" s="209"/>
      <c r="E151" s="124"/>
      <c r="F151" s="124"/>
      <c r="G151" s="126"/>
      <c r="H151" s="126"/>
    </row>
    <row r="152" spans="3:8" ht="12.75" customHeight="1">
      <c r="C152" s="209"/>
      <c r="D152" s="209"/>
      <c r="E152" s="124"/>
      <c r="F152" s="124"/>
      <c r="G152" s="126"/>
      <c r="H152" s="126"/>
    </row>
    <row r="153" spans="3:8" ht="12.75" customHeight="1">
      <c r="C153" s="209"/>
      <c r="D153" s="209"/>
      <c r="E153" s="124"/>
      <c r="F153" s="124"/>
      <c r="G153" s="126"/>
      <c r="H153" s="126"/>
    </row>
    <row r="154" spans="3:8" ht="12.75" customHeight="1">
      <c r="C154" s="209"/>
      <c r="D154" s="209"/>
      <c r="E154" s="124"/>
      <c r="F154" s="124"/>
      <c r="G154" s="126"/>
      <c r="H154" s="126"/>
    </row>
    <row r="155" spans="3:8" ht="12.75" customHeight="1">
      <c r="C155" s="209"/>
      <c r="D155" s="209"/>
      <c r="E155" s="124"/>
      <c r="F155" s="124"/>
      <c r="G155" s="126"/>
      <c r="H155" s="126"/>
    </row>
    <row r="156" spans="3:8" ht="12.75" customHeight="1">
      <c r="C156" s="209"/>
      <c r="D156" s="209"/>
      <c r="E156" s="124"/>
      <c r="F156" s="124"/>
      <c r="G156" s="126"/>
      <c r="H156" s="126"/>
    </row>
    <row r="157" spans="3:8" ht="12.75" customHeight="1">
      <c r="C157" s="209"/>
      <c r="D157" s="209"/>
      <c r="E157" s="124"/>
      <c r="F157" s="124"/>
      <c r="G157" s="126"/>
      <c r="H157" s="126"/>
    </row>
    <row r="158" spans="3:8" ht="12.75" customHeight="1">
      <c r="C158" s="209"/>
      <c r="D158" s="209"/>
      <c r="E158" s="124"/>
      <c r="F158" s="124"/>
      <c r="G158" s="126"/>
      <c r="H158" s="126"/>
    </row>
    <row r="159" spans="3:8" ht="12.75" customHeight="1">
      <c r="C159" s="209"/>
      <c r="D159" s="209"/>
      <c r="E159" s="124"/>
      <c r="F159" s="124"/>
      <c r="G159" s="126"/>
      <c r="H159" s="126"/>
    </row>
    <row r="160" spans="3:8" ht="12.75" customHeight="1">
      <c r="C160" s="209"/>
      <c r="D160" s="209"/>
      <c r="E160" s="124"/>
      <c r="F160" s="124"/>
      <c r="G160" s="126"/>
      <c r="H160" s="126"/>
    </row>
    <row r="161" spans="3:8" ht="12.75" customHeight="1">
      <c r="C161" s="209"/>
      <c r="D161" s="209"/>
      <c r="E161" s="124"/>
      <c r="F161" s="124"/>
      <c r="G161" s="126"/>
      <c r="H161" s="126"/>
    </row>
    <row r="162" spans="3:8" ht="12.75" customHeight="1">
      <c r="C162" s="209"/>
      <c r="D162" s="209"/>
      <c r="E162" s="124"/>
      <c r="F162" s="124"/>
      <c r="G162" s="126"/>
      <c r="H162" s="126"/>
    </row>
    <row r="163" spans="3:8" ht="12.75" customHeight="1">
      <c r="C163" s="209"/>
      <c r="D163" s="209"/>
      <c r="E163" s="124"/>
      <c r="F163" s="124"/>
      <c r="G163" s="126"/>
      <c r="H163" s="126"/>
    </row>
    <row r="164" spans="3:8" ht="12.75" customHeight="1">
      <c r="C164" s="209"/>
      <c r="D164" s="209"/>
      <c r="E164" s="124"/>
      <c r="F164" s="124"/>
      <c r="G164" s="126"/>
      <c r="H164" s="126"/>
    </row>
    <row r="165" spans="3:8" ht="12.75" customHeight="1">
      <c r="C165" s="209"/>
      <c r="D165" s="209"/>
      <c r="E165" s="124"/>
      <c r="F165" s="124"/>
      <c r="G165" s="126"/>
      <c r="H165" s="126"/>
    </row>
    <row r="166" spans="3:8" ht="12.75" customHeight="1">
      <c r="C166" s="209"/>
      <c r="D166" s="209"/>
      <c r="E166" s="124"/>
      <c r="F166" s="124"/>
      <c r="G166" s="126"/>
      <c r="H166" s="126"/>
    </row>
    <row r="167" spans="3:8" ht="12.75" customHeight="1">
      <c r="C167" s="209"/>
      <c r="D167" s="209"/>
      <c r="E167" s="124"/>
      <c r="F167" s="124"/>
      <c r="G167" s="126"/>
      <c r="H167" s="126"/>
    </row>
    <row r="168" spans="3:8" ht="12.75" customHeight="1">
      <c r="C168" s="209"/>
      <c r="D168" s="209"/>
      <c r="E168" s="124"/>
      <c r="F168" s="124"/>
      <c r="G168" s="126"/>
      <c r="H168" s="126"/>
    </row>
    <row r="169" spans="3:8" ht="12.75" customHeight="1">
      <c r="C169" s="209"/>
      <c r="D169" s="209"/>
      <c r="E169" s="124"/>
      <c r="F169" s="124"/>
      <c r="G169" s="126"/>
      <c r="H169" s="126"/>
    </row>
    <row r="170" spans="3:8" ht="12.75" customHeight="1">
      <c r="C170" s="209"/>
      <c r="D170" s="209"/>
      <c r="E170" s="124"/>
      <c r="F170" s="124"/>
      <c r="G170" s="126"/>
      <c r="H170" s="126"/>
    </row>
    <row r="171" spans="3:8" ht="12.75" customHeight="1">
      <c r="C171" s="209"/>
      <c r="D171" s="209"/>
      <c r="E171" s="124"/>
      <c r="F171" s="124"/>
      <c r="G171" s="126"/>
      <c r="H171" s="126"/>
    </row>
    <row r="172" spans="3:8" ht="12.75" customHeight="1">
      <c r="C172" s="209"/>
      <c r="D172" s="209"/>
      <c r="E172" s="124"/>
      <c r="F172" s="124"/>
      <c r="G172" s="126"/>
      <c r="H172" s="126"/>
    </row>
    <row r="173" spans="3:8" ht="12.75" customHeight="1">
      <c r="C173" s="209"/>
      <c r="D173" s="209"/>
      <c r="E173" s="124"/>
      <c r="F173" s="124"/>
      <c r="G173" s="126"/>
      <c r="H173" s="126"/>
    </row>
    <row r="174" spans="3:8" ht="12.75" customHeight="1">
      <c r="C174" s="209"/>
      <c r="D174" s="209"/>
      <c r="E174" s="124"/>
      <c r="F174" s="124"/>
      <c r="G174" s="126"/>
      <c r="H174" s="126"/>
    </row>
    <row r="175" spans="3:8" ht="12.75" customHeight="1">
      <c r="C175" s="209"/>
      <c r="D175" s="209"/>
      <c r="E175" s="124"/>
      <c r="F175" s="124"/>
      <c r="G175" s="126"/>
      <c r="H175" s="126"/>
    </row>
    <row r="176" spans="3:8" ht="12.75" customHeight="1">
      <c r="C176" s="209"/>
      <c r="D176" s="209"/>
      <c r="E176" s="124"/>
      <c r="F176" s="124"/>
      <c r="G176" s="126"/>
      <c r="H176" s="126"/>
    </row>
    <row r="177" spans="3:8" ht="12.75" customHeight="1">
      <c r="C177" s="209"/>
      <c r="D177" s="209"/>
      <c r="E177" s="124"/>
      <c r="F177" s="124"/>
      <c r="G177" s="126"/>
      <c r="H177" s="126"/>
    </row>
    <row r="178" spans="3:8" ht="12.75" customHeight="1">
      <c r="C178" s="209"/>
      <c r="D178" s="209"/>
      <c r="E178" s="124"/>
      <c r="F178" s="124"/>
      <c r="G178" s="126"/>
      <c r="H178" s="126"/>
    </row>
    <row r="179" spans="3:8" ht="12.75" customHeight="1">
      <c r="C179" s="209"/>
      <c r="D179" s="209"/>
      <c r="E179" s="124"/>
      <c r="F179" s="124"/>
      <c r="G179" s="126"/>
      <c r="H179" s="126"/>
    </row>
    <row r="180" spans="3:8" ht="12.75" customHeight="1">
      <c r="C180" s="209"/>
      <c r="D180" s="209"/>
      <c r="E180" s="124"/>
      <c r="F180" s="124"/>
      <c r="G180" s="126"/>
      <c r="H180" s="126"/>
    </row>
    <row r="181" spans="3:8" ht="12.75" customHeight="1">
      <c r="C181" s="209"/>
      <c r="D181" s="209"/>
      <c r="E181" s="124"/>
      <c r="F181" s="124"/>
      <c r="G181" s="126"/>
      <c r="H181" s="126"/>
    </row>
    <row r="182" spans="3:8" ht="12.75" customHeight="1">
      <c r="C182" s="209"/>
      <c r="D182" s="209"/>
      <c r="E182" s="124"/>
      <c r="F182" s="124"/>
      <c r="G182" s="126"/>
      <c r="H182" s="126"/>
    </row>
    <row r="183" spans="3:8" ht="12.75" customHeight="1">
      <c r="C183" s="209"/>
      <c r="D183" s="209"/>
      <c r="E183" s="124"/>
      <c r="F183" s="124"/>
      <c r="G183" s="126"/>
      <c r="H183" s="126"/>
    </row>
    <row r="184" spans="3:8" ht="12.75" customHeight="1">
      <c r="C184" s="209"/>
      <c r="D184" s="209"/>
      <c r="E184" s="124"/>
      <c r="F184" s="124"/>
      <c r="G184" s="126"/>
      <c r="H184" s="126"/>
    </row>
    <row r="185" spans="3:8" ht="12.75" customHeight="1">
      <c r="C185" s="209"/>
      <c r="D185" s="209"/>
      <c r="E185" s="124"/>
      <c r="F185" s="124"/>
      <c r="G185" s="126"/>
      <c r="H185" s="126"/>
    </row>
    <row r="186" spans="3:8" ht="12.75" customHeight="1">
      <c r="C186" s="209"/>
      <c r="D186" s="209"/>
      <c r="E186" s="124"/>
      <c r="F186" s="124"/>
      <c r="G186" s="126"/>
      <c r="H186" s="126"/>
    </row>
    <row r="187" spans="3:8" ht="12.75" customHeight="1">
      <c r="C187" s="209"/>
      <c r="D187" s="209"/>
      <c r="E187" s="124"/>
      <c r="F187" s="124"/>
      <c r="G187" s="126"/>
      <c r="H187" s="126"/>
    </row>
    <row r="188" spans="3:8" ht="12.75" customHeight="1">
      <c r="C188" s="209"/>
      <c r="D188" s="209"/>
      <c r="E188" s="124"/>
      <c r="F188" s="124"/>
      <c r="G188" s="126"/>
      <c r="H188" s="126"/>
    </row>
    <row r="189" spans="3:8" ht="12.75" customHeight="1">
      <c r="C189" s="209"/>
      <c r="D189" s="209"/>
      <c r="E189" s="124"/>
      <c r="F189" s="124"/>
      <c r="G189" s="126"/>
      <c r="H189" s="126"/>
    </row>
    <row r="190" spans="3:8" ht="12.75" customHeight="1">
      <c r="C190" s="209"/>
      <c r="D190" s="209"/>
      <c r="E190" s="124"/>
      <c r="F190" s="124"/>
      <c r="G190" s="126"/>
      <c r="H190" s="126"/>
    </row>
    <row r="191" spans="3:8" ht="12.75" customHeight="1">
      <c r="C191" s="209"/>
      <c r="D191" s="209"/>
      <c r="E191" s="124"/>
      <c r="F191" s="124"/>
      <c r="G191" s="126"/>
      <c r="H191" s="126"/>
    </row>
    <row r="192" spans="3:8" ht="12.75" customHeight="1">
      <c r="C192" s="209"/>
      <c r="D192" s="209"/>
      <c r="E192" s="124"/>
      <c r="F192" s="124"/>
      <c r="G192" s="126"/>
      <c r="H192" s="126"/>
    </row>
    <row r="193" spans="3:8" ht="12.75" customHeight="1">
      <c r="C193" s="209"/>
      <c r="D193" s="209"/>
      <c r="E193" s="124"/>
      <c r="F193" s="124"/>
      <c r="G193" s="126"/>
      <c r="H193" s="126"/>
    </row>
    <row r="194" spans="3:8" ht="12.75" customHeight="1">
      <c r="C194" s="209"/>
      <c r="D194" s="209"/>
      <c r="E194" s="124"/>
      <c r="F194" s="124"/>
      <c r="G194" s="126"/>
      <c r="H194" s="126"/>
    </row>
    <row r="195" spans="3:8" ht="12.75" customHeight="1">
      <c r="C195" s="209"/>
      <c r="D195" s="209"/>
      <c r="E195" s="124"/>
      <c r="F195" s="124"/>
      <c r="G195" s="126"/>
      <c r="H195" s="126"/>
    </row>
    <row r="196" spans="3:8" ht="12.75" customHeight="1">
      <c r="C196" s="209"/>
      <c r="D196" s="209"/>
      <c r="E196" s="124"/>
      <c r="F196" s="124"/>
      <c r="G196" s="126"/>
      <c r="H196" s="126"/>
    </row>
    <row r="197" spans="3:8" ht="12.75" customHeight="1">
      <c r="C197" s="209"/>
      <c r="D197" s="209"/>
      <c r="E197" s="124"/>
      <c r="F197" s="124"/>
      <c r="G197" s="126"/>
      <c r="H197" s="126"/>
    </row>
    <row r="198" spans="3:8" ht="12.75" customHeight="1">
      <c r="C198" s="209"/>
      <c r="D198" s="209"/>
      <c r="E198" s="124"/>
      <c r="F198" s="124"/>
      <c r="G198" s="126"/>
      <c r="H198" s="126"/>
    </row>
    <row r="199" spans="3:8" ht="12.75" customHeight="1">
      <c r="C199" s="209"/>
      <c r="D199" s="209"/>
      <c r="E199" s="124"/>
      <c r="F199" s="124"/>
      <c r="G199" s="126"/>
      <c r="H199" s="126"/>
    </row>
    <row r="200" spans="3:8" ht="12.75" customHeight="1">
      <c r="C200" s="209"/>
      <c r="D200" s="209"/>
      <c r="E200" s="124"/>
      <c r="F200" s="124"/>
      <c r="G200" s="126"/>
      <c r="H200" s="126"/>
    </row>
    <row r="201" spans="3:8" ht="12.75" customHeight="1">
      <c r="C201" s="209"/>
      <c r="D201" s="209"/>
      <c r="E201" s="124"/>
      <c r="F201" s="124"/>
      <c r="G201" s="126"/>
      <c r="H201" s="126"/>
    </row>
    <row r="202" spans="3:8" ht="12.75" customHeight="1">
      <c r="C202" s="209"/>
      <c r="D202" s="209"/>
      <c r="E202" s="124"/>
      <c r="F202" s="124"/>
      <c r="G202" s="126"/>
      <c r="H202" s="126"/>
    </row>
    <row r="203" spans="3:8" ht="12.75" customHeight="1">
      <c r="C203" s="209"/>
      <c r="D203" s="209"/>
      <c r="E203" s="124"/>
      <c r="F203" s="124"/>
      <c r="G203" s="126"/>
      <c r="H203" s="126"/>
    </row>
    <row r="204" spans="3:8" ht="12.75" customHeight="1">
      <c r="C204" s="209"/>
      <c r="D204" s="209"/>
      <c r="E204" s="124"/>
      <c r="F204" s="124"/>
      <c r="G204" s="126"/>
      <c r="H204" s="126"/>
    </row>
    <row r="205" spans="3:8" ht="12.75" customHeight="1">
      <c r="C205" s="209"/>
      <c r="D205" s="209"/>
      <c r="E205" s="124"/>
      <c r="F205" s="124"/>
      <c r="G205" s="126"/>
      <c r="H205" s="126"/>
    </row>
    <row r="206" spans="3:8" ht="12.75" customHeight="1">
      <c r="C206" s="209"/>
      <c r="D206" s="209"/>
      <c r="E206" s="124"/>
      <c r="F206" s="124"/>
      <c r="G206" s="126"/>
      <c r="H206" s="126"/>
    </row>
    <row r="207" spans="3:8" ht="12.75" customHeight="1">
      <c r="C207" s="209"/>
      <c r="D207" s="209"/>
      <c r="E207" s="124"/>
      <c r="F207" s="124"/>
      <c r="G207" s="126"/>
      <c r="H207" s="126"/>
    </row>
    <row r="208" spans="3:8" ht="12.75" customHeight="1">
      <c r="C208" s="209"/>
      <c r="D208" s="209"/>
      <c r="E208" s="124"/>
      <c r="F208" s="124"/>
      <c r="G208" s="126"/>
      <c r="H208" s="126"/>
    </row>
    <row r="209" spans="3:8" ht="12.75" customHeight="1">
      <c r="C209" s="209"/>
      <c r="D209" s="209"/>
      <c r="E209" s="124"/>
      <c r="F209" s="124"/>
      <c r="G209" s="126"/>
      <c r="H209" s="126"/>
    </row>
    <row r="210" spans="3:8" ht="12.75" customHeight="1">
      <c r="C210" s="209"/>
      <c r="D210" s="209"/>
      <c r="E210" s="124"/>
      <c r="F210" s="124"/>
      <c r="G210" s="126"/>
      <c r="H210" s="126"/>
    </row>
    <row r="211" spans="3:8" ht="12.75" customHeight="1">
      <c r="C211" s="209"/>
      <c r="D211" s="209"/>
      <c r="E211" s="124"/>
      <c r="F211" s="124"/>
      <c r="G211" s="126"/>
      <c r="H211" s="126"/>
    </row>
    <row r="212" spans="3:8" ht="12.75" customHeight="1">
      <c r="C212" s="209"/>
      <c r="D212" s="209"/>
      <c r="E212" s="124"/>
      <c r="F212" s="124"/>
      <c r="G212" s="126"/>
      <c r="H212" s="126"/>
    </row>
    <row r="213" spans="3:8" ht="12.75" customHeight="1">
      <c r="C213" s="209"/>
      <c r="D213" s="209"/>
      <c r="E213" s="124"/>
      <c r="F213" s="124"/>
      <c r="G213" s="126"/>
      <c r="H213" s="126"/>
    </row>
    <row r="214" spans="3:8" ht="12.75" customHeight="1">
      <c r="C214" s="209"/>
      <c r="D214" s="209"/>
      <c r="E214" s="124"/>
      <c r="F214" s="124"/>
      <c r="G214" s="126"/>
      <c r="H214" s="126"/>
    </row>
    <row r="215" spans="3:8" ht="12.75" customHeight="1">
      <c r="C215" s="209"/>
      <c r="D215" s="209"/>
      <c r="E215" s="124"/>
      <c r="F215" s="124"/>
      <c r="G215" s="126"/>
      <c r="H215" s="126"/>
    </row>
    <row r="216" spans="3:8" ht="12.75" customHeight="1">
      <c r="C216" s="209"/>
      <c r="D216" s="209"/>
      <c r="E216" s="124"/>
      <c r="F216" s="124"/>
      <c r="G216" s="126"/>
      <c r="H216" s="126"/>
    </row>
    <row r="217" spans="3:8" ht="12.75" customHeight="1">
      <c r="C217" s="209"/>
      <c r="D217" s="209"/>
      <c r="E217" s="124"/>
      <c r="F217" s="124"/>
      <c r="G217" s="126"/>
      <c r="H217" s="126"/>
    </row>
    <row r="218" spans="3:8" ht="12.75" customHeight="1">
      <c r="C218" s="209"/>
      <c r="D218" s="209"/>
      <c r="E218" s="124"/>
      <c r="F218" s="124"/>
      <c r="G218" s="126"/>
      <c r="H218" s="126"/>
    </row>
    <row r="219" spans="3:8" ht="12.75" customHeight="1">
      <c r="C219" s="209"/>
      <c r="D219" s="209"/>
      <c r="E219" s="124"/>
      <c r="F219" s="124"/>
      <c r="G219" s="126"/>
      <c r="H219" s="126"/>
    </row>
    <row r="220" spans="3:8" ht="12.75" customHeight="1">
      <c r="C220" s="209"/>
      <c r="D220" s="209"/>
      <c r="E220" s="124"/>
      <c r="F220" s="124"/>
      <c r="G220" s="126"/>
      <c r="H220" s="126"/>
    </row>
    <row r="221" spans="3:8" ht="12.75" customHeight="1">
      <c r="C221" s="209"/>
      <c r="D221" s="209"/>
      <c r="E221" s="124"/>
      <c r="F221" s="124"/>
      <c r="G221" s="126"/>
      <c r="H221" s="126"/>
    </row>
    <row r="222" spans="3:8" ht="12.75" customHeight="1">
      <c r="C222" s="209"/>
      <c r="D222" s="209"/>
      <c r="E222" s="124"/>
      <c r="F222" s="124"/>
      <c r="G222" s="126"/>
      <c r="H222" s="126"/>
    </row>
    <row r="223" spans="3:8" ht="12.75" customHeight="1">
      <c r="C223" s="209"/>
      <c r="D223" s="209"/>
      <c r="E223" s="124"/>
      <c r="F223" s="124"/>
      <c r="G223" s="126"/>
      <c r="H223" s="126"/>
    </row>
    <row r="224" spans="3:8" ht="12.75" customHeight="1">
      <c r="C224" s="209"/>
      <c r="D224" s="209"/>
      <c r="E224" s="124"/>
      <c r="F224" s="124"/>
      <c r="G224" s="126"/>
      <c r="H224" s="126"/>
    </row>
    <row r="225" spans="3:8" ht="12.75" customHeight="1">
      <c r="C225" s="209"/>
      <c r="D225" s="209"/>
      <c r="E225" s="124"/>
      <c r="F225" s="124"/>
      <c r="G225" s="126"/>
      <c r="H225" s="126"/>
    </row>
    <row r="226" spans="3:8" ht="12.75" customHeight="1">
      <c r="C226" s="209"/>
      <c r="D226" s="209"/>
      <c r="E226" s="124"/>
      <c r="F226" s="124"/>
      <c r="G226" s="126"/>
      <c r="H226" s="126"/>
    </row>
    <row r="227" spans="3:8" ht="12.75" customHeight="1">
      <c r="C227" s="209"/>
      <c r="D227" s="209"/>
      <c r="E227" s="124"/>
      <c r="F227" s="124"/>
      <c r="G227" s="126"/>
      <c r="H227" s="126"/>
    </row>
    <row r="228" spans="3:8" ht="12.75" customHeight="1">
      <c r="C228" s="209"/>
      <c r="D228" s="209"/>
      <c r="E228" s="124"/>
      <c r="F228" s="124"/>
      <c r="G228" s="126"/>
      <c r="H228" s="126"/>
    </row>
    <row r="229" spans="3:8" ht="12.75" customHeight="1">
      <c r="C229" s="209"/>
      <c r="D229" s="209"/>
      <c r="E229" s="124"/>
      <c r="F229" s="124"/>
      <c r="G229" s="126"/>
      <c r="H229" s="126"/>
    </row>
    <row r="230" spans="3:8" ht="12.75" customHeight="1">
      <c r="C230" s="209"/>
      <c r="D230" s="209"/>
      <c r="E230" s="124"/>
      <c r="F230" s="124"/>
      <c r="G230" s="126"/>
      <c r="H230" s="126"/>
    </row>
    <row r="231" spans="3:8" ht="12.75" customHeight="1">
      <c r="C231" s="209"/>
      <c r="D231" s="209"/>
      <c r="E231" s="124"/>
      <c r="F231" s="124"/>
      <c r="G231" s="126"/>
      <c r="H231" s="126"/>
    </row>
    <row r="232" spans="3:8" ht="12.75" customHeight="1">
      <c r="C232" s="209"/>
      <c r="D232" s="209"/>
      <c r="E232" s="124"/>
      <c r="F232" s="124"/>
      <c r="G232" s="126"/>
      <c r="H232" s="126"/>
    </row>
    <row r="233" spans="3:8" ht="12.75" customHeight="1">
      <c r="C233" s="209"/>
      <c r="D233" s="209"/>
      <c r="E233" s="124"/>
      <c r="F233" s="124"/>
      <c r="G233" s="126"/>
      <c r="H233" s="126"/>
    </row>
    <row r="234" spans="3:8" ht="12.75" customHeight="1">
      <c r="C234" s="209"/>
      <c r="D234" s="209"/>
      <c r="E234" s="124"/>
      <c r="F234" s="124"/>
      <c r="G234" s="126"/>
      <c r="H234" s="126"/>
    </row>
    <row r="235" spans="3:8" ht="12.75" customHeight="1">
      <c r="C235" s="209"/>
      <c r="D235" s="209"/>
      <c r="E235" s="124"/>
      <c r="F235" s="124"/>
      <c r="G235" s="126"/>
      <c r="H235" s="126"/>
    </row>
    <row r="236" spans="3:8" ht="12.75" customHeight="1">
      <c r="C236" s="209"/>
      <c r="D236" s="209"/>
      <c r="E236" s="124"/>
      <c r="F236" s="124"/>
      <c r="G236" s="126"/>
      <c r="H236" s="126"/>
    </row>
    <row r="237" spans="3:8" ht="12.75" customHeight="1">
      <c r="C237" s="209"/>
      <c r="D237" s="209"/>
      <c r="E237" s="124"/>
      <c r="F237" s="124"/>
      <c r="G237" s="126"/>
      <c r="H237" s="126"/>
    </row>
    <row r="238" spans="3:8" ht="12.75" customHeight="1">
      <c r="C238" s="209"/>
      <c r="D238" s="209"/>
      <c r="E238" s="124"/>
      <c r="F238" s="124"/>
      <c r="G238" s="126"/>
      <c r="H238" s="126"/>
    </row>
    <row r="239" spans="3:8" ht="12.75" customHeight="1">
      <c r="C239" s="209"/>
      <c r="D239" s="209"/>
      <c r="E239" s="124"/>
      <c r="F239" s="124"/>
      <c r="G239" s="126"/>
      <c r="H239" s="126"/>
    </row>
    <row r="240" spans="3:8" ht="12.75" customHeight="1">
      <c r="C240" s="209"/>
      <c r="D240" s="209"/>
      <c r="E240" s="124"/>
      <c r="F240" s="124"/>
      <c r="G240" s="126"/>
      <c r="H240" s="126"/>
    </row>
    <row r="241" spans="3:8" ht="12.75" customHeight="1">
      <c r="C241" s="209"/>
      <c r="D241" s="209"/>
      <c r="E241" s="124"/>
      <c r="F241" s="124"/>
      <c r="G241" s="126"/>
      <c r="H241" s="126"/>
    </row>
    <row r="242" spans="3:8" ht="12.75" customHeight="1">
      <c r="C242" s="209"/>
      <c r="D242" s="209"/>
      <c r="E242" s="124"/>
      <c r="F242" s="124"/>
      <c r="G242" s="126"/>
      <c r="H242" s="126"/>
    </row>
    <row r="243" spans="3:8" ht="12.75" customHeight="1">
      <c r="C243" s="209"/>
      <c r="D243" s="209"/>
      <c r="E243" s="124"/>
      <c r="F243" s="124"/>
      <c r="G243" s="126"/>
      <c r="H243" s="126"/>
    </row>
    <row r="244" spans="3:8" ht="12.75" customHeight="1">
      <c r="C244" s="209"/>
      <c r="D244" s="209"/>
      <c r="E244" s="124"/>
      <c r="F244" s="124"/>
      <c r="G244" s="126"/>
      <c r="H244" s="126"/>
    </row>
    <row r="245" spans="3:8" ht="12.75" customHeight="1">
      <c r="C245" s="209"/>
      <c r="D245" s="209"/>
      <c r="E245" s="124"/>
      <c r="F245" s="124"/>
      <c r="G245" s="126"/>
      <c r="H245" s="126"/>
    </row>
    <row r="246" spans="3:8" ht="12.75" customHeight="1">
      <c r="C246" s="209"/>
      <c r="D246" s="209"/>
      <c r="E246" s="124"/>
      <c r="F246" s="124"/>
      <c r="G246" s="126"/>
      <c r="H246" s="126"/>
    </row>
    <row r="247" spans="3:8" ht="12.75" customHeight="1">
      <c r="C247" s="209"/>
      <c r="D247" s="209"/>
      <c r="E247" s="124"/>
      <c r="F247" s="124"/>
      <c r="G247" s="126"/>
      <c r="H247" s="126"/>
    </row>
    <row r="248" spans="3:8" ht="12.75" customHeight="1">
      <c r="C248" s="209"/>
      <c r="D248" s="209"/>
      <c r="E248" s="124"/>
      <c r="F248" s="124"/>
      <c r="G248" s="126"/>
      <c r="H248" s="126"/>
    </row>
    <row r="249" spans="3:8" ht="12.75" customHeight="1">
      <c r="C249" s="209"/>
      <c r="D249" s="209"/>
      <c r="E249" s="124"/>
      <c r="F249" s="124"/>
      <c r="G249" s="126"/>
      <c r="H249" s="126"/>
    </row>
    <row r="250" spans="3:8" ht="12.75" customHeight="1">
      <c r="C250" s="209"/>
      <c r="D250" s="209"/>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xr:uid="{00000000-0002-0000-0100-00000000000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47"/>
  <sheetViews>
    <sheetView topLeftCell="A7" zoomScale="85" zoomScaleNormal="85" workbookViewId="0">
      <selection activeCell="D8" sqref="D8"/>
    </sheetView>
  </sheetViews>
  <sheetFormatPr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43314.75</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70.5" customHeight="1">
      <c r="A7" s="51"/>
      <c r="B7" s="51">
        <v>4</v>
      </c>
      <c r="C7" s="87" t="s">
        <v>373</v>
      </c>
      <c r="D7" s="181" t="s">
        <v>393</v>
      </c>
      <c r="E7" s="88">
        <v>43314.666666666664</v>
      </c>
      <c r="F7" s="88">
        <v>43314.6875</v>
      </c>
      <c r="G7" s="89">
        <f>IF(D6="Da inicio la Ventana de Tiempo","",IF(D6="Dan Fin las Actividades del Plan","",IF(D6="Termina Ventana de Tiempo","",F7-E7)))</f>
        <v>2.0833333335758653E-2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66.75" customHeight="1">
      <c r="A8" s="51"/>
      <c r="B8" s="51">
        <v>5</v>
      </c>
      <c r="C8" s="87" t="s">
        <v>373</v>
      </c>
      <c r="D8" s="181" t="s">
        <v>390</v>
      </c>
      <c r="E8" s="88">
        <v>43314.6875</v>
      </c>
      <c r="F8" s="88">
        <v>43314.708333333336</v>
      </c>
      <c r="G8" s="89">
        <f>IF(D8="Da inicio la Ventana de Tiempo","",IF(D8="Dan Fin las Actividades del Plan","",IF(D8="Termina Ventana de Tiempo","",F8-E8)))</f>
        <v>2.0833333335758653E-2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373</v>
      </c>
      <c r="D9" s="181" t="s">
        <v>402</v>
      </c>
      <c r="E9" s="88">
        <v>43314.708333333336</v>
      </c>
      <c r="F9" s="88">
        <v>43314.729166666664</v>
      </c>
      <c r="G9" s="89">
        <f>IF(D9="Da inicio la Ventana de Tiempo","",IF(D9="Dan Fin las Actividades del Plan","",IF(D9="Termina Ventana de Tiempo","",F9-E9)))</f>
        <v>2.0833333328482695E-2</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373</v>
      </c>
      <c r="D10" s="181" t="s">
        <v>385</v>
      </c>
      <c r="E10" s="88">
        <v>43314.729166666664</v>
      </c>
      <c r="F10" s="88">
        <v>43314.736111111109</v>
      </c>
      <c r="G10" s="89">
        <f>IF(D10="Da inicio la Ventana de Tiempo","",IF(D10="Dan Fin las Actividades del Plan","",IF(D10="Termina Ventana de Tiempo","",F10-E10)))</f>
        <v>6.9444444452528842E-3</v>
      </c>
      <c r="H10" s="182" t="s">
        <v>371</v>
      </c>
      <c r="I10" s="102"/>
      <c r="J10" s="102"/>
      <c r="K10" s="90"/>
      <c r="L10" s="104"/>
      <c r="M10" s="109" t="s">
        <v>327</v>
      </c>
      <c r="N10" s="51"/>
      <c r="O10" s="84"/>
      <c r="P10" s="84"/>
      <c r="Q10" s="57" t="str">
        <f>IF(BACMB!E55="","",BACMB!E55)</f>
        <v>T-IBM-MTSI</v>
      </c>
      <c r="R10" s="57" t="str">
        <f t="shared" si="1"/>
        <v>Seguridad T-System</v>
      </c>
      <c r="S10" s="57" t="str">
        <f t="shared" si="2"/>
        <v>Seguridad T-System;</v>
      </c>
      <c r="T10" s="57" t="str">
        <f t="shared" si="0"/>
        <v/>
      </c>
    </row>
    <row r="11" spans="1:21" ht="34.5" customHeight="1">
      <c r="A11" s="51"/>
      <c r="B11" s="51">
        <v>8</v>
      </c>
      <c r="C11" s="87" t="s">
        <v>60</v>
      </c>
      <c r="D11" s="181" t="s">
        <v>372</v>
      </c>
      <c r="E11" s="88">
        <v>43314.736111111109</v>
      </c>
      <c r="F11" s="88">
        <v>43314.75</v>
      </c>
      <c r="G11" s="89">
        <f t="shared" ref="G11:G20" si="3">IF(D10="Da inicio la Ventana de Tiempo","",IF(D10="Dan Fin las Actividades del Plan","",IF(D10="Termina Ventana de Tiempo","",F11-E11)))</f>
        <v>1.3888888890505768E-2</v>
      </c>
      <c r="H11" s="182" t="s">
        <v>371</v>
      </c>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t="s">
        <v>374</v>
      </c>
      <c r="D12" s="181" t="s">
        <v>386</v>
      </c>
      <c r="E12" s="88"/>
      <c r="F12" s="88"/>
      <c r="G12" s="89">
        <f t="shared" si="3"/>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 t="shared" si="3"/>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si="3"/>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10" priority="2015">
      <formula>$A5="Inicio Liberación"</formula>
    </cfRule>
  </conditionalFormatting>
  <conditionalFormatting sqref="C5">
    <cfRule type="expression" dxfId="1209" priority="2014">
      <formula>$A5="Fin Liberación"</formula>
    </cfRule>
  </conditionalFormatting>
  <conditionalFormatting sqref="L4">
    <cfRule type="expression" dxfId="1208" priority="2012">
      <formula>$A4="Fin Liberación"</formula>
    </cfRule>
    <cfRule type="expression" dxfId="1207" priority="2013">
      <formula>$A4="Inicio Liberación"</formula>
    </cfRule>
  </conditionalFormatting>
  <conditionalFormatting sqref="L4:L6">
    <cfRule type="cellIs" dxfId="1206" priority="2009" operator="equal">
      <formula>"S"</formula>
    </cfRule>
  </conditionalFormatting>
  <conditionalFormatting sqref="L4:L6">
    <cfRule type="cellIs" dxfId="1205" priority="2006" operator="equal">
      <formula>"N"</formula>
    </cfRule>
    <cfRule type="cellIs" dxfId="1204" priority="2007" operator="equal">
      <formula>"P"</formula>
    </cfRule>
    <cfRule type="cellIs" dxfId="1203" priority="2008" operator="equal">
      <formula>"T"</formula>
    </cfRule>
  </conditionalFormatting>
  <conditionalFormatting sqref="L5:L6">
    <cfRule type="expression" dxfId="1202" priority="2004">
      <formula>$A5="Fin Liberación"</formula>
    </cfRule>
    <cfRule type="expression" dxfId="1201" priority="2005">
      <formula>$A5="Inicio Liberación"</formula>
    </cfRule>
  </conditionalFormatting>
  <conditionalFormatting sqref="C4">
    <cfRule type="expression" dxfId="1200" priority="2001">
      <formula>$A4="Inicio Liberación"</formula>
    </cfRule>
  </conditionalFormatting>
  <conditionalFormatting sqref="C4">
    <cfRule type="expression" dxfId="1199" priority="2000">
      <formula>$A4="Fin Liberación"</formula>
    </cfRule>
  </conditionalFormatting>
  <conditionalFormatting sqref="G6:G202">
    <cfRule type="expression" dxfId="1198" priority="1992">
      <formula>$A6="Fin Liberación"</formula>
    </cfRule>
    <cfRule type="expression" dxfId="1197" priority="1993">
      <formula>$A6="Inicio Liberación"</formula>
    </cfRule>
  </conditionalFormatting>
  <conditionalFormatting sqref="F202">
    <cfRule type="expression" dxfId="1196" priority="1988">
      <formula>$A202="Fin Liberación"</formula>
    </cfRule>
    <cfRule type="expression" dxfId="1195" priority="1989">
      <formula>$A202="Inicio Liberación"</formula>
    </cfRule>
  </conditionalFormatting>
  <conditionalFormatting sqref="L186:L202">
    <cfRule type="cellIs" dxfId="1194" priority="1987" operator="equal">
      <formula>"S"</formula>
    </cfRule>
  </conditionalFormatting>
  <conditionalFormatting sqref="L186:L202">
    <cfRule type="cellIs" dxfId="1193" priority="1984" operator="equal">
      <formula>"N"</formula>
    </cfRule>
    <cfRule type="cellIs" dxfId="1192" priority="1985" operator="equal">
      <formula>"P"</formula>
    </cfRule>
    <cfRule type="cellIs" dxfId="1191" priority="1986" operator="equal">
      <formula>"T"</formula>
    </cfRule>
  </conditionalFormatting>
  <conditionalFormatting sqref="L186:L202">
    <cfRule type="expression" dxfId="1190" priority="1982">
      <formula>$A186="Fin Liberación"</formula>
    </cfRule>
    <cfRule type="expression" dxfId="1189" priority="1983">
      <formula>$A186="Inicio Liberación"</formula>
    </cfRule>
  </conditionalFormatting>
  <conditionalFormatting sqref="G36:G202">
    <cfRule type="expression" dxfId="1188" priority="1978">
      <formula>$A36="Fin Liberación"</formula>
    </cfRule>
    <cfRule type="expression" dxfId="1187" priority="1979">
      <formula>$A36="Inicio Liberación"</formula>
    </cfRule>
  </conditionalFormatting>
  <conditionalFormatting sqref="E202">
    <cfRule type="expression" dxfId="1186" priority="1961">
      <formula>$A202="Fin Liberación"</formula>
    </cfRule>
    <cfRule type="expression" dxfId="1185" priority="1962">
      <formula>$A202="Inicio Liberación"</formula>
    </cfRule>
  </conditionalFormatting>
  <conditionalFormatting sqref="G34">
    <cfRule type="expression" dxfId="1184" priority="1959">
      <formula>$A34="Fin Liberación"</formula>
    </cfRule>
    <cfRule type="expression" dxfId="1183" priority="1960">
      <formula>$A34="Inicio Liberación"</formula>
    </cfRule>
  </conditionalFormatting>
  <conditionalFormatting sqref="G33">
    <cfRule type="expression" dxfId="1182" priority="1949">
      <formula>$A33="Fin Liberación"</formula>
    </cfRule>
    <cfRule type="expression" dxfId="1181" priority="1950">
      <formula>$A33="Inicio Liberación"</formula>
    </cfRule>
  </conditionalFormatting>
  <conditionalFormatting sqref="G6:G202">
    <cfRule type="expression" dxfId="1180" priority="1947">
      <formula>$A6="Fin Liberación"</formula>
    </cfRule>
    <cfRule type="expression" dxfId="1179" priority="1948">
      <formula>$A6="Inicio Liberación"</formula>
    </cfRule>
  </conditionalFormatting>
  <conditionalFormatting sqref="G6:G202">
    <cfRule type="containsErrors" dxfId="1178" priority="1946">
      <formula>ISERROR(G6)</formula>
    </cfRule>
  </conditionalFormatting>
  <conditionalFormatting sqref="G6:G202">
    <cfRule type="expression" dxfId="1177" priority="1944">
      <formula>$A6="Fin Liberación"</formula>
    </cfRule>
    <cfRule type="expression" dxfId="1176" priority="1945">
      <formula>$A6="Inicio Liberación"</formula>
    </cfRule>
  </conditionalFormatting>
  <conditionalFormatting sqref="G6:G202">
    <cfRule type="expression" dxfId="1175" priority="1942">
      <formula>$A6="Fin Liberación"</formula>
    </cfRule>
    <cfRule type="expression" dxfId="1174" priority="1943">
      <formula>$A6="Inicio Liberación"</formula>
    </cfRule>
  </conditionalFormatting>
  <conditionalFormatting sqref="G6:G202">
    <cfRule type="expression" dxfId="1173" priority="1940">
      <formula>$A6="Fin Liberación"</formula>
    </cfRule>
    <cfRule type="expression" dxfId="1172" priority="1941">
      <formula>$A6="Inicio Liberación"</formula>
    </cfRule>
  </conditionalFormatting>
  <conditionalFormatting sqref="G5">
    <cfRule type="containsErrors" dxfId="1171" priority="1931">
      <formula>ISERROR(G5)</formula>
    </cfRule>
    <cfRule type="expression" dxfId="1170" priority="1932">
      <formula>$A5="Fin Liberación"</formula>
    </cfRule>
    <cfRule type="expression" dxfId="1169" priority="1933">
      <formula>$A5="Inicio Liberación"</formula>
    </cfRule>
  </conditionalFormatting>
  <conditionalFormatting sqref="C15:C81 C190:C202">
    <cfRule type="expression" dxfId="1168" priority="1928">
      <formula>$A15="Inicio Liberación"</formula>
    </cfRule>
  </conditionalFormatting>
  <conditionalFormatting sqref="C15:C81 C190:C202">
    <cfRule type="expression" dxfId="1167" priority="1927">
      <formula>$A15="Fin Liberación"</formula>
    </cfRule>
  </conditionalFormatting>
  <conditionalFormatting sqref="C203">
    <cfRule type="expression" dxfId="1166" priority="1926">
      <formula>$A203="Inicio Liberación"</formula>
    </cfRule>
  </conditionalFormatting>
  <conditionalFormatting sqref="C203">
    <cfRule type="expression" dxfId="1165" priority="1925">
      <formula>$A203="Fin Liberación"</formula>
    </cfRule>
  </conditionalFormatting>
  <conditionalFormatting sqref="G4">
    <cfRule type="containsErrors" dxfId="1164" priority="1905">
      <formula>ISERROR(G4)</formula>
    </cfRule>
    <cfRule type="expression" dxfId="1163" priority="1906">
      <formula>$A4="Fin Liberación"</formula>
    </cfRule>
    <cfRule type="expression" dxfId="1162" priority="1907">
      <formula>$A4="Inicio Liberación"</formula>
    </cfRule>
  </conditionalFormatting>
  <conditionalFormatting sqref="C204">
    <cfRule type="expression" dxfId="1161" priority="1902">
      <formula>$A204="Inicio Liberación"</formula>
    </cfRule>
  </conditionalFormatting>
  <conditionalFormatting sqref="C204">
    <cfRule type="expression" dxfId="1160" priority="1901">
      <formula>$A204="Fin Liberación"</formula>
    </cfRule>
  </conditionalFormatting>
  <conditionalFormatting sqref="E5">
    <cfRule type="containsText" dxfId="1159" priority="1873" operator="containsText" text="Captura F/H Primer Actividad pestaña Plan">
      <formula>NOT(ISERROR(SEARCH("Captura F/H Primer Actividad pestaña Plan",E5)))</formula>
    </cfRule>
  </conditionalFormatting>
  <conditionalFormatting sqref="F5">
    <cfRule type="containsText" dxfId="1158" priority="1849" operator="containsText" text="Captura la F/H FIN de Actividad actividad FIN del Plan">
      <formula>NOT(ISERROR(SEARCH("Captura la F/H FIN de Actividad actividad FIN del Plan",F5)))</formula>
    </cfRule>
    <cfRule type="containsText" dxfId="1157" priority="1882" operator="containsText" text="Captura Actividad Macro">
      <formula>NOT(ISERROR(SEARCH("Captura Actividad Macro",F5)))</formula>
    </cfRule>
  </conditionalFormatting>
  <conditionalFormatting sqref="E4">
    <cfRule type="containsText" dxfId="1156" priority="1879" operator="containsText" text="Captura Actividad Macro VTI">
      <formula>NOT(ISERROR(SEARCH("Captura Actividad Macro VTI",E4)))</formula>
    </cfRule>
  </conditionalFormatting>
  <conditionalFormatting sqref="F4">
    <cfRule type="containsText" dxfId="1155" priority="1876" operator="containsText" text="Captura Actividad Macro VTF pestaña Plan">
      <formula>NOT(ISERROR(SEARCH("Captura Actividad Macro VTF pestaña Plan",F4)))</formula>
    </cfRule>
  </conditionalFormatting>
  <conditionalFormatting sqref="F187:F201">
    <cfRule type="expression" dxfId="1154" priority="1765">
      <formula>$B187="Fin Liberación"</formula>
    </cfRule>
    <cfRule type="expression" dxfId="1153" priority="1766">
      <formula>$B187="Inicio Liberación"</formula>
    </cfRule>
  </conditionalFormatting>
  <conditionalFormatting sqref="E187:E201">
    <cfRule type="expression" dxfId="1152" priority="1763">
      <formula>$B187="Fin Liberación"</formula>
    </cfRule>
    <cfRule type="expression" dxfId="1151" priority="1764">
      <formula>$B187="Inicio Liberación"</formula>
    </cfRule>
  </conditionalFormatting>
  <conditionalFormatting sqref="C6:C9 C14:C17">
    <cfRule type="expression" dxfId="1150" priority="1687">
      <formula>$B9="Inicio Liberación"</formula>
    </cfRule>
  </conditionalFormatting>
  <conditionalFormatting sqref="C6:C9 C14:C17">
    <cfRule type="expression" dxfId="1149" priority="1688">
      <formula>$B9="Fin Liberación"</formula>
    </cfRule>
  </conditionalFormatting>
  <conditionalFormatting sqref="C190:C201 C6:C9 C14:C81">
    <cfRule type="containsText" dxfId="1148" priority="1649" operator="containsText" text="VTF">
      <formula>NOT(ISERROR(SEARCH("VTF",C6)))</formula>
    </cfRule>
    <cfRule type="containsText" dxfId="1147" priority="1650" operator="containsText" text="VTI">
      <formula>NOT(ISERROR(SEARCH("VTI",C6)))</formula>
    </cfRule>
  </conditionalFormatting>
  <conditionalFormatting sqref="C7">
    <cfRule type="expression" dxfId="1146" priority="909">
      <formula>$B7="Fin Liberación"</formula>
    </cfRule>
    <cfRule type="expression" dxfId="1145" priority="910">
      <formula>$B7="Inicio Liberación"</formula>
    </cfRule>
  </conditionalFormatting>
  <conditionalFormatting sqref="C7">
    <cfRule type="expression" dxfId="1144" priority="907">
      <formula>$B7="Fin Liberación"</formula>
    </cfRule>
    <cfRule type="expression" dxfId="1143" priority="908">
      <formula>$B7="Inicio Liberación"</formula>
    </cfRule>
  </conditionalFormatting>
  <conditionalFormatting sqref="E6">
    <cfRule type="expression" dxfId="1142" priority="845">
      <formula>$B6="Fin Liberación"</formula>
    </cfRule>
    <cfRule type="expression" dxfId="1141" priority="846">
      <formula>$B6="Inicio Liberación"</formula>
    </cfRule>
  </conditionalFormatting>
  <conditionalFormatting sqref="C15">
    <cfRule type="expression" dxfId="1140" priority="809">
      <formula>$B15="Fin Liberación"</formula>
    </cfRule>
    <cfRule type="expression" dxfId="1139" priority="810">
      <formula>$B15="Inicio Liberación"</formula>
    </cfRule>
  </conditionalFormatting>
  <conditionalFormatting sqref="C15">
    <cfRule type="expression" dxfId="1138" priority="807">
      <formula>$B15="Fin Liberación"</formula>
    </cfRule>
    <cfRule type="expression" dxfId="1137" priority="808">
      <formula>$B15="Inicio Liberación"</formula>
    </cfRule>
  </conditionalFormatting>
  <conditionalFormatting sqref="C18:C21">
    <cfRule type="expression" dxfId="1136" priority="805">
      <formula>$B21="Inicio Liberación"</formula>
    </cfRule>
  </conditionalFormatting>
  <conditionalFormatting sqref="C18:C21">
    <cfRule type="expression" dxfId="1135" priority="806">
      <formula>$B21="Fin Liberación"</formula>
    </cfRule>
  </conditionalFormatting>
  <conditionalFormatting sqref="C19">
    <cfRule type="expression" dxfId="1134" priority="803">
      <formula>$B19="Fin Liberación"</formula>
    </cfRule>
    <cfRule type="expression" dxfId="1133" priority="804">
      <formula>$B19="Inicio Liberación"</formula>
    </cfRule>
  </conditionalFormatting>
  <conditionalFormatting sqref="C19">
    <cfRule type="expression" dxfId="1132" priority="801">
      <formula>$B19="Fin Liberación"</formula>
    </cfRule>
    <cfRule type="expression" dxfId="1131" priority="802">
      <formula>$B19="Inicio Liberación"</formula>
    </cfRule>
  </conditionalFormatting>
  <conditionalFormatting sqref="C22:C25">
    <cfRule type="expression" dxfId="1130" priority="799">
      <formula>$B25="Inicio Liberación"</formula>
    </cfRule>
  </conditionalFormatting>
  <conditionalFormatting sqref="C22:C25">
    <cfRule type="expression" dxfId="1129" priority="800">
      <formula>$B25="Fin Liberación"</formula>
    </cfRule>
  </conditionalFormatting>
  <conditionalFormatting sqref="C23">
    <cfRule type="expression" dxfId="1128" priority="797">
      <formula>$B23="Fin Liberación"</formula>
    </cfRule>
    <cfRule type="expression" dxfId="1127" priority="798">
      <formula>$B23="Inicio Liberación"</formula>
    </cfRule>
  </conditionalFormatting>
  <conditionalFormatting sqref="C23">
    <cfRule type="expression" dxfId="1126" priority="795">
      <formula>$B23="Fin Liberación"</formula>
    </cfRule>
    <cfRule type="expression" dxfId="1125" priority="796">
      <formula>$B23="Inicio Liberación"</formula>
    </cfRule>
  </conditionalFormatting>
  <conditionalFormatting sqref="C26:C29">
    <cfRule type="expression" dxfId="1124" priority="793">
      <formula>$B29="Inicio Liberación"</formula>
    </cfRule>
  </conditionalFormatting>
  <conditionalFormatting sqref="C26:C29">
    <cfRule type="expression" dxfId="1123" priority="794">
      <formula>$B29="Fin Liberación"</formula>
    </cfRule>
  </conditionalFormatting>
  <conditionalFormatting sqref="C27">
    <cfRule type="expression" dxfId="1122" priority="791">
      <formula>$B27="Fin Liberación"</formula>
    </cfRule>
    <cfRule type="expression" dxfId="1121" priority="792">
      <formula>$B27="Inicio Liberación"</formula>
    </cfRule>
  </conditionalFormatting>
  <conditionalFormatting sqref="C27">
    <cfRule type="expression" dxfId="1120" priority="789">
      <formula>$B27="Fin Liberación"</formula>
    </cfRule>
    <cfRule type="expression" dxfId="1119" priority="790">
      <formula>$B27="Inicio Liberación"</formula>
    </cfRule>
  </conditionalFormatting>
  <conditionalFormatting sqref="C30:C33">
    <cfRule type="expression" dxfId="1118" priority="787">
      <formula>$B33="Inicio Liberación"</formula>
    </cfRule>
  </conditionalFormatting>
  <conditionalFormatting sqref="C30:C33">
    <cfRule type="expression" dxfId="1117" priority="788">
      <formula>$B33="Fin Liberación"</formula>
    </cfRule>
  </conditionalFormatting>
  <conditionalFormatting sqref="C31">
    <cfRule type="expression" dxfId="1116" priority="785">
      <formula>$B31="Fin Liberación"</formula>
    </cfRule>
    <cfRule type="expression" dxfId="1115" priority="786">
      <formula>$B31="Inicio Liberación"</formula>
    </cfRule>
  </conditionalFormatting>
  <conditionalFormatting sqref="C31">
    <cfRule type="expression" dxfId="1114" priority="783">
      <formula>$B31="Fin Liberación"</formula>
    </cfRule>
    <cfRule type="expression" dxfId="1113" priority="784">
      <formula>$B31="Inicio Liberación"</formula>
    </cfRule>
  </conditionalFormatting>
  <conditionalFormatting sqref="C34:C37">
    <cfRule type="expression" dxfId="1112" priority="781">
      <formula>$B37="Inicio Liberación"</formula>
    </cfRule>
  </conditionalFormatting>
  <conditionalFormatting sqref="C34:C37">
    <cfRule type="expression" dxfId="1111" priority="782">
      <formula>$B37="Fin Liberación"</formula>
    </cfRule>
  </conditionalFormatting>
  <conditionalFormatting sqref="C35">
    <cfRule type="expression" dxfId="1110" priority="779">
      <formula>$B35="Fin Liberación"</formula>
    </cfRule>
    <cfRule type="expression" dxfId="1109" priority="780">
      <formula>$B35="Inicio Liberación"</formula>
    </cfRule>
  </conditionalFormatting>
  <conditionalFormatting sqref="C35">
    <cfRule type="expression" dxfId="1108" priority="777">
      <formula>$B35="Fin Liberación"</formula>
    </cfRule>
    <cfRule type="expression" dxfId="1107" priority="778">
      <formula>$B35="Inicio Liberación"</formula>
    </cfRule>
  </conditionalFormatting>
  <conditionalFormatting sqref="C38:C41">
    <cfRule type="expression" dxfId="1106" priority="775">
      <formula>$B41="Inicio Liberación"</formula>
    </cfRule>
  </conditionalFormatting>
  <conditionalFormatting sqref="C38:C41">
    <cfRule type="expression" dxfId="1105" priority="776">
      <formula>$B41="Fin Liberación"</formula>
    </cfRule>
  </conditionalFormatting>
  <conditionalFormatting sqref="C39">
    <cfRule type="expression" dxfId="1104" priority="773">
      <formula>$B39="Fin Liberación"</formula>
    </cfRule>
    <cfRule type="expression" dxfId="1103" priority="774">
      <formula>$B39="Inicio Liberación"</formula>
    </cfRule>
  </conditionalFormatting>
  <conditionalFormatting sqref="C39">
    <cfRule type="expression" dxfId="1102" priority="771">
      <formula>$B39="Fin Liberación"</formula>
    </cfRule>
    <cfRule type="expression" dxfId="1101" priority="772">
      <formula>$B39="Inicio Liberación"</formula>
    </cfRule>
  </conditionalFormatting>
  <conditionalFormatting sqref="C42:C45">
    <cfRule type="expression" dxfId="1100" priority="769">
      <formula>$B45="Inicio Liberación"</formula>
    </cfRule>
  </conditionalFormatting>
  <conditionalFormatting sqref="C42:C45">
    <cfRule type="expression" dxfId="1099" priority="770">
      <formula>$B45="Fin Liberación"</formula>
    </cfRule>
  </conditionalFormatting>
  <conditionalFormatting sqref="C43">
    <cfRule type="expression" dxfId="1098" priority="767">
      <formula>$B43="Fin Liberación"</formula>
    </cfRule>
    <cfRule type="expression" dxfId="1097" priority="768">
      <formula>$B43="Inicio Liberación"</formula>
    </cfRule>
  </conditionalFormatting>
  <conditionalFormatting sqref="C43">
    <cfRule type="expression" dxfId="1096" priority="765">
      <formula>$B43="Fin Liberación"</formula>
    </cfRule>
    <cfRule type="expression" dxfId="1095" priority="766">
      <formula>$B43="Inicio Liberación"</formula>
    </cfRule>
  </conditionalFormatting>
  <conditionalFormatting sqref="C46:C49">
    <cfRule type="expression" dxfId="1094" priority="763">
      <formula>$B49="Inicio Liberación"</formula>
    </cfRule>
  </conditionalFormatting>
  <conditionalFormatting sqref="C46:C49">
    <cfRule type="expression" dxfId="1093" priority="764">
      <formula>$B49="Fin Liberación"</formula>
    </cfRule>
  </conditionalFormatting>
  <conditionalFormatting sqref="C47">
    <cfRule type="expression" dxfId="1092" priority="761">
      <formula>$B47="Fin Liberación"</formula>
    </cfRule>
    <cfRule type="expression" dxfId="1091" priority="762">
      <formula>$B47="Inicio Liberación"</formula>
    </cfRule>
  </conditionalFormatting>
  <conditionalFormatting sqref="C47">
    <cfRule type="expression" dxfId="1090" priority="759">
      <formula>$B47="Fin Liberación"</formula>
    </cfRule>
    <cfRule type="expression" dxfId="1089" priority="760">
      <formula>$B47="Inicio Liberación"</formula>
    </cfRule>
  </conditionalFormatting>
  <conditionalFormatting sqref="C50:C53">
    <cfRule type="expression" dxfId="1088" priority="757">
      <formula>$B53="Inicio Liberación"</formula>
    </cfRule>
  </conditionalFormatting>
  <conditionalFormatting sqref="C50:C53">
    <cfRule type="expression" dxfId="1087" priority="758">
      <formula>$B53="Fin Liberación"</formula>
    </cfRule>
  </conditionalFormatting>
  <conditionalFormatting sqref="C51">
    <cfRule type="expression" dxfId="1086" priority="755">
      <formula>$B51="Fin Liberación"</formula>
    </cfRule>
    <cfRule type="expression" dxfId="1085" priority="756">
      <formula>$B51="Inicio Liberación"</formula>
    </cfRule>
  </conditionalFormatting>
  <conditionalFormatting sqref="C51">
    <cfRule type="expression" dxfId="1084" priority="753">
      <formula>$B51="Fin Liberación"</formula>
    </cfRule>
    <cfRule type="expression" dxfId="1083" priority="754">
      <formula>$B51="Inicio Liberación"</formula>
    </cfRule>
  </conditionalFormatting>
  <conditionalFormatting sqref="C54:C57">
    <cfRule type="expression" dxfId="1082" priority="751">
      <formula>$B57="Inicio Liberación"</formula>
    </cfRule>
  </conditionalFormatting>
  <conditionalFormatting sqref="C54:C57">
    <cfRule type="expression" dxfId="1081" priority="752">
      <formula>$B57="Fin Liberación"</formula>
    </cfRule>
  </conditionalFormatting>
  <conditionalFormatting sqref="C55">
    <cfRule type="expression" dxfId="1080" priority="749">
      <formula>$B55="Fin Liberación"</formula>
    </cfRule>
    <cfRule type="expression" dxfId="1079" priority="750">
      <formula>$B55="Inicio Liberación"</formula>
    </cfRule>
  </conditionalFormatting>
  <conditionalFormatting sqref="C55">
    <cfRule type="expression" dxfId="1078" priority="747">
      <formula>$B55="Fin Liberación"</formula>
    </cfRule>
    <cfRule type="expression" dxfId="1077" priority="748">
      <formula>$B55="Inicio Liberación"</formula>
    </cfRule>
  </conditionalFormatting>
  <conditionalFormatting sqref="C58:C61">
    <cfRule type="expression" dxfId="1076" priority="741">
      <formula>$B61="Inicio Liberación"</formula>
    </cfRule>
  </conditionalFormatting>
  <conditionalFormatting sqref="C58:C61">
    <cfRule type="expression" dxfId="1075" priority="742">
      <formula>$B61="Fin Liberación"</formula>
    </cfRule>
  </conditionalFormatting>
  <conditionalFormatting sqref="C59">
    <cfRule type="expression" dxfId="1074" priority="739">
      <formula>$B59="Fin Liberación"</formula>
    </cfRule>
    <cfRule type="expression" dxfId="1073" priority="740">
      <formula>$B59="Inicio Liberación"</formula>
    </cfRule>
  </conditionalFormatting>
  <conditionalFormatting sqref="C59">
    <cfRule type="expression" dxfId="1072" priority="737">
      <formula>$B59="Fin Liberación"</formula>
    </cfRule>
    <cfRule type="expression" dxfId="1071" priority="738">
      <formula>$B59="Inicio Liberación"</formula>
    </cfRule>
  </conditionalFormatting>
  <conditionalFormatting sqref="C62:C65">
    <cfRule type="expression" dxfId="1070" priority="735">
      <formula>$B65="Inicio Liberación"</formula>
    </cfRule>
  </conditionalFormatting>
  <conditionalFormatting sqref="C62:C65">
    <cfRule type="expression" dxfId="1069" priority="736">
      <formula>$B65="Fin Liberación"</formula>
    </cfRule>
  </conditionalFormatting>
  <conditionalFormatting sqref="C63">
    <cfRule type="expression" dxfId="1068" priority="733">
      <formula>$B63="Fin Liberación"</formula>
    </cfRule>
    <cfRule type="expression" dxfId="1067" priority="734">
      <formula>$B63="Inicio Liberación"</formula>
    </cfRule>
  </conditionalFormatting>
  <conditionalFormatting sqref="C63">
    <cfRule type="expression" dxfId="1066" priority="731">
      <formula>$B63="Fin Liberación"</formula>
    </cfRule>
    <cfRule type="expression" dxfId="1065" priority="732">
      <formula>$B63="Inicio Liberación"</formula>
    </cfRule>
  </conditionalFormatting>
  <conditionalFormatting sqref="C66:C69">
    <cfRule type="expression" dxfId="1064" priority="729">
      <formula>$B69="Inicio Liberación"</formula>
    </cfRule>
  </conditionalFormatting>
  <conditionalFormatting sqref="C66:C69">
    <cfRule type="expression" dxfId="1063" priority="730">
      <formula>$B69="Fin Liberación"</formula>
    </cfRule>
  </conditionalFormatting>
  <conditionalFormatting sqref="C67">
    <cfRule type="expression" dxfId="1062" priority="727">
      <formula>$B67="Fin Liberación"</formula>
    </cfRule>
    <cfRule type="expression" dxfId="1061" priority="728">
      <formula>$B67="Inicio Liberación"</formula>
    </cfRule>
  </conditionalFormatting>
  <conditionalFormatting sqref="C67">
    <cfRule type="expression" dxfId="1060" priority="725">
      <formula>$B67="Fin Liberación"</formula>
    </cfRule>
    <cfRule type="expression" dxfId="1059" priority="726">
      <formula>$B67="Inicio Liberación"</formula>
    </cfRule>
  </conditionalFormatting>
  <conditionalFormatting sqref="C70:C73">
    <cfRule type="expression" dxfId="1058" priority="723">
      <formula>$B73="Inicio Liberación"</formula>
    </cfRule>
  </conditionalFormatting>
  <conditionalFormatting sqref="C70:C73">
    <cfRule type="expression" dxfId="1057" priority="724">
      <formula>$B73="Fin Liberación"</formula>
    </cfRule>
  </conditionalFormatting>
  <conditionalFormatting sqref="C71">
    <cfRule type="expression" dxfId="1056" priority="721">
      <formula>$B71="Fin Liberación"</formula>
    </cfRule>
    <cfRule type="expression" dxfId="1055" priority="722">
      <formula>$B71="Inicio Liberación"</formula>
    </cfRule>
  </conditionalFormatting>
  <conditionalFormatting sqref="C71">
    <cfRule type="expression" dxfId="1054" priority="719">
      <formula>$B71="Fin Liberación"</formula>
    </cfRule>
    <cfRule type="expression" dxfId="1053" priority="720">
      <formula>$B71="Inicio Liberación"</formula>
    </cfRule>
  </conditionalFormatting>
  <conditionalFormatting sqref="C74:C77">
    <cfRule type="expression" dxfId="1052" priority="717">
      <formula>$B77="Inicio Liberación"</formula>
    </cfRule>
  </conditionalFormatting>
  <conditionalFormatting sqref="C74:C77">
    <cfRule type="expression" dxfId="1051" priority="718">
      <formula>$B77="Fin Liberación"</formula>
    </cfRule>
  </conditionalFormatting>
  <conditionalFormatting sqref="C75">
    <cfRule type="expression" dxfId="1050" priority="715">
      <formula>$B75="Fin Liberación"</formula>
    </cfRule>
    <cfRule type="expression" dxfId="1049" priority="716">
      <formula>$B75="Inicio Liberación"</formula>
    </cfRule>
  </conditionalFormatting>
  <conditionalFormatting sqref="C75">
    <cfRule type="expression" dxfId="1048" priority="713">
      <formula>$B75="Fin Liberación"</formula>
    </cfRule>
    <cfRule type="expression" dxfId="1047" priority="714">
      <formula>$B75="Inicio Liberación"</formula>
    </cfRule>
  </conditionalFormatting>
  <conditionalFormatting sqref="C78:C81">
    <cfRule type="expression" dxfId="1046" priority="711">
      <formula>$B81="Inicio Liberación"</formula>
    </cfRule>
  </conditionalFormatting>
  <conditionalFormatting sqref="C78:C81">
    <cfRule type="expression" dxfId="1045" priority="712">
      <formula>$B81="Fin Liberación"</formula>
    </cfRule>
  </conditionalFormatting>
  <conditionalFormatting sqref="C79">
    <cfRule type="expression" dxfId="1044" priority="709">
      <formula>$B79="Fin Liberación"</formula>
    </cfRule>
    <cfRule type="expression" dxfId="1043" priority="710">
      <formula>$B79="Inicio Liberación"</formula>
    </cfRule>
  </conditionalFormatting>
  <conditionalFormatting sqref="C79">
    <cfRule type="expression" dxfId="1042" priority="707">
      <formula>$B79="Fin Liberación"</formula>
    </cfRule>
    <cfRule type="expression" dxfId="1041" priority="708">
      <formula>$B79="Inicio Liberación"</formula>
    </cfRule>
  </conditionalFormatting>
  <conditionalFormatting sqref="C91:C157">
    <cfRule type="expression" dxfId="1040" priority="706">
      <formula>$A91="Inicio Liberación"</formula>
    </cfRule>
  </conditionalFormatting>
  <conditionalFormatting sqref="C91:C157">
    <cfRule type="expression" dxfId="1039" priority="705">
      <formula>$A91="Fin Liberación"</formula>
    </cfRule>
  </conditionalFormatting>
  <conditionalFormatting sqref="C82:C85 C90:C93">
    <cfRule type="expression" dxfId="1038" priority="703">
      <formula>$B85="Inicio Liberación"</formula>
    </cfRule>
  </conditionalFormatting>
  <conditionalFormatting sqref="C82:C85 C90:C93">
    <cfRule type="expression" dxfId="1037" priority="704">
      <formula>$B85="Fin Liberación"</formula>
    </cfRule>
  </conditionalFormatting>
  <conditionalFormatting sqref="C82:C85 C90:C157">
    <cfRule type="containsText" dxfId="1036" priority="701" operator="containsText" text="VTF">
      <formula>NOT(ISERROR(SEARCH("VTF",C82)))</formula>
    </cfRule>
    <cfRule type="containsText" dxfId="1035" priority="702" operator="containsText" text="VTI">
      <formula>NOT(ISERROR(SEARCH("VTI",C82)))</formula>
    </cfRule>
  </conditionalFormatting>
  <conditionalFormatting sqref="C83">
    <cfRule type="expression" dxfId="1034" priority="699">
      <formula>$B83="Fin Liberación"</formula>
    </cfRule>
    <cfRule type="expression" dxfId="1033" priority="700">
      <formula>$B83="Inicio Liberación"</formula>
    </cfRule>
  </conditionalFormatting>
  <conditionalFormatting sqref="C83">
    <cfRule type="expression" dxfId="1032" priority="697">
      <formula>$B83="Fin Liberación"</formula>
    </cfRule>
    <cfRule type="expression" dxfId="1031" priority="698">
      <formula>$B83="Inicio Liberación"</formula>
    </cfRule>
  </conditionalFormatting>
  <conditionalFormatting sqref="C86:C89">
    <cfRule type="expression" dxfId="1030" priority="695">
      <formula>$B89="Inicio Liberación"</formula>
    </cfRule>
  </conditionalFormatting>
  <conditionalFormatting sqref="C86:C89">
    <cfRule type="expression" dxfId="1029" priority="696">
      <formula>$B89="Fin Liberación"</formula>
    </cfRule>
  </conditionalFormatting>
  <conditionalFormatting sqref="C86:C89">
    <cfRule type="containsText" dxfId="1028" priority="693" operator="containsText" text="VTF">
      <formula>NOT(ISERROR(SEARCH("VTF",C86)))</formula>
    </cfRule>
    <cfRule type="containsText" dxfId="1027" priority="694" operator="containsText" text="VTI">
      <formula>NOT(ISERROR(SEARCH("VTI",C86)))</formula>
    </cfRule>
  </conditionalFormatting>
  <conditionalFormatting sqref="C87">
    <cfRule type="expression" dxfId="1026" priority="691">
      <formula>$B87="Fin Liberación"</formula>
    </cfRule>
    <cfRule type="expression" dxfId="1025" priority="692">
      <formula>$B87="Inicio Liberación"</formula>
    </cfRule>
  </conditionalFormatting>
  <conditionalFormatting sqref="C87">
    <cfRule type="expression" dxfId="1024" priority="689">
      <formula>$B87="Fin Liberación"</formula>
    </cfRule>
    <cfRule type="expression" dxfId="1023" priority="690">
      <formula>$B87="Inicio Liberación"</formula>
    </cfRule>
  </conditionalFormatting>
  <conditionalFormatting sqref="C91">
    <cfRule type="expression" dxfId="1022" priority="687">
      <formula>$B91="Fin Liberación"</formula>
    </cfRule>
    <cfRule type="expression" dxfId="1021" priority="688">
      <formula>$B91="Inicio Liberación"</formula>
    </cfRule>
  </conditionalFormatting>
  <conditionalFormatting sqref="C91">
    <cfRule type="expression" dxfId="1020" priority="685">
      <formula>$B91="Fin Liberación"</formula>
    </cfRule>
    <cfRule type="expression" dxfId="1019" priority="686">
      <formula>$B91="Inicio Liberación"</formula>
    </cfRule>
  </conditionalFormatting>
  <conditionalFormatting sqref="C94:C97">
    <cfRule type="expression" dxfId="1018" priority="683">
      <formula>$B97="Inicio Liberación"</formula>
    </cfRule>
  </conditionalFormatting>
  <conditionalFormatting sqref="C94:C97">
    <cfRule type="expression" dxfId="1017" priority="684">
      <formula>$B97="Fin Liberación"</formula>
    </cfRule>
  </conditionalFormatting>
  <conditionalFormatting sqref="C95">
    <cfRule type="expression" dxfId="1016" priority="681">
      <formula>$B95="Fin Liberación"</formula>
    </cfRule>
    <cfRule type="expression" dxfId="1015" priority="682">
      <formula>$B95="Inicio Liberación"</formula>
    </cfRule>
  </conditionalFormatting>
  <conditionalFormatting sqref="C95">
    <cfRule type="expression" dxfId="1014" priority="679">
      <formula>$B95="Fin Liberación"</formula>
    </cfRule>
    <cfRule type="expression" dxfId="1013" priority="680">
      <formula>$B95="Inicio Liberación"</formula>
    </cfRule>
  </conditionalFormatting>
  <conditionalFormatting sqref="C98:C101">
    <cfRule type="expression" dxfId="1012" priority="677">
      <formula>$B101="Inicio Liberación"</formula>
    </cfRule>
  </conditionalFormatting>
  <conditionalFormatting sqref="C98:C101">
    <cfRule type="expression" dxfId="1011" priority="678">
      <formula>$B101="Fin Liberación"</formula>
    </cfRule>
  </conditionalFormatting>
  <conditionalFormatting sqref="C99">
    <cfRule type="expression" dxfId="1010" priority="675">
      <formula>$B99="Fin Liberación"</formula>
    </cfRule>
    <cfRule type="expression" dxfId="1009" priority="676">
      <formula>$B99="Inicio Liberación"</formula>
    </cfRule>
  </conditionalFormatting>
  <conditionalFormatting sqref="C99">
    <cfRule type="expression" dxfId="1008" priority="673">
      <formula>$B99="Fin Liberación"</formula>
    </cfRule>
    <cfRule type="expression" dxfId="1007" priority="674">
      <formula>$B99="Inicio Liberación"</formula>
    </cfRule>
  </conditionalFormatting>
  <conditionalFormatting sqref="C102:C105">
    <cfRule type="expression" dxfId="1006" priority="671">
      <formula>$B105="Inicio Liberación"</formula>
    </cfRule>
  </conditionalFormatting>
  <conditionalFormatting sqref="C102:C105">
    <cfRule type="expression" dxfId="1005" priority="672">
      <formula>$B105="Fin Liberación"</formula>
    </cfRule>
  </conditionalFormatting>
  <conditionalFormatting sqref="C103">
    <cfRule type="expression" dxfId="1004" priority="669">
      <formula>$B103="Fin Liberación"</formula>
    </cfRule>
    <cfRule type="expression" dxfId="1003" priority="670">
      <formula>$B103="Inicio Liberación"</formula>
    </cfRule>
  </conditionalFormatting>
  <conditionalFormatting sqref="C103">
    <cfRule type="expression" dxfId="1002" priority="667">
      <formula>$B103="Fin Liberación"</formula>
    </cfRule>
    <cfRule type="expression" dxfId="1001" priority="668">
      <formula>$B103="Inicio Liberación"</formula>
    </cfRule>
  </conditionalFormatting>
  <conditionalFormatting sqref="C106:C109">
    <cfRule type="expression" dxfId="1000" priority="665">
      <formula>$B109="Inicio Liberación"</formula>
    </cfRule>
  </conditionalFormatting>
  <conditionalFormatting sqref="C106:C109">
    <cfRule type="expression" dxfId="999" priority="666">
      <formula>$B109="Fin Liberación"</formula>
    </cfRule>
  </conditionalFormatting>
  <conditionalFormatting sqref="C107">
    <cfRule type="expression" dxfId="998" priority="663">
      <formula>$B107="Fin Liberación"</formula>
    </cfRule>
    <cfRule type="expression" dxfId="997" priority="664">
      <formula>$B107="Inicio Liberación"</formula>
    </cfRule>
  </conditionalFormatting>
  <conditionalFormatting sqref="C107">
    <cfRule type="expression" dxfId="996" priority="661">
      <formula>$B107="Fin Liberación"</formula>
    </cfRule>
    <cfRule type="expression" dxfId="995" priority="662">
      <formula>$B107="Inicio Liberación"</formula>
    </cfRule>
  </conditionalFormatting>
  <conditionalFormatting sqref="C110:C113">
    <cfRule type="expression" dxfId="994" priority="659">
      <formula>$B113="Inicio Liberación"</formula>
    </cfRule>
  </conditionalFormatting>
  <conditionalFormatting sqref="C110:C113">
    <cfRule type="expression" dxfId="993" priority="660">
      <formula>$B113="Fin Liberación"</formula>
    </cfRule>
  </conditionalFormatting>
  <conditionalFormatting sqref="C111">
    <cfRule type="expression" dxfId="992" priority="657">
      <formula>$B111="Fin Liberación"</formula>
    </cfRule>
    <cfRule type="expression" dxfId="991" priority="658">
      <formula>$B111="Inicio Liberación"</formula>
    </cfRule>
  </conditionalFormatting>
  <conditionalFormatting sqref="C111">
    <cfRule type="expression" dxfId="990" priority="655">
      <formula>$B111="Fin Liberación"</formula>
    </cfRule>
    <cfRule type="expression" dxfId="989" priority="656">
      <formula>$B111="Inicio Liberación"</formula>
    </cfRule>
  </conditionalFormatting>
  <conditionalFormatting sqref="C114:C117">
    <cfRule type="expression" dxfId="988" priority="653">
      <formula>$B117="Inicio Liberación"</formula>
    </cfRule>
  </conditionalFormatting>
  <conditionalFormatting sqref="C114:C117">
    <cfRule type="expression" dxfId="987" priority="654">
      <formula>$B117="Fin Liberación"</formula>
    </cfRule>
  </conditionalFormatting>
  <conditionalFormatting sqref="C115">
    <cfRule type="expression" dxfId="986" priority="651">
      <formula>$B115="Fin Liberación"</formula>
    </cfRule>
    <cfRule type="expression" dxfId="985" priority="652">
      <formula>$B115="Inicio Liberación"</formula>
    </cfRule>
  </conditionalFormatting>
  <conditionalFormatting sqref="C115">
    <cfRule type="expression" dxfId="984" priority="649">
      <formula>$B115="Fin Liberación"</formula>
    </cfRule>
    <cfRule type="expression" dxfId="983" priority="650">
      <formula>$B115="Inicio Liberación"</formula>
    </cfRule>
  </conditionalFormatting>
  <conditionalFormatting sqref="C118:C121">
    <cfRule type="expression" dxfId="982" priority="647">
      <formula>$B121="Inicio Liberación"</formula>
    </cfRule>
  </conditionalFormatting>
  <conditionalFormatting sqref="C118:C121">
    <cfRule type="expression" dxfId="981" priority="648">
      <formula>$B121="Fin Liberación"</formula>
    </cfRule>
  </conditionalFormatting>
  <conditionalFormatting sqref="C119">
    <cfRule type="expression" dxfId="980" priority="645">
      <formula>$B119="Fin Liberación"</formula>
    </cfRule>
    <cfRule type="expression" dxfId="979" priority="646">
      <formula>$B119="Inicio Liberación"</formula>
    </cfRule>
  </conditionalFormatting>
  <conditionalFormatting sqref="C119">
    <cfRule type="expression" dxfId="978" priority="643">
      <formula>$B119="Fin Liberación"</formula>
    </cfRule>
    <cfRule type="expression" dxfId="977" priority="644">
      <formula>$B119="Inicio Liberación"</formula>
    </cfRule>
  </conditionalFormatting>
  <conditionalFormatting sqref="C122:C125">
    <cfRule type="expression" dxfId="976" priority="641">
      <formula>$B125="Inicio Liberación"</formula>
    </cfRule>
  </conditionalFormatting>
  <conditionalFormatting sqref="C122:C125">
    <cfRule type="expression" dxfId="975" priority="642">
      <formula>$B125="Fin Liberación"</formula>
    </cfRule>
  </conditionalFormatting>
  <conditionalFormatting sqref="C123">
    <cfRule type="expression" dxfId="974" priority="639">
      <formula>$B123="Fin Liberación"</formula>
    </cfRule>
    <cfRule type="expression" dxfId="973" priority="640">
      <formula>$B123="Inicio Liberación"</formula>
    </cfRule>
  </conditionalFormatting>
  <conditionalFormatting sqref="C123">
    <cfRule type="expression" dxfId="972" priority="637">
      <formula>$B123="Fin Liberación"</formula>
    </cfRule>
    <cfRule type="expression" dxfId="971" priority="638">
      <formula>$B123="Inicio Liberación"</formula>
    </cfRule>
  </conditionalFormatting>
  <conditionalFormatting sqref="C126:C129">
    <cfRule type="expression" dxfId="970" priority="635">
      <formula>$B129="Inicio Liberación"</formula>
    </cfRule>
  </conditionalFormatting>
  <conditionalFormatting sqref="C126:C129">
    <cfRule type="expression" dxfId="969" priority="636">
      <formula>$B129="Fin Liberación"</formula>
    </cfRule>
  </conditionalFormatting>
  <conditionalFormatting sqref="C127">
    <cfRule type="expression" dxfId="968" priority="633">
      <formula>$B127="Fin Liberación"</formula>
    </cfRule>
    <cfRule type="expression" dxfId="967" priority="634">
      <formula>$B127="Inicio Liberación"</formula>
    </cfRule>
  </conditionalFormatting>
  <conditionalFormatting sqref="C127">
    <cfRule type="expression" dxfId="966" priority="631">
      <formula>$B127="Fin Liberación"</formula>
    </cfRule>
    <cfRule type="expression" dxfId="965" priority="632">
      <formula>$B127="Inicio Liberación"</formula>
    </cfRule>
  </conditionalFormatting>
  <conditionalFormatting sqref="C130:C133">
    <cfRule type="expression" dxfId="964" priority="629">
      <formula>$B133="Inicio Liberación"</formula>
    </cfRule>
  </conditionalFormatting>
  <conditionalFormatting sqref="C130:C133">
    <cfRule type="expression" dxfId="963" priority="630">
      <formula>$B133="Fin Liberación"</formula>
    </cfRule>
  </conditionalFormatting>
  <conditionalFormatting sqref="C131">
    <cfRule type="expression" dxfId="962" priority="627">
      <formula>$B131="Fin Liberación"</formula>
    </cfRule>
    <cfRule type="expression" dxfId="961" priority="628">
      <formula>$B131="Inicio Liberación"</formula>
    </cfRule>
  </conditionalFormatting>
  <conditionalFormatting sqref="C131">
    <cfRule type="expression" dxfId="960" priority="625">
      <formula>$B131="Fin Liberación"</formula>
    </cfRule>
    <cfRule type="expression" dxfId="959" priority="626">
      <formula>$B131="Inicio Liberación"</formula>
    </cfRule>
  </conditionalFormatting>
  <conditionalFormatting sqref="C134:C137">
    <cfRule type="expression" dxfId="958" priority="623">
      <formula>$B137="Inicio Liberación"</formula>
    </cfRule>
  </conditionalFormatting>
  <conditionalFormatting sqref="C134:C137">
    <cfRule type="expression" dxfId="957" priority="624">
      <formula>$B137="Fin Liberación"</formula>
    </cfRule>
  </conditionalFormatting>
  <conditionalFormatting sqref="C135">
    <cfRule type="expression" dxfId="956" priority="621">
      <formula>$B135="Fin Liberación"</formula>
    </cfRule>
    <cfRule type="expression" dxfId="955" priority="622">
      <formula>$B135="Inicio Liberación"</formula>
    </cfRule>
  </conditionalFormatting>
  <conditionalFormatting sqref="C135">
    <cfRule type="expression" dxfId="954" priority="619">
      <formula>$B135="Fin Liberación"</formula>
    </cfRule>
    <cfRule type="expression" dxfId="953" priority="620">
      <formula>$B135="Inicio Liberación"</formula>
    </cfRule>
  </conditionalFormatting>
  <conditionalFormatting sqref="C138:C141">
    <cfRule type="expression" dxfId="952" priority="617">
      <formula>$B141="Inicio Liberación"</formula>
    </cfRule>
  </conditionalFormatting>
  <conditionalFormatting sqref="C138:C141">
    <cfRule type="expression" dxfId="951" priority="618">
      <formula>$B141="Fin Liberación"</formula>
    </cfRule>
  </conditionalFormatting>
  <conditionalFormatting sqref="C139">
    <cfRule type="expression" dxfId="950" priority="615">
      <formula>$B139="Fin Liberación"</formula>
    </cfRule>
    <cfRule type="expression" dxfId="949" priority="616">
      <formula>$B139="Inicio Liberación"</formula>
    </cfRule>
  </conditionalFormatting>
  <conditionalFormatting sqref="C139">
    <cfRule type="expression" dxfId="948" priority="613">
      <formula>$B139="Fin Liberación"</formula>
    </cfRule>
    <cfRule type="expression" dxfId="947" priority="614">
      <formula>$B139="Inicio Liberación"</formula>
    </cfRule>
  </conditionalFormatting>
  <conditionalFormatting sqref="C142:C145">
    <cfRule type="expression" dxfId="946" priority="611">
      <formula>$B145="Inicio Liberación"</formula>
    </cfRule>
  </conditionalFormatting>
  <conditionalFormatting sqref="C142:C145">
    <cfRule type="expression" dxfId="945" priority="612">
      <formula>$B145="Fin Liberación"</formula>
    </cfRule>
  </conditionalFormatting>
  <conditionalFormatting sqref="C143">
    <cfRule type="expression" dxfId="944" priority="609">
      <formula>$B143="Fin Liberación"</formula>
    </cfRule>
    <cfRule type="expression" dxfId="943" priority="610">
      <formula>$B143="Inicio Liberación"</formula>
    </cfRule>
  </conditionalFormatting>
  <conditionalFormatting sqref="C143">
    <cfRule type="expression" dxfId="942" priority="607">
      <formula>$B143="Fin Liberación"</formula>
    </cfRule>
    <cfRule type="expression" dxfId="941" priority="608">
      <formula>$B143="Inicio Liberación"</formula>
    </cfRule>
  </conditionalFormatting>
  <conditionalFormatting sqref="C146:C149">
    <cfRule type="expression" dxfId="940" priority="605">
      <formula>$B149="Inicio Liberación"</formula>
    </cfRule>
  </conditionalFormatting>
  <conditionalFormatting sqref="C146:C149">
    <cfRule type="expression" dxfId="939" priority="606">
      <formula>$B149="Fin Liberación"</formula>
    </cfRule>
  </conditionalFormatting>
  <conditionalFormatting sqref="C147">
    <cfRule type="expression" dxfId="938" priority="603">
      <formula>$B147="Fin Liberación"</formula>
    </cfRule>
    <cfRule type="expression" dxfId="937" priority="604">
      <formula>$B147="Inicio Liberación"</formula>
    </cfRule>
  </conditionalFormatting>
  <conditionalFormatting sqref="C147">
    <cfRule type="expression" dxfId="936" priority="601">
      <formula>$B147="Fin Liberación"</formula>
    </cfRule>
    <cfRule type="expression" dxfId="935" priority="602">
      <formula>$B147="Inicio Liberación"</formula>
    </cfRule>
  </conditionalFormatting>
  <conditionalFormatting sqref="C150:C153">
    <cfRule type="expression" dxfId="934" priority="599">
      <formula>$B153="Inicio Liberación"</formula>
    </cfRule>
  </conditionalFormatting>
  <conditionalFormatting sqref="C150:C153">
    <cfRule type="expression" dxfId="933" priority="600">
      <formula>$B153="Fin Liberación"</formula>
    </cfRule>
  </conditionalFormatting>
  <conditionalFormatting sqref="C151">
    <cfRule type="expression" dxfId="932" priority="597">
      <formula>$B151="Fin Liberación"</formula>
    </cfRule>
    <cfRule type="expression" dxfId="931" priority="598">
      <formula>$B151="Inicio Liberación"</formula>
    </cfRule>
  </conditionalFormatting>
  <conditionalFormatting sqref="C151">
    <cfRule type="expression" dxfId="930" priority="595">
      <formula>$B151="Fin Liberación"</formula>
    </cfRule>
    <cfRule type="expression" dxfId="929" priority="596">
      <formula>$B151="Inicio Liberación"</formula>
    </cfRule>
  </conditionalFormatting>
  <conditionalFormatting sqref="C154:C157">
    <cfRule type="expression" dxfId="928" priority="593">
      <formula>$B157="Inicio Liberación"</formula>
    </cfRule>
  </conditionalFormatting>
  <conditionalFormatting sqref="C154:C157">
    <cfRule type="expression" dxfId="927" priority="594">
      <formula>$B157="Fin Liberación"</formula>
    </cfRule>
  </conditionalFormatting>
  <conditionalFormatting sqref="C155">
    <cfRule type="expression" dxfId="926" priority="591">
      <formula>$B155="Fin Liberación"</formula>
    </cfRule>
    <cfRule type="expression" dxfId="925" priority="592">
      <formula>$B155="Inicio Liberación"</formula>
    </cfRule>
  </conditionalFormatting>
  <conditionalFormatting sqref="C155">
    <cfRule type="expression" dxfId="924" priority="589">
      <formula>$B155="Fin Liberación"</formula>
    </cfRule>
    <cfRule type="expression" dxfId="923" priority="590">
      <formula>$B155="Inicio Liberación"</formula>
    </cfRule>
  </conditionalFormatting>
  <conditionalFormatting sqref="C158:C165">
    <cfRule type="expression" dxfId="922" priority="588">
      <formula>$A158="Inicio Liberación"</formula>
    </cfRule>
  </conditionalFormatting>
  <conditionalFormatting sqref="C158:C165">
    <cfRule type="expression" dxfId="921" priority="587">
      <formula>$A158="Fin Liberación"</formula>
    </cfRule>
  </conditionalFormatting>
  <conditionalFormatting sqref="C158:C165">
    <cfRule type="containsText" dxfId="920" priority="585" operator="containsText" text="VTF">
      <formula>NOT(ISERROR(SEARCH("VTF",C158)))</formula>
    </cfRule>
    <cfRule type="containsText" dxfId="919" priority="586" operator="containsText" text="VTI">
      <formula>NOT(ISERROR(SEARCH("VTI",C158)))</formula>
    </cfRule>
  </conditionalFormatting>
  <conditionalFormatting sqref="C158:C161">
    <cfRule type="expression" dxfId="918" priority="583">
      <formula>$B161="Inicio Liberación"</formula>
    </cfRule>
  </conditionalFormatting>
  <conditionalFormatting sqref="C158:C161">
    <cfRule type="expression" dxfId="917" priority="584">
      <formula>$B161="Fin Liberación"</formula>
    </cfRule>
  </conditionalFormatting>
  <conditionalFormatting sqref="C159">
    <cfRule type="expression" dxfId="916" priority="581">
      <formula>$B159="Fin Liberación"</formula>
    </cfRule>
    <cfRule type="expression" dxfId="915" priority="582">
      <formula>$B159="Inicio Liberación"</formula>
    </cfRule>
  </conditionalFormatting>
  <conditionalFormatting sqref="C159">
    <cfRule type="expression" dxfId="914" priority="579">
      <formula>$B159="Fin Liberación"</formula>
    </cfRule>
    <cfRule type="expression" dxfId="913" priority="580">
      <formula>$B159="Inicio Liberación"</formula>
    </cfRule>
  </conditionalFormatting>
  <conditionalFormatting sqref="C162:C165">
    <cfRule type="expression" dxfId="912" priority="577">
      <formula>$B165="Inicio Liberación"</formula>
    </cfRule>
  </conditionalFormatting>
  <conditionalFormatting sqref="C162:C165">
    <cfRule type="expression" dxfId="911" priority="578">
      <formula>$B165="Fin Liberación"</formula>
    </cfRule>
  </conditionalFormatting>
  <conditionalFormatting sqref="C163">
    <cfRule type="expression" dxfId="910" priority="575">
      <formula>$B163="Fin Liberación"</formula>
    </cfRule>
    <cfRule type="expression" dxfId="909" priority="576">
      <formula>$B163="Inicio Liberación"</formula>
    </cfRule>
  </conditionalFormatting>
  <conditionalFormatting sqref="C163">
    <cfRule type="expression" dxfId="908" priority="573">
      <formula>$B163="Fin Liberación"</formula>
    </cfRule>
    <cfRule type="expression" dxfId="907" priority="574">
      <formula>$B163="Inicio Liberación"</formula>
    </cfRule>
  </conditionalFormatting>
  <conditionalFormatting sqref="C166:C173">
    <cfRule type="expression" dxfId="906" priority="572">
      <formula>$A166="Inicio Liberación"</formula>
    </cfRule>
  </conditionalFormatting>
  <conditionalFormatting sqref="C166:C173">
    <cfRule type="expression" dxfId="905" priority="571">
      <formula>$A166="Fin Liberación"</formula>
    </cfRule>
  </conditionalFormatting>
  <conditionalFormatting sqref="C166:C173">
    <cfRule type="containsText" dxfId="904" priority="569" operator="containsText" text="VTF">
      <formula>NOT(ISERROR(SEARCH("VTF",C166)))</formula>
    </cfRule>
    <cfRule type="containsText" dxfId="903" priority="570" operator="containsText" text="VTI">
      <formula>NOT(ISERROR(SEARCH("VTI",C166)))</formula>
    </cfRule>
  </conditionalFormatting>
  <conditionalFormatting sqref="C166:C169">
    <cfRule type="expression" dxfId="902" priority="567">
      <formula>$B169="Inicio Liberación"</formula>
    </cfRule>
  </conditionalFormatting>
  <conditionalFormatting sqref="C166:C169">
    <cfRule type="expression" dxfId="901" priority="568">
      <formula>$B169="Fin Liberación"</formula>
    </cfRule>
  </conditionalFormatting>
  <conditionalFormatting sqref="C167">
    <cfRule type="expression" dxfId="900" priority="565">
      <formula>$B167="Fin Liberación"</formula>
    </cfRule>
    <cfRule type="expression" dxfId="899" priority="566">
      <formula>$B167="Inicio Liberación"</formula>
    </cfRule>
  </conditionalFormatting>
  <conditionalFormatting sqref="C167">
    <cfRule type="expression" dxfId="898" priority="563">
      <formula>$B167="Fin Liberación"</formula>
    </cfRule>
    <cfRule type="expression" dxfId="897" priority="564">
      <formula>$B167="Inicio Liberación"</formula>
    </cfRule>
  </conditionalFormatting>
  <conditionalFormatting sqref="C170:C173">
    <cfRule type="expression" dxfId="896" priority="561">
      <formula>$B173="Inicio Liberación"</formula>
    </cfRule>
  </conditionalFormatting>
  <conditionalFormatting sqref="C170:C173">
    <cfRule type="expression" dxfId="895" priority="562">
      <formula>$B173="Fin Liberación"</formula>
    </cfRule>
  </conditionalFormatting>
  <conditionalFormatting sqref="C171">
    <cfRule type="expression" dxfId="894" priority="559">
      <formula>$B171="Fin Liberación"</formula>
    </cfRule>
    <cfRule type="expression" dxfId="893" priority="560">
      <formula>$B171="Inicio Liberación"</formula>
    </cfRule>
  </conditionalFormatting>
  <conditionalFormatting sqref="C171">
    <cfRule type="expression" dxfId="892" priority="557">
      <formula>$B171="Fin Liberación"</formula>
    </cfRule>
    <cfRule type="expression" dxfId="891" priority="558">
      <formula>$B171="Inicio Liberación"</formula>
    </cfRule>
  </conditionalFormatting>
  <conditionalFormatting sqref="C174:C181">
    <cfRule type="expression" dxfId="890" priority="556">
      <formula>$A174="Inicio Liberación"</formula>
    </cfRule>
  </conditionalFormatting>
  <conditionalFormatting sqref="C174:C181">
    <cfRule type="expression" dxfId="889" priority="555">
      <formula>$A174="Fin Liberación"</formula>
    </cfRule>
  </conditionalFormatting>
  <conditionalFormatting sqref="C174:C181">
    <cfRule type="containsText" dxfId="888" priority="553" operator="containsText" text="VTF">
      <formula>NOT(ISERROR(SEARCH("VTF",C174)))</formula>
    </cfRule>
    <cfRule type="containsText" dxfId="887" priority="554" operator="containsText" text="VTI">
      <formula>NOT(ISERROR(SEARCH("VTI",C174)))</formula>
    </cfRule>
  </conditionalFormatting>
  <conditionalFormatting sqref="C174:C177">
    <cfRule type="expression" dxfId="886" priority="551">
      <formula>$B177="Inicio Liberación"</formula>
    </cfRule>
  </conditionalFormatting>
  <conditionalFormatting sqref="C174:C177">
    <cfRule type="expression" dxfId="885" priority="552">
      <formula>$B177="Fin Liberación"</formula>
    </cfRule>
  </conditionalFormatting>
  <conditionalFormatting sqref="C175">
    <cfRule type="expression" dxfId="884" priority="549">
      <formula>$B175="Fin Liberación"</formula>
    </cfRule>
    <cfRule type="expression" dxfId="883" priority="550">
      <formula>$B175="Inicio Liberación"</formula>
    </cfRule>
  </conditionalFormatting>
  <conditionalFormatting sqref="C175">
    <cfRule type="expression" dxfId="882" priority="547">
      <formula>$B175="Fin Liberación"</formula>
    </cfRule>
    <cfRule type="expression" dxfId="881" priority="548">
      <formula>$B175="Inicio Liberación"</formula>
    </cfRule>
  </conditionalFormatting>
  <conditionalFormatting sqref="C178:C181">
    <cfRule type="expression" dxfId="880" priority="545">
      <formula>$B181="Inicio Liberación"</formula>
    </cfRule>
  </conditionalFormatting>
  <conditionalFormatting sqref="C178:C181">
    <cfRule type="expression" dxfId="879" priority="546">
      <formula>$B181="Fin Liberación"</formula>
    </cfRule>
  </conditionalFormatting>
  <conditionalFormatting sqref="C179">
    <cfRule type="expression" dxfId="878" priority="543">
      <formula>$B179="Fin Liberación"</formula>
    </cfRule>
    <cfRule type="expression" dxfId="877" priority="544">
      <formula>$B179="Inicio Liberación"</formula>
    </cfRule>
  </conditionalFormatting>
  <conditionalFormatting sqref="C179">
    <cfRule type="expression" dxfId="876" priority="541">
      <formula>$B179="Fin Liberación"</formula>
    </cfRule>
    <cfRule type="expression" dxfId="875" priority="542">
      <formula>$B179="Inicio Liberación"</formula>
    </cfRule>
  </conditionalFormatting>
  <conditionalFormatting sqref="C182:C189">
    <cfRule type="expression" dxfId="874" priority="540">
      <formula>$A182="Inicio Liberación"</formula>
    </cfRule>
  </conditionalFormatting>
  <conditionalFormatting sqref="C182:C189">
    <cfRule type="expression" dxfId="873" priority="539">
      <formula>$A182="Fin Liberación"</formula>
    </cfRule>
  </conditionalFormatting>
  <conditionalFormatting sqref="C182:C189">
    <cfRule type="containsText" dxfId="872" priority="537" operator="containsText" text="VTF">
      <formula>NOT(ISERROR(SEARCH("VTF",C182)))</formula>
    </cfRule>
    <cfRule type="containsText" dxfId="871" priority="538" operator="containsText" text="VTI">
      <formula>NOT(ISERROR(SEARCH("VTI",C182)))</formula>
    </cfRule>
  </conditionalFormatting>
  <conditionalFormatting sqref="C182:C185">
    <cfRule type="expression" dxfId="870" priority="535">
      <formula>$B185="Inicio Liberación"</formula>
    </cfRule>
  </conditionalFormatting>
  <conditionalFormatting sqref="C182:C185">
    <cfRule type="expression" dxfId="869" priority="536">
      <formula>$B185="Fin Liberación"</formula>
    </cfRule>
  </conditionalFormatting>
  <conditionalFormatting sqref="C183">
    <cfRule type="expression" dxfId="868" priority="533">
      <formula>$B183="Fin Liberación"</formula>
    </cfRule>
    <cfRule type="expression" dxfId="867" priority="534">
      <formula>$B183="Inicio Liberación"</formula>
    </cfRule>
  </conditionalFormatting>
  <conditionalFormatting sqref="C183">
    <cfRule type="expression" dxfId="866" priority="531">
      <formula>$B183="Fin Liberación"</formula>
    </cfRule>
    <cfRule type="expression" dxfId="865" priority="532">
      <formula>$B183="Inicio Liberación"</formula>
    </cfRule>
  </conditionalFormatting>
  <conditionalFormatting sqref="C186:C189">
    <cfRule type="expression" dxfId="864" priority="529">
      <formula>$B189="Inicio Liberación"</formula>
    </cfRule>
  </conditionalFormatting>
  <conditionalFormatting sqref="C186:C189">
    <cfRule type="expression" dxfId="863" priority="530">
      <formula>$B189="Fin Liberación"</formula>
    </cfRule>
  </conditionalFormatting>
  <conditionalFormatting sqref="C187">
    <cfRule type="expression" dxfId="862" priority="527">
      <formula>$B187="Fin Liberación"</formula>
    </cfRule>
    <cfRule type="expression" dxfId="861" priority="528">
      <formula>$B187="Inicio Liberación"</formula>
    </cfRule>
  </conditionalFormatting>
  <conditionalFormatting sqref="C187">
    <cfRule type="expression" dxfId="860" priority="525">
      <formula>$B187="Fin Liberación"</formula>
    </cfRule>
    <cfRule type="expression" dxfId="859" priority="526">
      <formula>$B187="Inicio Liberación"</formula>
    </cfRule>
  </conditionalFormatting>
  <conditionalFormatting sqref="F6">
    <cfRule type="expression" dxfId="858" priority="523">
      <formula>$B6="Fin Liberación"</formula>
    </cfRule>
    <cfRule type="expression" dxfId="857" priority="524">
      <formula>$B6="Inicio Liberación"</formula>
    </cfRule>
  </conditionalFormatting>
  <conditionalFormatting sqref="L7:L185">
    <cfRule type="cellIs" dxfId="856" priority="506" operator="equal">
      <formula>"S"</formula>
    </cfRule>
  </conditionalFormatting>
  <conditionalFormatting sqref="L7:L185">
    <cfRule type="cellIs" dxfId="855" priority="503" operator="equal">
      <formula>"N"</formula>
    </cfRule>
    <cfRule type="cellIs" dxfId="854" priority="504" operator="equal">
      <formula>"P"</formula>
    </cfRule>
    <cfRule type="cellIs" dxfId="853" priority="505" operator="equal">
      <formula>"T"</formula>
    </cfRule>
  </conditionalFormatting>
  <conditionalFormatting sqref="L7:L185">
    <cfRule type="expression" dxfId="852" priority="501">
      <formula>$A7="Fin Liberación"</formula>
    </cfRule>
    <cfRule type="expression" dxfId="851" priority="502">
      <formula>$A7="Inicio Liberación"</formula>
    </cfRule>
  </conditionalFormatting>
  <conditionalFormatting sqref="E7">
    <cfRule type="expression" dxfId="850" priority="493">
      <formula>$B7="Fin Liberación"</formula>
    </cfRule>
    <cfRule type="expression" dxfId="849" priority="494">
      <formula>$B7="Inicio Liberación"</formula>
    </cfRule>
  </conditionalFormatting>
  <conditionalFormatting sqref="E12:E13">
    <cfRule type="expression" dxfId="848" priority="477">
      <formula>$B12="Fin Liberación"</formula>
    </cfRule>
    <cfRule type="expression" dxfId="847" priority="478">
      <formula>$B12="Inicio Liberación"</formula>
    </cfRule>
  </conditionalFormatting>
  <conditionalFormatting sqref="F12:F13">
    <cfRule type="expression" dxfId="846" priority="475">
      <formula>$B12="Fin Liberación"</formula>
    </cfRule>
    <cfRule type="expression" dxfId="845" priority="476">
      <formula>$B12="Inicio Liberación"</formula>
    </cfRule>
  </conditionalFormatting>
  <conditionalFormatting sqref="E14">
    <cfRule type="expression" dxfId="844" priority="473">
      <formula>$B14="Fin Liberación"</formula>
    </cfRule>
    <cfRule type="expression" dxfId="843" priority="474">
      <formula>$B14="Inicio Liberación"</formula>
    </cfRule>
  </conditionalFormatting>
  <conditionalFormatting sqref="F14">
    <cfRule type="expression" dxfId="842" priority="471">
      <formula>$B14="Fin Liberación"</formula>
    </cfRule>
    <cfRule type="expression" dxfId="841" priority="472">
      <formula>$B14="Inicio Liberación"</formula>
    </cfRule>
  </conditionalFormatting>
  <conditionalFormatting sqref="E15:E17">
    <cfRule type="expression" dxfId="840" priority="469">
      <formula>$B15="Fin Liberación"</formula>
    </cfRule>
    <cfRule type="expression" dxfId="839" priority="470">
      <formula>$B15="Inicio Liberación"</formula>
    </cfRule>
  </conditionalFormatting>
  <conditionalFormatting sqref="F15:F17">
    <cfRule type="expression" dxfId="838" priority="467">
      <formula>$B15="Fin Liberación"</formula>
    </cfRule>
    <cfRule type="expression" dxfId="837" priority="468">
      <formula>$B15="Inicio Liberación"</formula>
    </cfRule>
  </conditionalFormatting>
  <conditionalFormatting sqref="E18">
    <cfRule type="expression" dxfId="836" priority="465">
      <formula>$B18="Fin Liberación"</formula>
    </cfRule>
    <cfRule type="expression" dxfId="835" priority="466">
      <formula>$B18="Inicio Liberación"</formula>
    </cfRule>
  </conditionalFormatting>
  <conditionalFormatting sqref="F18">
    <cfRule type="expression" dxfId="834" priority="463">
      <formula>$B18="Fin Liberación"</formula>
    </cfRule>
    <cfRule type="expression" dxfId="833" priority="464">
      <formula>$B18="Inicio Liberación"</formula>
    </cfRule>
  </conditionalFormatting>
  <conditionalFormatting sqref="E19:E21">
    <cfRule type="expression" dxfId="832" priority="461">
      <formula>$B19="Fin Liberación"</formula>
    </cfRule>
    <cfRule type="expression" dxfId="831" priority="462">
      <formula>$B19="Inicio Liberación"</formula>
    </cfRule>
  </conditionalFormatting>
  <conditionalFormatting sqref="F19:F21">
    <cfRule type="expression" dxfId="830" priority="459">
      <formula>$B19="Fin Liberación"</formula>
    </cfRule>
    <cfRule type="expression" dxfId="829" priority="460">
      <formula>$B19="Inicio Liberación"</formula>
    </cfRule>
  </conditionalFormatting>
  <conditionalFormatting sqref="E22">
    <cfRule type="expression" dxfId="828" priority="457">
      <formula>$B22="Fin Liberación"</formula>
    </cfRule>
    <cfRule type="expression" dxfId="827" priority="458">
      <formula>$B22="Inicio Liberación"</formula>
    </cfRule>
  </conditionalFormatting>
  <conditionalFormatting sqref="F22">
    <cfRule type="expression" dxfId="826" priority="455">
      <formula>$B22="Fin Liberación"</formula>
    </cfRule>
    <cfRule type="expression" dxfId="825" priority="456">
      <formula>$B22="Inicio Liberación"</formula>
    </cfRule>
  </conditionalFormatting>
  <conditionalFormatting sqref="E23:E25">
    <cfRule type="expression" dxfId="824" priority="453">
      <formula>$B23="Fin Liberación"</formula>
    </cfRule>
    <cfRule type="expression" dxfId="823" priority="454">
      <formula>$B23="Inicio Liberación"</formula>
    </cfRule>
  </conditionalFormatting>
  <conditionalFormatting sqref="F23:F25">
    <cfRule type="expression" dxfId="822" priority="451">
      <formula>$B23="Fin Liberación"</formula>
    </cfRule>
    <cfRule type="expression" dxfId="821" priority="452">
      <formula>$B23="Inicio Liberación"</formula>
    </cfRule>
  </conditionalFormatting>
  <conditionalFormatting sqref="E26">
    <cfRule type="expression" dxfId="820" priority="449">
      <formula>$B26="Fin Liberación"</formula>
    </cfRule>
    <cfRule type="expression" dxfId="819" priority="450">
      <formula>$B26="Inicio Liberación"</formula>
    </cfRule>
  </conditionalFormatting>
  <conditionalFormatting sqref="F26">
    <cfRule type="expression" dxfId="818" priority="447">
      <formula>$B26="Fin Liberación"</formula>
    </cfRule>
    <cfRule type="expression" dxfId="817" priority="448">
      <formula>$B26="Inicio Liberación"</formula>
    </cfRule>
  </conditionalFormatting>
  <conditionalFormatting sqref="E27:E29">
    <cfRule type="expression" dxfId="816" priority="445">
      <formula>$B27="Fin Liberación"</formula>
    </cfRule>
    <cfRule type="expression" dxfId="815" priority="446">
      <formula>$B27="Inicio Liberación"</formula>
    </cfRule>
  </conditionalFormatting>
  <conditionalFormatting sqref="F27:F29">
    <cfRule type="expression" dxfId="814" priority="443">
      <formula>$B27="Fin Liberación"</formula>
    </cfRule>
    <cfRule type="expression" dxfId="813" priority="444">
      <formula>$B27="Inicio Liberación"</formula>
    </cfRule>
  </conditionalFormatting>
  <conditionalFormatting sqref="E30">
    <cfRule type="expression" dxfId="812" priority="441">
      <formula>$B30="Fin Liberación"</formula>
    </cfRule>
    <cfRule type="expression" dxfId="811" priority="442">
      <formula>$B30="Inicio Liberación"</formula>
    </cfRule>
  </conditionalFormatting>
  <conditionalFormatting sqref="F30">
    <cfRule type="expression" dxfId="810" priority="439">
      <formula>$B30="Fin Liberación"</formula>
    </cfRule>
    <cfRule type="expression" dxfId="809" priority="440">
      <formula>$B30="Inicio Liberación"</formula>
    </cfRule>
  </conditionalFormatting>
  <conditionalFormatting sqref="E31:E33">
    <cfRule type="expression" dxfId="808" priority="437">
      <formula>$B31="Fin Liberación"</formula>
    </cfRule>
    <cfRule type="expression" dxfId="807" priority="438">
      <formula>$B31="Inicio Liberación"</formula>
    </cfRule>
  </conditionalFormatting>
  <conditionalFormatting sqref="F31:F33">
    <cfRule type="expression" dxfId="806" priority="435">
      <formula>$B31="Fin Liberación"</formula>
    </cfRule>
    <cfRule type="expression" dxfId="805" priority="436">
      <formula>$B31="Inicio Liberación"</formula>
    </cfRule>
  </conditionalFormatting>
  <conditionalFormatting sqref="E34">
    <cfRule type="expression" dxfId="804" priority="433">
      <formula>$B34="Fin Liberación"</formula>
    </cfRule>
    <cfRule type="expression" dxfId="803" priority="434">
      <formula>$B34="Inicio Liberación"</formula>
    </cfRule>
  </conditionalFormatting>
  <conditionalFormatting sqref="F34">
    <cfRule type="expression" dxfId="802" priority="431">
      <formula>$B34="Fin Liberación"</formula>
    </cfRule>
    <cfRule type="expression" dxfId="801" priority="432">
      <formula>$B34="Inicio Liberación"</formula>
    </cfRule>
  </conditionalFormatting>
  <conditionalFormatting sqref="E35:E37">
    <cfRule type="expression" dxfId="800" priority="429">
      <formula>$B35="Fin Liberación"</formula>
    </cfRule>
    <cfRule type="expression" dxfId="799" priority="430">
      <formula>$B35="Inicio Liberación"</formula>
    </cfRule>
  </conditionalFormatting>
  <conditionalFormatting sqref="F35:F37">
    <cfRule type="expression" dxfId="798" priority="427">
      <formula>$B35="Fin Liberación"</formula>
    </cfRule>
    <cfRule type="expression" dxfId="797" priority="428">
      <formula>$B35="Inicio Liberación"</formula>
    </cfRule>
  </conditionalFormatting>
  <conditionalFormatting sqref="E38">
    <cfRule type="expression" dxfId="796" priority="425">
      <formula>$B38="Fin Liberación"</formula>
    </cfRule>
    <cfRule type="expression" dxfId="795" priority="426">
      <formula>$B38="Inicio Liberación"</formula>
    </cfRule>
  </conditionalFormatting>
  <conditionalFormatting sqref="F38">
    <cfRule type="expression" dxfId="794" priority="423">
      <formula>$B38="Fin Liberación"</formula>
    </cfRule>
    <cfRule type="expression" dxfId="793" priority="424">
      <formula>$B38="Inicio Liberación"</formula>
    </cfRule>
  </conditionalFormatting>
  <conditionalFormatting sqref="E39:E41">
    <cfRule type="expression" dxfId="792" priority="421">
      <formula>$B39="Fin Liberación"</formula>
    </cfRule>
    <cfRule type="expression" dxfId="791" priority="422">
      <formula>$B39="Inicio Liberación"</formula>
    </cfRule>
  </conditionalFormatting>
  <conditionalFormatting sqref="F39:F41">
    <cfRule type="expression" dxfId="790" priority="419">
      <formula>$B39="Fin Liberación"</formula>
    </cfRule>
    <cfRule type="expression" dxfId="789" priority="420">
      <formula>$B39="Inicio Liberación"</formula>
    </cfRule>
  </conditionalFormatting>
  <conditionalFormatting sqref="E42">
    <cfRule type="expression" dxfId="788" priority="417">
      <formula>$B42="Fin Liberación"</formula>
    </cfRule>
    <cfRule type="expression" dxfId="787" priority="418">
      <formula>$B42="Inicio Liberación"</formula>
    </cfRule>
  </conditionalFormatting>
  <conditionalFormatting sqref="F42">
    <cfRule type="expression" dxfId="786" priority="415">
      <formula>$B42="Fin Liberación"</formula>
    </cfRule>
    <cfRule type="expression" dxfId="785" priority="416">
      <formula>$B42="Inicio Liberación"</formula>
    </cfRule>
  </conditionalFormatting>
  <conditionalFormatting sqref="E43:E45">
    <cfRule type="expression" dxfId="784" priority="413">
      <formula>$B43="Fin Liberación"</formula>
    </cfRule>
    <cfRule type="expression" dxfId="783" priority="414">
      <formula>$B43="Inicio Liberación"</formula>
    </cfRule>
  </conditionalFormatting>
  <conditionalFormatting sqref="F43:F45">
    <cfRule type="expression" dxfId="782" priority="411">
      <formula>$B43="Fin Liberación"</formula>
    </cfRule>
    <cfRule type="expression" dxfId="781" priority="412">
      <formula>$B43="Inicio Liberación"</formula>
    </cfRule>
  </conditionalFormatting>
  <conditionalFormatting sqref="E46">
    <cfRule type="expression" dxfId="780" priority="409">
      <formula>$B46="Fin Liberación"</formula>
    </cfRule>
    <cfRule type="expression" dxfId="779" priority="410">
      <formula>$B46="Inicio Liberación"</formula>
    </cfRule>
  </conditionalFormatting>
  <conditionalFormatting sqref="F46">
    <cfRule type="expression" dxfId="778" priority="407">
      <formula>$B46="Fin Liberación"</formula>
    </cfRule>
    <cfRule type="expression" dxfId="777" priority="408">
      <formula>$B46="Inicio Liberación"</formula>
    </cfRule>
  </conditionalFormatting>
  <conditionalFormatting sqref="E47:E49">
    <cfRule type="expression" dxfId="776" priority="405">
      <formula>$B47="Fin Liberación"</formula>
    </cfRule>
    <cfRule type="expression" dxfId="775" priority="406">
      <formula>$B47="Inicio Liberación"</formula>
    </cfRule>
  </conditionalFormatting>
  <conditionalFormatting sqref="F47:F49">
    <cfRule type="expression" dxfId="774" priority="403">
      <formula>$B47="Fin Liberación"</formula>
    </cfRule>
    <cfRule type="expression" dxfId="773" priority="404">
      <formula>$B47="Inicio Liberación"</formula>
    </cfRule>
  </conditionalFormatting>
  <conditionalFormatting sqref="E50">
    <cfRule type="expression" dxfId="772" priority="401">
      <formula>$B50="Fin Liberación"</formula>
    </cfRule>
    <cfRule type="expression" dxfId="771" priority="402">
      <formula>$B50="Inicio Liberación"</formula>
    </cfRule>
  </conditionalFormatting>
  <conditionalFormatting sqref="F50">
    <cfRule type="expression" dxfId="770" priority="399">
      <formula>$B50="Fin Liberación"</formula>
    </cfRule>
    <cfRule type="expression" dxfId="769" priority="400">
      <formula>$B50="Inicio Liberación"</formula>
    </cfRule>
  </conditionalFormatting>
  <conditionalFormatting sqref="E51:E53">
    <cfRule type="expression" dxfId="768" priority="397">
      <formula>$B51="Fin Liberación"</formula>
    </cfRule>
    <cfRule type="expression" dxfId="767" priority="398">
      <formula>$B51="Inicio Liberación"</formula>
    </cfRule>
  </conditionalFormatting>
  <conditionalFormatting sqref="F51:F53">
    <cfRule type="expression" dxfId="766" priority="395">
      <formula>$B51="Fin Liberación"</formula>
    </cfRule>
    <cfRule type="expression" dxfId="765" priority="396">
      <formula>$B51="Inicio Liberación"</formula>
    </cfRule>
  </conditionalFormatting>
  <conditionalFormatting sqref="E54">
    <cfRule type="expression" dxfId="764" priority="393">
      <formula>$B54="Fin Liberación"</formula>
    </cfRule>
    <cfRule type="expression" dxfId="763" priority="394">
      <formula>$B54="Inicio Liberación"</formula>
    </cfRule>
  </conditionalFormatting>
  <conditionalFormatting sqref="F54">
    <cfRule type="expression" dxfId="762" priority="391">
      <formula>$B54="Fin Liberación"</formula>
    </cfRule>
    <cfRule type="expression" dxfId="761" priority="392">
      <formula>$B54="Inicio Liberación"</formula>
    </cfRule>
  </conditionalFormatting>
  <conditionalFormatting sqref="E55:E57">
    <cfRule type="expression" dxfId="760" priority="389">
      <formula>$B55="Fin Liberación"</formula>
    </cfRule>
    <cfRule type="expression" dxfId="759" priority="390">
      <formula>$B55="Inicio Liberación"</formula>
    </cfRule>
  </conditionalFormatting>
  <conditionalFormatting sqref="F55:F57">
    <cfRule type="expression" dxfId="758" priority="387">
      <formula>$B55="Fin Liberación"</formula>
    </cfRule>
    <cfRule type="expression" dxfId="757" priority="388">
      <formula>$B55="Inicio Liberación"</formula>
    </cfRule>
  </conditionalFormatting>
  <conditionalFormatting sqref="E58">
    <cfRule type="expression" dxfId="756" priority="385">
      <formula>$B58="Fin Liberación"</formula>
    </cfRule>
    <cfRule type="expression" dxfId="755" priority="386">
      <formula>$B58="Inicio Liberación"</formula>
    </cfRule>
  </conditionalFormatting>
  <conditionalFormatting sqref="F58">
    <cfRule type="expression" dxfId="754" priority="383">
      <formula>$B58="Fin Liberación"</formula>
    </cfRule>
    <cfRule type="expression" dxfId="753" priority="384">
      <formula>$B58="Inicio Liberación"</formula>
    </cfRule>
  </conditionalFormatting>
  <conditionalFormatting sqref="E59:E61">
    <cfRule type="expression" dxfId="752" priority="381">
      <formula>$B59="Fin Liberación"</formula>
    </cfRule>
    <cfRule type="expression" dxfId="751" priority="382">
      <formula>$B59="Inicio Liberación"</formula>
    </cfRule>
  </conditionalFormatting>
  <conditionalFormatting sqref="F59:F61">
    <cfRule type="expression" dxfId="750" priority="379">
      <formula>$B59="Fin Liberación"</formula>
    </cfRule>
    <cfRule type="expression" dxfId="749" priority="380">
      <formula>$B59="Inicio Liberación"</formula>
    </cfRule>
  </conditionalFormatting>
  <conditionalFormatting sqref="E62">
    <cfRule type="expression" dxfId="748" priority="377">
      <formula>$B62="Fin Liberación"</formula>
    </cfRule>
    <cfRule type="expression" dxfId="747" priority="378">
      <formula>$B62="Inicio Liberación"</formula>
    </cfRule>
  </conditionalFormatting>
  <conditionalFormatting sqref="F62">
    <cfRule type="expression" dxfId="746" priority="375">
      <formula>$B62="Fin Liberación"</formula>
    </cfRule>
    <cfRule type="expression" dxfId="745" priority="376">
      <formula>$B62="Inicio Liberación"</formula>
    </cfRule>
  </conditionalFormatting>
  <conditionalFormatting sqref="E63:E65">
    <cfRule type="expression" dxfId="744" priority="373">
      <formula>$B63="Fin Liberación"</formula>
    </cfRule>
    <cfRule type="expression" dxfId="743" priority="374">
      <formula>$B63="Inicio Liberación"</formula>
    </cfRule>
  </conditionalFormatting>
  <conditionalFormatting sqref="F63:F65">
    <cfRule type="expression" dxfId="742" priority="371">
      <formula>$B63="Fin Liberación"</formula>
    </cfRule>
    <cfRule type="expression" dxfId="741" priority="372">
      <formula>$B63="Inicio Liberación"</formula>
    </cfRule>
  </conditionalFormatting>
  <conditionalFormatting sqref="E66">
    <cfRule type="expression" dxfId="740" priority="369">
      <formula>$B66="Fin Liberación"</formula>
    </cfRule>
    <cfRule type="expression" dxfId="739" priority="370">
      <formula>$B66="Inicio Liberación"</formula>
    </cfRule>
  </conditionalFormatting>
  <conditionalFormatting sqref="F66">
    <cfRule type="expression" dxfId="738" priority="367">
      <formula>$B66="Fin Liberación"</formula>
    </cfRule>
    <cfRule type="expression" dxfId="737" priority="368">
      <formula>$B66="Inicio Liberación"</formula>
    </cfRule>
  </conditionalFormatting>
  <conditionalFormatting sqref="E67:E69">
    <cfRule type="expression" dxfId="736" priority="365">
      <formula>$B67="Fin Liberación"</formula>
    </cfRule>
    <cfRule type="expression" dxfId="735" priority="366">
      <formula>$B67="Inicio Liberación"</formula>
    </cfRule>
  </conditionalFormatting>
  <conditionalFormatting sqref="F67:F69">
    <cfRule type="expression" dxfId="734" priority="363">
      <formula>$B67="Fin Liberación"</formula>
    </cfRule>
    <cfRule type="expression" dxfId="733" priority="364">
      <formula>$B67="Inicio Liberación"</formula>
    </cfRule>
  </conditionalFormatting>
  <conditionalFormatting sqref="E70">
    <cfRule type="expression" dxfId="732" priority="361">
      <formula>$B70="Fin Liberación"</formula>
    </cfRule>
    <cfRule type="expression" dxfId="731" priority="362">
      <formula>$B70="Inicio Liberación"</formula>
    </cfRule>
  </conditionalFormatting>
  <conditionalFormatting sqref="F70">
    <cfRule type="expression" dxfId="730" priority="359">
      <formula>$B70="Fin Liberación"</formula>
    </cfRule>
    <cfRule type="expression" dxfId="729" priority="360">
      <formula>$B70="Inicio Liberación"</formula>
    </cfRule>
  </conditionalFormatting>
  <conditionalFormatting sqref="E71:E73">
    <cfRule type="expression" dxfId="728" priority="357">
      <formula>$B71="Fin Liberación"</formula>
    </cfRule>
    <cfRule type="expression" dxfId="727" priority="358">
      <formula>$B71="Inicio Liberación"</formula>
    </cfRule>
  </conditionalFormatting>
  <conditionalFormatting sqref="F71:F73">
    <cfRule type="expression" dxfId="726" priority="355">
      <formula>$B71="Fin Liberación"</formula>
    </cfRule>
    <cfRule type="expression" dxfId="725" priority="356">
      <formula>$B71="Inicio Liberación"</formula>
    </cfRule>
  </conditionalFormatting>
  <conditionalFormatting sqref="E74">
    <cfRule type="expression" dxfId="724" priority="353">
      <formula>$B74="Fin Liberación"</formula>
    </cfRule>
    <cfRule type="expression" dxfId="723" priority="354">
      <formula>$B74="Inicio Liberación"</formula>
    </cfRule>
  </conditionalFormatting>
  <conditionalFormatting sqref="F74">
    <cfRule type="expression" dxfId="722" priority="351">
      <formula>$B74="Fin Liberación"</formula>
    </cfRule>
    <cfRule type="expression" dxfId="721" priority="352">
      <formula>$B74="Inicio Liberación"</formula>
    </cfRule>
  </conditionalFormatting>
  <conditionalFormatting sqref="E75:E77">
    <cfRule type="expression" dxfId="720" priority="349">
      <formula>$B75="Fin Liberación"</formula>
    </cfRule>
    <cfRule type="expression" dxfId="719" priority="350">
      <formula>$B75="Inicio Liberación"</formula>
    </cfRule>
  </conditionalFormatting>
  <conditionalFormatting sqref="F75:F77">
    <cfRule type="expression" dxfId="718" priority="347">
      <formula>$B75="Fin Liberación"</formula>
    </cfRule>
    <cfRule type="expression" dxfId="717" priority="348">
      <formula>$B75="Inicio Liberación"</formula>
    </cfRule>
  </conditionalFormatting>
  <conditionalFormatting sqref="E78">
    <cfRule type="expression" dxfId="716" priority="345">
      <formula>$B78="Fin Liberación"</formula>
    </cfRule>
    <cfRule type="expression" dxfId="715" priority="346">
      <formula>$B78="Inicio Liberación"</formula>
    </cfRule>
  </conditionalFormatting>
  <conditionalFormatting sqref="F78">
    <cfRule type="expression" dxfId="714" priority="343">
      <formula>$B78="Fin Liberación"</formula>
    </cfRule>
    <cfRule type="expression" dxfId="713" priority="344">
      <formula>$B78="Inicio Liberación"</formula>
    </cfRule>
  </conditionalFormatting>
  <conditionalFormatting sqref="E79:E81">
    <cfRule type="expression" dxfId="712" priority="341">
      <formula>$B79="Fin Liberación"</formula>
    </cfRule>
    <cfRule type="expression" dxfId="711" priority="342">
      <formula>$B79="Inicio Liberación"</formula>
    </cfRule>
  </conditionalFormatting>
  <conditionalFormatting sqref="F79:F81">
    <cfRule type="expression" dxfId="710" priority="339">
      <formula>$B79="Fin Liberación"</formula>
    </cfRule>
    <cfRule type="expression" dxfId="709" priority="340">
      <formula>$B79="Inicio Liberación"</formula>
    </cfRule>
  </conditionalFormatting>
  <conditionalFormatting sqref="E82">
    <cfRule type="expression" dxfId="708" priority="337">
      <formula>$B82="Fin Liberación"</formula>
    </cfRule>
    <cfRule type="expression" dxfId="707" priority="338">
      <formula>$B82="Inicio Liberación"</formula>
    </cfRule>
  </conditionalFormatting>
  <conditionalFormatting sqref="F82">
    <cfRule type="expression" dxfId="706" priority="335">
      <formula>$B82="Fin Liberación"</formula>
    </cfRule>
    <cfRule type="expression" dxfId="705" priority="336">
      <formula>$B82="Inicio Liberación"</formula>
    </cfRule>
  </conditionalFormatting>
  <conditionalFormatting sqref="E83:E85">
    <cfRule type="expression" dxfId="704" priority="333">
      <formula>$B83="Fin Liberación"</formula>
    </cfRule>
    <cfRule type="expression" dxfId="703" priority="334">
      <formula>$B83="Inicio Liberación"</formula>
    </cfRule>
  </conditionalFormatting>
  <conditionalFormatting sqref="F83:F85">
    <cfRule type="expression" dxfId="702" priority="331">
      <formula>$B83="Fin Liberación"</formula>
    </cfRule>
    <cfRule type="expression" dxfId="701" priority="332">
      <formula>$B83="Inicio Liberación"</formula>
    </cfRule>
  </conditionalFormatting>
  <conditionalFormatting sqref="E86">
    <cfRule type="expression" dxfId="700" priority="329">
      <formula>$B86="Fin Liberación"</formula>
    </cfRule>
    <cfRule type="expression" dxfId="699" priority="330">
      <formula>$B86="Inicio Liberación"</formula>
    </cfRule>
  </conditionalFormatting>
  <conditionalFormatting sqref="F86">
    <cfRule type="expression" dxfId="698" priority="327">
      <formula>$B86="Fin Liberación"</formula>
    </cfRule>
    <cfRule type="expression" dxfId="697" priority="328">
      <formula>$B86="Inicio Liberación"</formula>
    </cfRule>
  </conditionalFormatting>
  <conditionalFormatting sqref="E87:E89">
    <cfRule type="expression" dxfId="696" priority="325">
      <formula>$B87="Fin Liberación"</formula>
    </cfRule>
    <cfRule type="expression" dxfId="695" priority="326">
      <formula>$B87="Inicio Liberación"</formula>
    </cfRule>
  </conditionalFormatting>
  <conditionalFormatting sqref="F87:F89">
    <cfRule type="expression" dxfId="694" priority="323">
      <formula>$B87="Fin Liberación"</formula>
    </cfRule>
    <cfRule type="expression" dxfId="693" priority="324">
      <formula>$B87="Inicio Liberación"</formula>
    </cfRule>
  </conditionalFormatting>
  <conditionalFormatting sqref="E90">
    <cfRule type="expression" dxfId="692" priority="321">
      <formula>$B90="Fin Liberación"</formula>
    </cfRule>
    <cfRule type="expression" dxfId="691" priority="322">
      <formula>$B90="Inicio Liberación"</formula>
    </cfRule>
  </conditionalFormatting>
  <conditionalFormatting sqref="F90">
    <cfRule type="expression" dxfId="690" priority="319">
      <formula>$B90="Fin Liberación"</formula>
    </cfRule>
    <cfRule type="expression" dxfId="689" priority="320">
      <formula>$B90="Inicio Liberación"</formula>
    </cfRule>
  </conditionalFormatting>
  <conditionalFormatting sqref="E91:E93">
    <cfRule type="expression" dxfId="688" priority="317">
      <formula>$B91="Fin Liberación"</formula>
    </cfRule>
    <cfRule type="expression" dxfId="687" priority="318">
      <formula>$B91="Inicio Liberación"</formula>
    </cfRule>
  </conditionalFormatting>
  <conditionalFormatting sqref="F91:F93">
    <cfRule type="expression" dxfId="686" priority="315">
      <formula>$B91="Fin Liberación"</formula>
    </cfRule>
    <cfRule type="expression" dxfId="685" priority="316">
      <formula>$B91="Inicio Liberación"</formula>
    </cfRule>
  </conditionalFormatting>
  <conditionalFormatting sqref="E94">
    <cfRule type="expression" dxfId="684" priority="313">
      <formula>$B94="Fin Liberación"</formula>
    </cfRule>
    <cfRule type="expression" dxfId="683" priority="314">
      <formula>$B94="Inicio Liberación"</formula>
    </cfRule>
  </conditionalFormatting>
  <conditionalFormatting sqref="F94">
    <cfRule type="expression" dxfId="682" priority="311">
      <formula>$B94="Fin Liberación"</formula>
    </cfRule>
    <cfRule type="expression" dxfId="681" priority="312">
      <formula>$B94="Inicio Liberación"</formula>
    </cfRule>
  </conditionalFormatting>
  <conditionalFormatting sqref="E95:E97">
    <cfRule type="expression" dxfId="680" priority="309">
      <formula>$B95="Fin Liberación"</formula>
    </cfRule>
    <cfRule type="expression" dxfId="679" priority="310">
      <formula>$B95="Inicio Liberación"</formula>
    </cfRule>
  </conditionalFormatting>
  <conditionalFormatting sqref="F95:F97">
    <cfRule type="expression" dxfId="678" priority="307">
      <formula>$B95="Fin Liberación"</formula>
    </cfRule>
    <cfRule type="expression" dxfId="677" priority="308">
      <formula>$B95="Inicio Liberación"</formula>
    </cfRule>
  </conditionalFormatting>
  <conditionalFormatting sqref="E98">
    <cfRule type="expression" dxfId="676" priority="305">
      <formula>$B98="Fin Liberación"</formula>
    </cfRule>
    <cfRule type="expression" dxfId="675" priority="306">
      <formula>$B98="Inicio Liberación"</formula>
    </cfRule>
  </conditionalFormatting>
  <conditionalFormatting sqref="F98">
    <cfRule type="expression" dxfId="674" priority="303">
      <formula>$B98="Fin Liberación"</formula>
    </cfRule>
    <cfRule type="expression" dxfId="673" priority="304">
      <formula>$B98="Inicio Liberación"</formula>
    </cfRule>
  </conditionalFormatting>
  <conditionalFormatting sqref="E99:E100">
    <cfRule type="expression" dxfId="672" priority="301">
      <formula>$B99="Fin Liberación"</formula>
    </cfRule>
    <cfRule type="expression" dxfId="671" priority="302">
      <formula>$B99="Inicio Liberación"</formula>
    </cfRule>
  </conditionalFormatting>
  <conditionalFormatting sqref="F99:F100">
    <cfRule type="expression" dxfId="670" priority="299">
      <formula>$B99="Fin Liberación"</formula>
    </cfRule>
    <cfRule type="expression" dxfId="669" priority="300">
      <formula>$B99="Inicio Liberación"</formula>
    </cfRule>
  </conditionalFormatting>
  <conditionalFormatting sqref="E101">
    <cfRule type="expression" dxfId="668" priority="297">
      <formula>$B101="Fin Liberación"</formula>
    </cfRule>
    <cfRule type="expression" dxfId="667" priority="298">
      <formula>$B101="Inicio Liberación"</formula>
    </cfRule>
  </conditionalFormatting>
  <conditionalFormatting sqref="F101">
    <cfRule type="expression" dxfId="666" priority="295">
      <formula>$B101="Fin Liberación"</formula>
    </cfRule>
    <cfRule type="expression" dxfId="665" priority="296">
      <formula>$B101="Inicio Liberación"</formula>
    </cfRule>
  </conditionalFormatting>
  <conditionalFormatting sqref="E102">
    <cfRule type="expression" dxfId="664" priority="293">
      <formula>$B102="Fin Liberación"</formula>
    </cfRule>
    <cfRule type="expression" dxfId="663" priority="294">
      <formula>$B102="Inicio Liberación"</formula>
    </cfRule>
  </conditionalFormatting>
  <conditionalFormatting sqref="F102">
    <cfRule type="expression" dxfId="662" priority="291">
      <formula>$B102="Fin Liberación"</formula>
    </cfRule>
    <cfRule type="expression" dxfId="661" priority="292">
      <formula>$B102="Inicio Liberación"</formula>
    </cfRule>
  </conditionalFormatting>
  <conditionalFormatting sqref="E103:E105">
    <cfRule type="expression" dxfId="660" priority="289">
      <formula>$B103="Fin Liberación"</formula>
    </cfRule>
    <cfRule type="expression" dxfId="659" priority="290">
      <formula>$B103="Inicio Liberación"</formula>
    </cfRule>
  </conditionalFormatting>
  <conditionalFormatting sqref="F103:F105">
    <cfRule type="expression" dxfId="658" priority="287">
      <formula>$B103="Fin Liberación"</formula>
    </cfRule>
    <cfRule type="expression" dxfId="657" priority="288">
      <formula>$B103="Inicio Liberación"</formula>
    </cfRule>
  </conditionalFormatting>
  <conditionalFormatting sqref="E106">
    <cfRule type="expression" dxfId="656" priority="285">
      <formula>$B106="Fin Liberación"</formula>
    </cfRule>
    <cfRule type="expression" dxfId="655" priority="286">
      <formula>$B106="Inicio Liberación"</formula>
    </cfRule>
  </conditionalFormatting>
  <conditionalFormatting sqref="F106">
    <cfRule type="expression" dxfId="654" priority="283">
      <formula>$B106="Fin Liberación"</formula>
    </cfRule>
    <cfRule type="expression" dxfId="653" priority="284">
      <formula>$B106="Inicio Liberación"</formula>
    </cfRule>
  </conditionalFormatting>
  <conditionalFormatting sqref="E107:E109">
    <cfRule type="expression" dxfId="652" priority="281">
      <formula>$B107="Fin Liberación"</formula>
    </cfRule>
    <cfRule type="expression" dxfId="651" priority="282">
      <formula>$B107="Inicio Liberación"</formula>
    </cfRule>
  </conditionalFormatting>
  <conditionalFormatting sqref="F107:F109">
    <cfRule type="expression" dxfId="650" priority="279">
      <formula>$B107="Fin Liberación"</formula>
    </cfRule>
    <cfRule type="expression" dxfId="649" priority="280">
      <formula>$B107="Inicio Liberación"</formula>
    </cfRule>
  </conditionalFormatting>
  <conditionalFormatting sqref="E110">
    <cfRule type="expression" dxfId="648" priority="277">
      <formula>$B110="Fin Liberación"</formula>
    </cfRule>
    <cfRule type="expression" dxfId="647" priority="278">
      <formula>$B110="Inicio Liberación"</formula>
    </cfRule>
  </conditionalFormatting>
  <conditionalFormatting sqref="F110">
    <cfRule type="expression" dxfId="646" priority="275">
      <formula>$B110="Fin Liberación"</formula>
    </cfRule>
    <cfRule type="expression" dxfId="645" priority="276">
      <formula>$B110="Inicio Liberación"</formula>
    </cfRule>
  </conditionalFormatting>
  <conditionalFormatting sqref="E111:E113">
    <cfRule type="expression" dxfId="644" priority="273">
      <formula>$B111="Fin Liberación"</formula>
    </cfRule>
    <cfRule type="expression" dxfId="643" priority="274">
      <formula>$B111="Inicio Liberación"</formula>
    </cfRule>
  </conditionalFormatting>
  <conditionalFormatting sqref="F111:F113">
    <cfRule type="expression" dxfId="642" priority="271">
      <formula>$B111="Fin Liberación"</formula>
    </cfRule>
    <cfRule type="expression" dxfId="641" priority="272">
      <formula>$B111="Inicio Liberación"</formula>
    </cfRule>
  </conditionalFormatting>
  <conditionalFormatting sqref="E114">
    <cfRule type="expression" dxfId="640" priority="269">
      <formula>$B114="Fin Liberación"</formula>
    </cfRule>
    <cfRule type="expression" dxfId="639" priority="270">
      <formula>$B114="Inicio Liberación"</formula>
    </cfRule>
  </conditionalFormatting>
  <conditionalFormatting sqref="F114">
    <cfRule type="expression" dxfId="638" priority="267">
      <formula>$B114="Fin Liberación"</formula>
    </cfRule>
    <cfRule type="expression" dxfId="637" priority="268">
      <formula>$B114="Inicio Liberación"</formula>
    </cfRule>
  </conditionalFormatting>
  <conditionalFormatting sqref="E115:E117">
    <cfRule type="expression" dxfId="636" priority="265">
      <formula>$B115="Fin Liberación"</formula>
    </cfRule>
    <cfRule type="expression" dxfId="635" priority="266">
      <formula>$B115="Inicio Liberación"</formula>
    </cfRule>
  </conditionalFormatting>
  <conditionalFormatting sqref="F115:F117">
    <cfRule type="expression" dxfId="634" priority="263">
      <formula>$B115="Fin Liberación"</formula>
    </cfRule>
    <cfRule type="expression" dxfId="633" priority="264">
      <formula>$B115="Inicio Liberación"</formula>
    </cfRule>
  </conditionalFormatting>
  <conditionalFormatting sqref="E118">
    <cfRule type="expression" dxfId="632" priority="261">
      <formula>$B118="Fin Liberación"</formula>
    </cfRule>
    <cfRule type="expression" dxfId="631" priority="262">
      <formula>$B118="Inicio Liberación"</formula>
    </cfRule>
  </conditionalFormatting>
  <conditionalFormatting sqref="F118">
    <cfRule type="expression" dxfId="630" priority="259">
      <formula>$B118="Fin Liberación"</formula>
    </cfRule>
    <cfRule type="expression" dxfId="629" priority="260">
      <formula>$B118="Inicio Liberación"</formula>
    </cfRule>
  </conditionalFormatting>
  <conditionalFormatting sqref="E119:E121">
    <cfRule type="expression" dxfId="628" priority="257">
      <formula>$B119="Fin Liberación"</formula>
    </cfRule>
    <cfRule type="expression" dxfId="627" priority="258">
      <formula>$B119="Inicio Liberación"</formula>
    </cfRule>
  </conditionalFormatting>
  <conditionalFormatting sqref="F119:F121">
    <cfRule type="expression" dxfId="626" priority="255">
      <formula>$B119="Fin Liberación"</formula>
    </cfRule>
    <cfRule type="expression" dxfId="625" priority="256">
      <formula>$B119="Inicio Liberación"</formula>
    </cfRule>
  </conditionalFormatting>
  <conditionalFormatting sqref="E122">
    <cfRule type="expression" dxfId="624" priority="253">
      <formula>$B122="Fin Liberación"</formula>
    </cfRule>
    <cfRule type="expression" dxfId="623" priority="254">
      <formula>$B122="Inicio Liberación"</formula>
    </cfRule>
  </conditionalFormatting>
  <conditionalFormatting sqref="F122">
    <cfRule type="expression" dxfId="622" priority="251">
      <formula>$B122="Fin Liberación"</formula>
    </cfRule>
    <cfRule type="expression" dxfId="621" priority="252">
      <formula>$B122="Inicio Liberación"</formula>
    </cfRule>
  </conditionalFormatting>
  <conditionalFormatting sqref="E123:E125">
    <cfRule type="expression" dxfId="620" priority="249">
      <formula>$B123="Fin Liberación"</formula>
    </cfRule>
    <cfRule type="expression" dxfId="619" priority="250">
      <formula>$B123="Inicio Liberación"</formula>
    </cfRule>
  </conditionalFormatting>
  <conditionalFormatting sqref="F123:F125">
    <cfRule type="expression" dxfId="618" priority="247">
      <formula>$B123="Fin Liberación"</formula>
    </cfRule>
    <cfRule type="expression" dxfId="617" priority="248">
      <formula>$B123="Inicio Liberación"</formula>
    </cfRule>
  </conditionalFormatting>
  <conditionalFormatting sqref="E126">
    <cfRule type="expression" dxfId="616" priority="245">
      <formula>$B126="Fin Liberación"</formula>
    </cfRule>
    <cfRule type="expression" dxfId="615" priority="246">
      <formula>$B126="Inicio Liberación"</formula>
    </cfRule>
  </conditionalFormatting>
  <conditionalFormatting sqref="F126">
    <cfRule type="expression" dxfId="614" priority="243">
      <formula>$B126="Fin Liberación"</formula>
    </cfRule>
    <cfRule type="expression" dxfId="613" priority="244">
      <formula>$B126="Inicio Liberación"</formula>
    </cfRule>
  </conditionalFormatting>
  <conditionalFormatting sqref="E127:E129">
    <cfRule type="expression" dxfId="612" priority="241">
      <formula>$B127="Fin Liberación"</formula>
    </cfRule>
    <cfRule type="expression" dxfId="611" priority="242">
      <formula>$B127="Inicio Liberación"</formula>
    </cfRule>
  </conditionalFormatting>
  <conditionalFormatting sqref="F127:F129">
    <cfRule type="expression" dxfId="610" priority="239">
      <formula>$B127="Fin Liberación"</formula>
    </cfRule>
    <cfRule type="expression" dxfId="609" priority="240">
      <formula>$B127="Inicio Liberación"</formula>
    </cfRule>
  </conditionalFormatting>
  <conditionalFormatting sqref="E130">
    <cfRule type="expression" dxfId="608" priority="237">
      <formula>$B130="Fin Liberación"</formula>
    </cfRule>
    <cfRule type="expression" dxfId="607" priority="238">
      <formula>$B130="Inicio Liberación"</formula>
    </cfRule>
  </conditionalFormatting>
  <conditionalFormatting sqref="F130">
    <cfRule type="expression" dxfId="606" priority="235">
      <formula>$B130="Fin Liberación"</formula>
    </cfRule>
    <cfRule type="expression" dxfId="605" priority="236">
      <formula>$B130="Inicio Liberación"</formula>
    </cfRule>
  </conditionalFormatting>
  <conditionalFormatting sqref="E131:E133">
    <cfRule type="expression" dxfId="604" priority="233">
      <formula>$B131="Fin Liberación"</formula>
    </cfRule>
    <cfRule type="expression" dxfId="603" priority="234">
      <formula>$B131="Inicio Liberación"</formula>
    </cfRule>
  </conditionalFormatting>
  <conditionalFormatting sqref="F131:F133">
    <cfRule type="expression" dxfId="602" priority="231">
      <formula>$B131="Fin Liberación"</formula>
    </cfRule>
    <cfRule type="expression" dxfId="601" priority="232">
      <formula>$B131="Inicio Liberación"</formula>
    </cfRule>
  </conditionalFormatting>
  <conditionalFormatting sqref="E134">
    <cfRule type="expression" dxfId="600" priority="229">
      <formula>$B134="Fin Liberación"</formula>
    </cfRule>
    <cfRule type="expression" dxfId="599" priority="230">
      <formula>$B134="Inicio Liberación"</formula>
    </cfRule>
  </conditionalFormatting>
  <conditionalFormatting sqref="F134">
    <cfRule type="expression" dxfId="598" priority="227">
      <formula>$B134="Fin Liberación"</formula>
    </cfRule>
    <cfRule type="expression" dxfId="597" priority="228">
      <formula>$B134="Inicio Liberación"</formula>
    </cfRule>
  </conditionalFormatting>
  <conditionalFormatting sqref="E135:E137">
    <cfRule type="expression" dxfId="596" priority="225">
      <formula>$B135="Fin Liberación"</formula>
    </cfRule>
    <cfRule type="expression" dxfId="595" priority="226">
      <formula>$B135="Inicio Liberación"</formula>
    </cfRule>
  </conditionalFormatting>
  <conditionalFormatting sqref="F135:F137">
    <cfRule type="expression" dxfId="594" priority="223">
      <formula>$B135="Fin Liberación"</formula>
    </cfRule>
    <cfRule type="expression" dxfId="593" priority="224">
      <formula>$B135="Inicio Liberación"</formula>
    </cfRule>
  </conditionalFormatting>
  <conditionalFormatting sqref="E138">
    <cfRule type="expression" dxfId="592" priority="221">
      <formula>$B138="Fin Liberación"</formula>
    </cfRule>
    <cfRule type="expression" dxfId="591" priority="222">
      <formula>$B138="Inicio Liberación"</formula>
    </cfRule>
  </conditionalFormatting>
  <conditionalFormatting sqref="F138">
    <cfRule type="expression" dxfId="590" priority="219">
      <formula>$B138="Fin Liberación"</formula>
    </cfRule>
    <cfRule type="expression" dxfId="589" priority="220">
      <formula>$B138="Inicio Liberación"</formula>
    </cfRule>
  </conditionalFormatting>
  <conditionalFormatting sqref="E139:E141">
    <cfRule type="expression" dxfId="588" priority="217">
      <formula>$B139="Fin Liberación"</formula>
    </cfRule>
    <cfRule type="expression" dxfId="587" priority="218">
      <formula>$B139="Inicio Liberación"</formula>
    </cfRule>
  </conditionalFormatting>
  <conditionalFormatting sqref="F139:F141">
    <cfRule type="expression" dxfId="586" priority="215">
      <formula>$B139="Fin Liberación"</formula>
    </cfRule>
    <cfRule type="expression" dxfId="585" priority="216">
      <formula>$B139="Inicio Liberación"</formula>
    </cfRule>
  </conditionalFormatting>
  <conditionalFormatting sqref="E142">
    <cfRule type="expression" dxfId="584" priority="213">
      <formula>$B142="Fin Liberación"</formula>
    </cfRule>
    <cfRule type="expression" dxfId="583" priority="214">
      <formula>$B142="Inicio Liberación"</formula>
    </cfRule>
  </conditionalFormatting>
  <conditionalFormatting sqref="F142">
    <cfRule type="expression" dxfId="582" priority="211">
      <formula>$B142="Fin Liberación"</formula>
    </cfRule>
    <cfRule type="expression" dxfId="581" priority="212">
      <formula>$B142="Inicio Liberación"</formula>
    </cfRule>
  </conditionalFormatting>
  <conditionalFormatting sqref="E143:E145">
    <cfRule type="expression" dxfId="580" priority="209">
      <formula>$B143="Fin Liberación"</formula>
    </cfRule>
    <cfRule type="expression" dxfId="579" priority="210">
      <formula>$B143="Inicio Liberación"</formula>
    </cfRule>
  </conditionalFormatting>
  <conditionalFormatting sqref="F143:F145">
    <cfRule type="expression" dxfId="578" priority="207">
      <formula>$B143="Fin Liberación"</formula>
    </cfRule>
    <cfRule type="expression" dxfId="577" priority="208">
      <formula>$B143="Inicio Liberación"</formula>
    </cfRule>
  </conditionalFormatting>
  <conditionalFormatting sqref="E146">
    <cfRule type="expression" dxfId="576" priority="205">
      <formula>$B146="Fin Liberación"</formula>
    </cfRule>
    <cfRule type="expression" dxfId="575" priority="206">
      <formula>$B146="Inicio Liberación"</formula>
    </cfRule>
  </conditionalFormatting>
  <conditionalFormatting sqref="F146">
    <cfRule type="expression" dxfId="574" priority="203">
      <formula>$B146="Fin Liberación"</formula>
    </cfRule>
    <cfRule type="expression" dxfId="573" priority="204">
      <formula>$B146="Inicio Liberación"</formula>
    </cfRule>
  </conditionalFormatting>
  <conditionalFormatting sqref="E147:E149">
    <cfRule type="expression" dxfId="572" priority="201">
      <formula>$B147="Fin Liberación"</formula>
    </cfRule>
    <cfRule type="expression" dxfId="571" priority="202">
      <formula>$B147="Inicio Liberación"</formula>
    </cfRule>
  </conditionalFormatting>
  <conditionalFormatting sqref="F147:F149">
    <cfRule type="expression" dxfId="570" priority="199">
      <formula>$B147="Fin Liberación"</formula>
    </cfRule>
    <cfRule type="expression" dxfId="569" priority="200">
      <formula>$B147="Inicio Liberación"</formula>
    </cfRule>
  </conditionalFormatting>
  <conditionalFormatting sqref="E150">
    <cfRule type="expression" dxfId="568" priority="197">
      <formula>$B150="Fin Liberación"</formula>
    </cfRule>
    <cfRule type="expression" dxfId="567" priority="198">
      <formula>$B150="Inicio Liberación"</formula>
    </cfRule>
  </conditionalFormatting>
  <conditionalFormatting sqref="F150">
    <cfRule type="expression" dxfId="566" priority="195">
      <formula>$B150="Fin Liberación"</formula>
    </cfRule>
    <cfRule type="expression" dxfId="565" priority="196">
      <formula>$B150="Inicio Liberación"</formula>
    </cfRule>
  </conditionalFormatting>
  <conditionalFormatting sqref="E151:E153">
    <cfRule type="expression" dxfId="564" priority="193">
      <formula>$B151="Fin Liberación"</formula>
    </cfRule>
    <cfRule type="expression" dxfId="563" priority="194">
      <formula>$B151="Inicio Liberación"</formula>
    </cfRule>
  </conditionalFormatting>
  <conditionalFormatting sqref="F151:F153">
    <cfRule type="expression" dxfId="562" priority="191">
      <formula>$B151="Fin Liberación"</formula>
    </cfRule>
    <cfRule type="expression" dxfId="561" priority="192">
      <formula>$B151="Inicio Liberación"</formula>
    </cfRule>
  </conditionalFormatting>
  <conditionalFormatting sqref="E154">
    <cfRule type="expression" dxfId="560" priority="189">
      <formula>$B154="Fin Liberación"</formula>
    </cfRule>
    <cfRule type="expression" dxfId="559" priority="190">
      <formula>$B154="Inicio Liberación"</formula>
    </cfRule>
  </conditionalFormatting>
  <conditionalFormatting sqref="F154">
    <cfRule type="expression" dxfId="558" priority="187">
      <formula>$B154="Fin Liberación"</formula>
    </cfRule>
    <cfRule type="expression" dxfId="557" priority="188">
      <formula>$B154="Inicio Liberación"</formula>
    </cfRule>
  </conditionalFormatting>
  <conditionalFormatting sqref="E155:E157">
    <cfRule type="expression" dxfId="556" priority="185">
      <formula>$B155="Fin Liberación"</formula>
    </cfRule>
    <cfRule type="expression" dxfId="555" priority="186">
      <formula>$B155="Inicio Liberación"</formula>
    </cfRule>
  </conditionalFormatting>
  <conditionalFormatting sqref="F155:F157">
    <cfRule type="expression" dxfId="554" priority="183">
      <formula>$B155="Fin Liberación"</formula>
    </cfRule>
    <cfRule type="expression" dxfId="553" priority="184">
      <formula>$B155="Inicio Liberación"</formula>
    </cfRule>
  </conditionalFormatting>
  <conditionalFormatting sqref="E158">
    <cfRule type="expression" dxfId="552" priority="181">
      <formula>$B158="Fin Liberación"</formula>
    </cfRule>
    <cfRule type="expression" dxfId="551" priority="182">
      <formula>$B158="Inicio Liberación"</formula>
    </cfRule>
  </conditionalFormatting>
  <conditionalFormatting sqref="F158">
    <cfRule type="expression" dxfId="550" priority="179">
      <formula>$B158="Fin Liberación"</formula>
    </cfRule>
    <cfRule type="expression" dxfId="549" priority="180">
      <formula>$B158="Inicio Liberación"</formula>
    </cfRule>
  </conditionalFormatting>
  <conditionalFormatting sqref="E159:E161">
    <cfRule type="expression" dxfId="548" priority="177">
      <formula>$B159="Fin Liberación"</formula>
    </cfRule>
    <cfRule type="expression" dxfId="547" priority="178">
      <formula>$B159="Inicio Liberación"</formula>
    </cfRule>
  </conditionalFormatting>
  <conditionalFormatting sqref="F159:F161">
    <cfRule type="expression" dxfId="546" priority="175">
      <formula>$B159="Fin Liberación"</formula>
    </cfRule>
    <cfRule type="expression" dxfId="545" priority="176">
      <formula>$B159="Inicio Liberación"</formula>
    </cfRule>
  </conditionalFormatting>
  <conditionalFormatting sqref="E162">
    <cfRule type="expression" dxfId="544" priority="173">
      <formula>$B162="Fin Liberación"</formula>
    </cfRule>
    <cfRule type="expression" dxfId="543" priority="174">
      <formula>$B162="Inicio Liberación"</formula>
    </cfRule>
  </conditionalFormatting>
  <conditionalFormatting sqref="F162">
    <cfRule type="expression" dxfId="542" priority="171">
      <formula>$B162="Fin Liberación"</formula>
    </cfRule>
    <cfRule type="expression" dxfId="541" priority="172">
      <formula>$B162="Inicio Liberación"</formula>
    </cfRule>
  </conditionalFormatting>
  <conditionalFormatting sqref="E163:E165">
    <cfRule type="expression" dxfId="540" priority="169">
      <formula>$B163="Fin Liberación"</formula>
    </cfRule>
    <cfRule type="expression" dxfId="539" priority="170">
      <formula>$B163="Inicio Liberación"</formula>
    </cfRule>
  </conditionalFormatting>
  <conditionalFormatting sqref="F163:F165">
    <cfRule type="expression" dxfId="538" priority="167">
      <formula>$B163="Fin Liberación"</formula>
    </cfRule>
    <cfRule type="expression" dxfId="537" priority="168">
      <formula>$B163="Inicio Liberación"</formula>
    </cfRule>
  </conditionalFormatting>
  <conditionalFormatting sqref="E166">
    <cfRule type="expression" dxfId="536" priority="165">
      <formula>$B166="Fin Liberación"</formula>
    </cfRule>
    <cfRule type="expression" dxfId="535" priority="166">
      <formula>$B166="Inicio Liberación"</formula>
    </cfRule>
  </conditionalFormatting>
  <conditionalFormatting sqref="F166">
    <cfRule type="expression" dxfId="534" priority="163">
      <formula>$B166="Fin Liberación"</formula>
    </cfRule>
    <cfRule type="expression" dxfId="533" priority="164">
      <formula>$B166="Inicio Liberación"</formula>
    </cfRule>
  </conditionalFormatting>
  <conditionalFormatting sqref="E167:E169">
    <cfRule type="expression" dxfId="532" priority="161">
      <formula>$B167="Fin Liberación"</formula>
    </cfRule>
    <cfRule type="expression" dxfId="531" priority="162">
      <formula>$B167="Inicio Liberación"</formula>
    </cfRule>
  </conditionalFormatting>
  <conditionalFormatting sqref="F167:F169">
    <cfRule type="expression" dxfId="530" priority="159">
      <formula>$B167="Fin Liberación"</formula>
    </cfRule>
    <cfRule type="expression" dxfId="529" priority="160">
      <formula>$B167="Inicio Liberación"</formula>
    </cfRule>
  </conditionalFormatting>
  <conditionalFormatting sqref="E170">
    <cfRule type="expression" dxfId="528" priority="157">
      <formula>$B170="Fin Liberación"</formula>
    </cfRule>
    <cfRule type="expression" dxfId="527" priority="158">
      <formula>$B170="Inicio Liberación"</formula>
    </cfRule>
  </conditionalFormatting>
  <conditionalFormatting sqref="F170">
    <cfRule type="expression" dxfId="526" priority="155">
      <formula>$B170="Fin Liberación"</formula>
    </cfRule>
    <cfRule type="expression" dxfId="525" priority="156">
      <formula>$B170="Inicio Liberación"</formula>
    </cfRule>
  </conditionalFormatting>
  <conditionalFormatting sqref="E171:E173">
    <cfRule type="expression" dxfId="524" priority="153">
      <formula>$B171="Fin Liberación"</formula>
    </cfRule>
    <cfRule type="expression" dxfId="523" priority="154">
      <formula>$B171="Inicio Liberación"</formula>
    </cfRule>
  </conditionalFormatting>
  <conditionalFormatting sqref="F171:F173">
    <cfRule type="expression" dxfId="522" priority="151">
      <formula>$B171="Fin Liberación"</formula>
    </cfRule>
    <cfRule type="expression" dxfId="521" priority="152">
      <formula>$B171="Inicio Liberación"</formula>
    </cfRule>
  </conditionalFormatting>
  <conditionalFormatting sqref="E174">
    <cfRule type="expression" dxfId="520" priority="149">
      <formula>$B174="Fin Liberación"</formula>
    </cfRule>
    <cfRule type="expression" dxfId="519" priority="150">
      <formula>$B174="Inicio Liberación"</formula>
    </cfRule>
  </conditionalFormatting>
  <conditionalFormatting sqref="F174">
    <cfRule type="expression" dxfId="518" priority="147">
      <formula>$B174="Fin Liberación"</formula>
    </cfRule>
    <cfRule type="expression" dxfId="517" priority="148">
      <formula>$B174="Inicio Liberación"</formula>
    </cfRule>
  </conditionalFormatting>
  <conditionalFormatting sqref="E175:E177">
    <cfRule type="expression" dxfId="516" priority="145">
      <formula>$B175="Fin Liberación"</formula>
    </cfRule>
    <cfRule type="expression" dxfId="515" priority="146">
      <formula>$B175="Inicio Liberación"</formula>
    </cfRule>
  </conditionalFormatting>
  <conditionalFormatting sqref="F175:F177">
    <cfRule type="expression" dxfId="514" priority="143">
      <formula>$B175="Fin Liberación"</formula>
    </cfRule>
    <cfRule type="expression" dxfId="513" priority="144">
      <formula>$B175="Inicio Liberación"</formula>
    </cfRule>
  </conditionalFormatting>
  <conditionalFormatting sqref="E178">
    <cfRule type="expression" dxfId="512" priority="141">
      <formula>$B178="Fin Liberación"</formula>
    </cfRule>
    <cfRule type="expression" dxfId="511" priority="142">
      <formula>$B178="Inicio Liberación"</formula>
    </cfRule>
  </conditionalFormatting>
  <conditionalFormatting sqref="F178">
    <cfRule type="expression" dxfId="510" priority="139">
      <formula>$B178="Fin Liberación"</formula>
    </cfRule>
    <cfRule type="expression" dxfId="509" priority="140">
      <formula>$B178="Inicio Liberación"</formula>
    </cfRule>
  </conditionalFormatting>
  <conditionalFormatting sqref="E179:E181">
    <cfRule type="expression" dxfId="508" priority="137">
      <formula>$B179="Fin Liberación"</formula>
    </cfRule>
    <cfRule type="expression" dxfId="507" priority="138">
      <formula>$B179="Inicio Liberación"</formula>
    </cfRule>
  </conditionalFormatting>
  <conditionalFormatting sqref="F179:F181">
    <cfRule type="expression" dxfId="506" priority="135">
      <formula>$B179="Fin Liberación"</formula>
    </cfRule>
    <cfRule type="expression" dxfId="505" priority="136">
      <formula>$B179="Inicio Liberación"</formula>
    </cfRule>
  </conditionalFormatting>
  <conditionalFormatting sqref="E182">
    <cfRule type="expression" dxfId="504" priority="133">
      <formula>$B182="Fin Liberación"</formula>
    </cfRule>
    <cfRule type="expression" dxfId="503" priority="134">
      <formula>$B182="Inicio Liberación"</formula>
    </cfRule>
  </conditionalFormatting>
  <conditionalFormatting sqref="F182">
    <cfRule type="expression" dxfId="502" priority="131">
      <formula>$B182="Fin Liberación"</formula>
    </cfRule>
    <cfRule type="expression" dxfId="501" priority="132">
      <formula>$B182="Inicio Liberación"</formula>
    </cfRule>
  </conditionalFormatting>
  <conditionalFormatting sqref="E183:E185">
    <cfRule type="expression" dxfId="500" priority="129">
      <formula>$B183="Fin Liberación"</formula>
    </cfRule>
    <cfRule type="expression" dxfId="499" priority="130">
      <formula>$B183="Inicio Liberación"</formula>
    </cfRule>
  </conditionalFormatting>
  <conditionalFormatting sqref="F183:F185">
    <cfRule type="expression" dxfId="498" priority="127">
      <formula>$B183="Fin Liberación"</formula>
    </cfRule>
    <cfRule type="expression" dxfId="497" priority="128">
      <formula>$B183="Inicio Liberación"</formula>
    </cfRule>
  </conditionalFormatting>
  <conditionalFormatting sqref="E186">
    <cfRule type="expression" dxfId="496" priority="125">
      <formula>$B186="Fin Liberación"</formula>
    </cfRule>
    <cfRule type="expression" dxfId="495" priority="126">
      <formula>$B186="Inicio Liberación"</formula>
    </cfRule>
  </conditionalFormatting>
  <conditionalFormatting sqref="F186">
    <cfRule type="expression" dxfId="494" priority="123">
      <formula>$B186="Fin Liberación"</formula>
    </cfRule>
    <cfRule type="expression" dxfId="493" priority="124">
      <formula>$B186="Inicio Liberación"</formula>
    </cfRule>
  </conditionalFormatting>
  <conditionalFormatting sqref="C10">
    <cfRule type="expression" dxfId="492" priority="121">
      <formula>$B13="Inicio Liberación"</formula>
    </cfRule>
  </conditionalFormatting>
  <conditionalFormatting sqref="C10">
    <cfRule type="expression" dxfId="491" priority="122">
      <formula>$B13="Fin Liberación"</formula>
    </cfRule>
  </conditionalFormatting>
  <conditionalFormatting sqref="C10">
    <cfRule type="containsText" dxfId="490" priority="119" operator="containsText" text="VTF">
      <formula>NOT(ISERROR(SEARCH("VTF",C10)))</formula>
    </cfRule>
    <cfRule type="containsText" dxfId="489" priority="120" operator="containsText" text="VTI">
      <formula>NOT(ISERROR(SEARCH("VTI",C10)))</formula>
    </cfRule>
  </conditionalFormatting>
  <conditionalFormatting sqref="C11">
    <cfRule type="expression" dxfId="488" priority="117">
      <formula>$B14="Inicio Liberación"</formula>
    </cfRule>
  </conditionalFormatting>
  <conditionalFormatting sqref="C11">
    <cfRule type="expression" dxfId="487" priority="118">
      <formula>$B14="Fin Liberación"</formula>
    </cfRule>
  </conditionalFormatting>
  <conditionalFormatting sqref="C11">
    <cfRule type="containsText" dxfId="486" priority="115" operator="containsText" text="VTF">
      <formula>NOT(ISERROR(SEARCH("VTF",C11)))</formula>
    </cfRule>
    <cfRule type="containsText" dxfId="485" priority="116" operator="containsText" text="VTI">
      <formula>NOT(ISERROR(SEARCH("VTI",C11)))</formula>
    </cfRule>
  </conditionalFormatting>
  <conditionalFormatting sqref="C12">
    <cfRule type="expression" dxfId="484" priority="113">
      <formula>$B15="Inicio Liberación"</formula>
    </cfRule>
  </conditionalFormatting>
  <conditionalFormatting sqref="C12">
    <cfRule type="expression" dxfId="483" priority="114">
      <formula>$B15="Fin Liberación"</formula>
    </cfRule>
  </conditionalFormatting>
  <conditionalFormatting sqref="C12">
    <cfRule type="containsText" dxfId="482" priority="111" operator="containsText" text="VTF">
      <formula>NOT(ISERROR(SEARCH("VTF",C12)))</formula>
    </cfRule>
    <cfRule type="containsText" dxfId="481" priority="112" operator="containsText" text="VTI">
      <formula>NOT(ISERROR(SEARCH("VTI",C12)))</formula>
    </cfRule>
  </conditionalFormatting>
  <conditionalFormatting sqref="C13">
    <cfRule type="expression" dxfId="480" priority="109">
      <formula>$B16="Inicio Liberación"</formula>
    </cfRule>
  </conditionalFormatting>
  <conditionalFormatting sqref="C13">
    <cfRule type="expression" dxfId="479" priority="110">
      <formula>$B16="Fin Liberación"</formula>
    </cfRule>
  </conditionalFormatting>
  <conditionalFormatting sqref="C13">
    <cfRule type="containsText" dxfId="478" priority="107" operator="containsText" text="VTF">
      <formula>NOT(ISERROR(SEARCH("VTF",C13)))</formula>
    </cfRule>
    <cfRule type="containsText" dxfId="477" priority="108" operator="containsText" text="VTI">
      <formula>NOT(ISERROR(SEARCH("VTI",C13)))</formula>
    </cfRule>
  </conditionalFormatting>
  <conditionalFormatting sqref="D6">
    <cfRule type="expression" dxfId="476" priority="2018">
      <formula>$B8="Fin Liberación"</formula>
    </cfRule>
    <cfRule type="expression" dxfId="475" priority="2019">
      <formula>$B8="Inicio Liberación"</formula>
    </cfRule>
  </conditionalFormatting>
  <conditionalFormatting sqref="D7">
    <cfRule type="expression" dxfId="474" priority="105">
      <formula>$B9="Fin Liberación"</formula>
    </cfRule>
    <cfRule type="expression" dxfId="473" priority="106">
      <formula>$B9="Inicio Liberación"</formula>
    </cfRule>
  </conditionalFormatting>
  <conditionalFormatting sqref="D11">
    <cfRule type="expression" dxfId="472" priority="97">
      <formula>$B13="Fin Liberación"</formula>
    </cfRule>
    <cfRule type="expression" dxfId="471" priority="98">
      <formula>$B13="Inicio Liberación"</formula>
    </cfRule>
  </conditionalFormatting>
  <conditionalFormatting sqref="D12">
    <cfRule type="expression" dxfId="470" priority="95">
      <formula>$B14="Fin Liberación"</formula>
    </cfRule>
    <cfRule type="expression" dxfId="469" priority="96">
      <formula>$B14="Inicio Liberación"</formula>
    </cfRule>
  </conditionalFormatting>
  <conditionalFormatting sqref="D13">
    <cfRule type="expression" dxfId="468" priority="93">
      <formula>$B15="Fin Liberación"</formula>
    </cfRule>
    <cfRule type="expression" dxfId="467" priority="94">
      <formula>$B15="Inicio Liberación"</formula>
    </cfRule>
  </conditionalFormatting>
  <conditionalFormatting sqref="D14">
    <cfRule type="expression" dxfId="466" priority="91">
      <formula>$B16="Fin Liberación"</formula>
    </cfRule>
    <cfRule type="expression" dxfId="465" priority="92">
      <formula>$B16="Inicio Liberación"</formula>
    </cfRule>
  </conditionalFormatting>
  <conditionalFormatting sqref="D15:D17">
    <cfRule type="expression" dxfId="464" priority="89">
      <formula>$B17="Fin Liberación"</formula>
    </cfRule>
    <cfRule type="expression" dxfId="463" priority="90">
      <formula>$B17="Inicio Liberación"</formula>
    </cfRule>
  </conditionalFormatting>
  <conditionalFormatting sqref="D18:D20">
    <cfRule type="expression" dxfId="462" priority="87">
      <formula>$B20="Fin Liberación"</formula>
    </cfRule>
    <cfRule type="expression" dxfId="461" priority="88">
      <formula>$B20="Inicio Liberación"</formula>
    </cfRule>
  </conditionalFormatting>
  <conditionalFormatting sqref="D21">
    <cfRule type="expression" dxfId="460" priority="85">
      <formula>$B23="Fin Liberación"</formula>
    </cfRule>
    <cfRule type="expression" dxfId="459" priority="86">
      <formula>$B23="Inicio Liberación"</formula>
    </cfRule>
  </conditionalFormatting>
  <conditionalFormatting sqref="D22">
    <cfRule type="expression" dxfId="458" priority="83">
      <formula>$B24="Fin Liberación"</formula>
    </cfRule>
    <cfRule type="expression" dxfId="457" priority="84">
      <formula>$B24="Inicio Liberación"</formula>
    </cfRule>
  </conditionalFormatting>
  <conditionalFormatting sqref="D23">
    <cfRule type="expression" dxfId="456" priority="81">
      <formula>$B25="Fin Liberación"</formula>
    </cfRule>
    <cfRule type="expression" dxfId="455" priority="82">
      <formula>$B25="Inicio Liberación"</formula>
    </cfRule>
  </conditionalFormatting>
  <conditionalFormatting sqref="D24">
    <cfRule type="expression" dxfId="454" priority="79">
      <formula>$B26="Fin Liberación"</formula>
    </cfRule>
    <cfRule type="expression" dxfId="453" priority="80">
      <formula>$B26="Inicio Liberación"</formula>
    </cfRule>
  </conditionalFormatting>
  <conditionalFormatting sqref="D25">
    <cfRule type="expression" dxfId="452" priority="77">
      <formula>$B27="Fin Liberación"</formula>
    </cfRule>
    <cfRule type="expression" dxfId="451" priority="78">
      <formula>$B27="Inicio Liberación"</formula>
    </cfRule>
  </conditionalFormatting>
  <conditionalFormatting sqref="D26">
    <cfRule type="expression" dxfId="450" priority="75">
      <formula>$B28="Fin Liberación"</formula>
    </cfRule>
    <cfRule type="expression" dxfId="449" priority="76">
      <formula>$B28="Inicio Liberación"</formula>
    </cfRule>
  </conditionalFormatting>
  <conditionalFormatting sqref="D27">
    <cfRule type="expression" dxfId="448" priority="73">
      <formula>$B29="Fin Liberación"</formula>
    </cfRule>
    <cfRule type="expression" dxfId="447" priority="74">
      <formula>$B29="Inicio Liberación"</formula>
    </cfRule>
  </conditionalFormatting>
  <conditionalFormatting sqref="D28">
    <cfRule type="expression" dxfId="446" priority="71">
      <formula>$B30="Fin Liberación"</formula>
    </cfRule>
    <cfRule type="expression" dxfId="445" priority="72">
      <formula>$B30="Inicio Liberación"</formula>
    </cfRule>
  </conditionalFormatting>
  <conditionalFormatting sqref="D29">
    <cfRule type="expression" dxfId="444" priority="69">
      <formula>$B31="Fin Liberación"</formula>
    </cfRule>
    <cfRule type="expression" dxfId="443" priority="70">
      <formula>$B31="Inicio Liberación"</formula>
    </cfRule>
  </conditionalFormatting>
  <conditionalFormatting sqref="D30:D32">
    <cfRule type="expression" dxfId="442" priority="67">
      <formula>$B32="Fin Liberación"</formula>
    </cfRule>
    <cfRule type="expression" dxfId="441" priority="68">
      <formula>$B32="Inicio Liberación"</formula>
    </cfRule>
  </conditionalFormatting>
  <conditionalFormatting sqref="D33:D35">
    <cfRule type="expression" dxfId="440" priority="65">
      <formula>$B35="Fin Liberación"</formula>
    </cfRule>
    <cfRule type="expression" dxfId="439" priority="66">
      <formula>$B35="Inicio Liberación"</formula>
    </cfRule>
  </conditionalFormatting>
  <conditionalFormatting sqref="D8">
    <cfRule type="expression" dxfId="438" priority="63">
      <formula>$B10="Fin Liberación"</formula>
    </cfRule>
    <cfRule type="expression" dxfId="437" priority="64">
      <formula>$B10="Inicio Liberación"</formula>
    </cfRule>
  </conditionalFormatting>
  <conditionalFormatting sqref="D9">
    <cfRule type="expression" dxfId="436" priority="61">
      <formula>$B11="Fin Liberación"</formula>
    </cfRule>
    <cfRule type="expression" dxfId="435" priority="62">
      <formula>$B11="Inicio Liberación"</formula>
    </cfRule>
  </conditionalFormatting>
  <conditionalFormatting sqref="D10">
    <cfRule type="expression" dxfId="434" priority="59">
      <formula>$B12="Fin Liberación"</formula>
    </cfRule>
    <cfRule type="expression" dxfId="433" priority="60">
      <formula>$B12="Inicio Liberación"</formula>
    </cfRule>
  </conditionalFormatting>
  <conditionalFormatting sqref="F7">
    <cfRule type="expression" dxfId="432" priority="17">
      <formula>$B7="Fin Liberación"</formula>
    </cfRule>
    <cfRule type="expression" dxfId="431" priority="18">
      <formula>$B7="Inicio Liberación"</formula>
    </cfRule>
  </conditionalFormatting>
  <conditionalFormatting sqref="E8">
    <cfRule type="expression" dxfId="430" priority="15">
      <formula>$B8="Fin Liberación"</formula>
    </cfRule>
    <cfRule type="expression" dxfId="429" priority="16">
      <formula>$B8="Inicio Liberación"</formula>
    </cfRule>
  </conditionalFormatting>
  <conditionalFormatting sqref="F8">
    <cfRule type="expression" dxfId="428" priority="13">
      <formula>$B8="Fin Liberación"</formula>
    </cfRule>
    <cfRule type="expression" dxfId="427" priority="14">
      <formula>$B8="Inicio Liberación"</formula>
    </cfRule>
  </conditionalFormatting>
  <conditionalFormatting sqref="E9">
    <cfRule type="expression" dxfId="426" priority="11">
      <formula>$B9="Fin Liberación"</formula>
    </cfRule>
    <cfRule type="expression" dxfId="425" priority="12">
      <formula>$B9="Inicio Liberación"</formula>
    </cfRule>
  </conditionalFormatting>
  <conditionalFormatting sqref="F9">
    <cfRule type="expression" dxfId="424" priority="9">
      <formula>$B9="Fin Liberación"</formula>
    </cfRule>
    <cfRule type="expression" dxfId="423" priority="10">
      <formula>$B9="Inicio Liberación"</formula>
    </cfRule>
  </conditionalFormatting>
  <conditionalFormatting sqref="E10">
    <cfRule type="expression" dxfId="422" priority="7">
      <formula>$B10="Fin Liberación"</formula>
    </cfRule>
    <cfRule type="expression" dxfId="421" priority="8">
      <formula>$B10="Inicio Liberación"</formula>
    </cfRule>
  </conditionalFormatting>
  <conditionalFormatting sqref="F10">
    <cfRule type="expression" dxfId="420" priority="5">
      <formula>$B10="Fin Liberación"</formula>
    </cfRule>
    <cfRule type="expression" dxfId="419" priority="6">
      <formula>$B10="Inicio Liberación"</formula>
    </cfRule>
  </conditionalFormatting>
  <conditionalFormatting sqref="E11">
    <cfRule type="expression" dxfId="418" priority="3">
      <formula>$B11="Fin Liberación"</formula>
    </cfRule>
    <cfRule type="expression" dxfId="417" priority="4">
      <formula>$B11="Inicio Liberación"</formula>
    </cfRule>
  </conditionalFormatting>
  <conditionalFormatting sqref="F11">
    <cfRule type="expression" dxfId="416" priority="1">
      <formula>$B11="Fin Liberación"</formula>
    </cfRule>
    <cfRule type="expression" dxfId="415" priority="2">
      <formula>$B11="Inicio Liberación"</formula>
    </cfRule>
  </conditionalFormatting>
  <dataValidations xWindow="450" yWindow="252" count="7">
    <dataValidation type="list" allowBlank="1" showInputMessage="1" showErrorMessage="1" sqref="K5:K202" xr:uid="{00000000-0002-0000-0200-000000000000}">
      <formula1>"S,N"</formula1>
    </dataValidation>
    <dataValidation type="list" allowBlank="1" showInputMessage="1" showErrorMessage="1" prompt="Selecciona Opción de Lista" sqref="D4" xr:uid="{00000000-0002-0000-0200-000001000000}">
      <formula1>"No Requiere VT,Si Requiere VT,VT Informativa"</formula1>
    </dataValidation>
    <dataValidation type="list" allowBlank="1" showInputMessage="1" showErrorMessage="1" sqref="L4:L202" xr:uid="{00000000-0002-0000-0200-000002000000}">
      <formula1>"T,P,N"</formula1>
    </dataValidation>
    <dataValidation type="list" allowBlank="1" showInputMessage="1" showErrorMessage="1" sqref="C4" xr:uid="{00000000-0002-0000-0200-000003000000}">
      <formula1>"VT"</formula1>
    </dataValidation>
    <dataValidation type="list" allowBlank="1" showInputMessage="1" showErrorMessage="1" sqref="C5" xr:uid="{00000000-0002-0000-0200-000004000000}">
      <formula1>"INI"</formula1>
    </dataValidation>
    <dataValidation type="list" allowBlank="1" showInputMessage="1" showErrorMessage="1" sqref="C6:C201" xr:uid="{00000000-0002-0000-0200-000005000000}">
      <formula1>"PRE,IMP,VAL,BCK,VTI,VTF,FIN"</formula1>
    </dataValidation>
    <dataValidation type="list" allowBlank="1" showInputMessage="1" showErrorMessage="1" sqref="H202" xr:uid="{00000000-0002-0000-0200-000006000000}">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2:AK43"/>
  <sheetViews>
    <sheetView showGridLines="0" zoomScaleNormal="100" workbookViewId="0">
      <selection activeCell="E9" sqref="E9"/>
    </sheetView>
  </sheetViews>
  <sheetFormatPr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21" t="s">
        <v>359</v>
      </c>
      <c r="C2" s="221"/>
      <c r="D2" s="221"/>
      <c r="E2" s="221"/>
    </row>
    <row r="3" spans="2:35" ht="15" customHeight="1">
      <c r="B3" s="216" t="s">
        <v>209</v>
      </c>
      <c r="C3" s="217"/>
      <c r="D3" s="217"/>
      <c r="E3" s="218"/>
    </row>
    <row r="4" spans="2:35" ht="15" customHeight="1">
      <c r="B4" s="213" t="s">
        <v>387</v>
      </c>
      <c r="C4" s="214"/>
      <c r="D4" s="214"/>
      <c r="E4" s="215"/>
    </row>
    <row r="5" spans="2:35" ht="16.5" customHeight="1">
      <c r="B5" s="44"/>
      <c r="C5" s="44"/>
      <c r="D5" s="44"/>
      <c r="E5" s="44"/>
    </row>
    <row r="6" spans="2:35" ht="16.5" customHeight="1">
      <c r="B6" s="221" t="s">
        <v>207</v>
      </c>
      <c r="C6" s="221"/>
      <c r="D6" s="221"/>
      <c r="E6" s="221"/>
    </row>
    <row r="7" spans="2:35" ht="16.5" customHeight="1">
      <c r="B7" s="47" t="s">
        <v>208</v>
      </c>
      <c r="C7" s="48" t="s">
        <v>136</v>
      </c>
      <c r="D7" s="47" t="s">
        <v>134</v>
      </c>
      <c r="E7" s="48" t="s">
        <v>135</v>
      </c>
    </row>
    <row r="8" spans="2:35" ht="15" customHeight="1">
      <c r="B8" s="45" t="s">
        <v>370</v>
      </c>
      <c r="C8" s="45">
        <v>58090212</v>
      </c>
      <c r="D8" s="45" t="s">
        <v>388</v>
      </c>
      <c r="E8" s="45" t="s">
        <v>389</v>
      </c>
    </row>
    <row r="10" spans="2:35">
      <c r="B10" s="220" t="s">
        <v>358</v>
      </c>
      <c r="C10" s="220"/>
      <c r="D10" s="220"/>
      <c r="E10" s="220"/>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2" t="s">
        <v>210</v>
      </c>
      <c r="D11" s="222"/>
      <c r="E11" s="222"/>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9" t="s">
        <v>376</v>
      </c>
      <c r="D12" s="219"/>
      <c r="E12" s="219"/>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t="s">
        <v>375</v>
      </c>
      <c r="C13" s="219" t="s">
        <v>377</v>
      </c>
      <c r="D13" s="219"/>
      <c r="E13" s="219"/>
      <c r="F13" s="38"/>
      <c r="G13" s="38">
        <f t="shared" ref="G13:G21" si="0">IFERROR(SEARCH("/",C13,1)-2,"")</f>
        <v>25</v>
      </c>
      <c r="H13" s="38" t="str">
        <f t="shared" ref="H13:H21" si="1">IFERROR(LEFT(C13,G13),"")</f>
        <v xml:space="preserve">Adriana Miranda Figueroa </v>
      </c>
      <c r="I13" s="39" t="str">
        <f t="shared" ref="I13:I21" si="2">IF(H13="","",CONCATENATE(H13,";"))</f>
        <v>Adriana Miranda Figueroa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9"/>
      <c r="D14" s="219"/>
      <c r="E14" s="219"/>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9"/>
      <c r="D15" s="219"/>
      <c r="E15" s="219"/>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9"/>
      <c r="D16" s="219"/>
      <c r="E16" s="219"/>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9"/>
      <c r="D17" s="219"/>
      <c r="E17" s="219"/>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9"/>
      <c r="D18" s="219"/>
      <c r="E18" s="219"/>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9"/>
      <c r="D19" s="219"/>
      <c r="E19" s="219"/>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13"/>
      <c r="D20" s="214"/>
      <c r="E20" s="215"/>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9"/>
      <c r="D21" s="219"/>
      <c r="E21" s="219"/>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0" t="s">
        <v>360</v>
      </c>
      <c r="C23" s="220"/>
      <c r="D23" s="220"/>
      <c r="E23" s="220"/>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6" t="s">
        <v>209</v>
      </c>
      <c r="C24" s="217"/>
      <c r="D24" s="217"/>
      <c r="E24" s="218"/>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13"/>
      <c r="C25" s="214"/>
      <c r="D25" s="214"/>
      <c r="E25" s="215"/>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13"/>
      <c r="C26" s="214"/>
      <c r="D26" s="214"/>
      <c r="E26" s="215"/>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13"/>
      <c r="C27" s="214"/>
      <c r="D27" s="214"/>
      <c r="E27" s="215"/>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13"/>
      <c r="C28" s="214"/>
      <c r="D28" s="214"/>
      <c r="E28" s="215"/>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13"/>
      <c r="C29" s="214"/>
      <c r="D29" s="214"/>
      <c r="E29" s="215"/>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13"/>
      <c r="C30" s="214"/>
      <c r="D30" s="214"/>
      <c r="E30" s="215"/>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13"/>
      <c r="C31" s="214"/>
      <c r="D31" s="214"/>
      <c r="E31" s="215"/>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13"/>
      <c r="C32" s="214"/>
      <c r="D32" s="214"/>
      <c r="E32" s="215"/>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13"/>
      <c r="C33" s="214"/>
      <c r="D33" s="214"/>
      <c r="E33" s="215"/>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13"/>
      <c r="C34" s="214"/>
      <c r="D34" s="214"/>
      <c r="E34" s="215"/>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13"/>
      <c r="C35" s="214"/>
      <c r="D35" s="214"/>
      <c r="E35" s="215"/>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3:E3"/>
    <mergeCell ref="B6:E6"/>
    <mergeCell ref="C18:E18"/>
    <mergeCell ref="C17:E17"/>
    <mergeCell ref="B10:E10"/>
    <mergeCell ref="C11:E11"/>
    <mergeCell ref="C12:E12"/>
    <mergeCell ref="C13:E13"/>
    <mergeCell ref="C15:E15"/>
    <mergeCell ref="C14:E14"/>
    <mergeCell ref="C16:E16"/>
    <mergeCell ref="B4:E4"/>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
  <sheetViews>
    <sheetView workbookViewId="0">
      <selection activeCell="E24" sqref="E24"/>
    </sheetView>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D1:AB244"/>
  <sheetViews>
    <sheetView zoomScale="80" zoomScaleNormal="80" workbookViewId="0">
      <selection activeCell="D15" sqref="D15:D36"/>
    </sheetView>
  </sheetViews>
  <sheetFormatPr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AA122"/>
  <sheetViews>
    <sheetView topLeftCell="A53" zoomScaleNormal="100" zoomScaleSheetLayoutView="100" workbookViewId="0">
      <selection activeCell="A28" sqref="A28:XFD28"/>
    </sheetView>
  </sheetViews>
  <sheetFormatPr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xr:uid="{00000000-0002-0000-0600-000000000000}"/>
    <dataValidation allowBlank="1" showInputMessage="1" promptTitle="Prioridad" prompt="Selecciona la prioridad tomando encuenta factores como el tipo de ambiente, si requiere ventana, etc." sqref="C29 C38" xr:uid="{00000000-0002-0000-0600-00000100000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xr:uid="{00000000-0002-0000-0600-000002000000}"/>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BQ2"/>
  <sheetViews>
    <sheetView zoomScale="80" zoomScaleNormal="80" workbookViewId="0">
      <selection activeCell="E6" sqref="E6"/>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Crear un usuario de dominio para IDE-WEB
Antecedentes: El aplicativo de IDE-WEB utiliza seguridad integrada.
Descripción: Se solicita que el área de seguridad de T-System genere el usuario de dominio para el aplicativo de IDE-WEB así como asignarle permisos de SQLServer a la base de datos IDE-WEB,  DYP UTIL</v>
      </c>
      <c r="F2" s="14" t="str">
        <f>IGC!C23</f>
        <v>Captura F/H Primer Actividad pestaña Plan</v>
      </c>
      <c r="G2" s="14">
        <f>IGC!E23</f>
        <v>43314.75</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cpriiuatacdy02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JORGE ALBERTO DE FLON GONZALEZ</v>
      </c>
      <c r="AD2" s="18" t="str">
        <f>'Matriz de comunicación'!D8</f>
        <v xml:space="preserve">Jorge Alberto de Flón González </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xr:uid="{00000000-0002-0000-0700-000000000000}">
      <formula1>"Registro Fuera de Política, Entregables pendientes, No atendio obervaciones"</formula1>
    </dataValidation>
    <dataValidation type="list" allowBlank="1" showInputMessage="1" showErrorMessage="1" sqref="AZ2" xr:uid="{00000000-0002-0000-0700-000001000000}">
      <formula1>"Petición expresa de cliente, No aprobado en CCB, Aun no aprobado"</formula1>
    </dataValidation>
    <dataValidation type="list" allowBlank="1" showInputMessage="1" showErrorMessage="1" sqref="BC2" xr:uid="{00000000-0002-0000-0700-000002000000}">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xr:uid="{00000000-0002-0000-0700-000003000000}"/>
    <dataValidation allowBlank="1" showInputMessage="1" showErrorMessage="1" promptTitle="Fin Planeación" prompt="Se refiere a la fecha en la que las líneas de servcio entregan planeación a MCCTS" sqref="BI1" xr:uid="{00000000-0002-0000-0700-000004000000}"/>
    <dataValidation allowBlank="1" showInputMessage="1" showErrorMessage="1" promptTitle="Inicio Planeación" prompt="Se refiere a la fecha en la que MCCTS le solicita la planeación a las líneas de servcio" sqref="BH1" xr:uid="{00000000-0002-0000-0700-000005000000}"/>
    <dataValidation type="list" allowBlank="1" showInputMessage="1" showErrorMessage="1" sqref="AF2" xr:uid="{00000000-0002-0000-0700-000006000000}">
      <formula1>"Exitoso, Fallido, En Proceso, No realizado, Cancelado"</formula1>
    </dataValidation>
    <dataValidation type="list" allowBlank="1" showInputMessage="1" showErrorMessage="1" sqref="L2" xr:uid="{00000000-0002-0000-0700-000007000000}">
      <formula1>"Recalendarizado, Condicionado, Aprobado, En Progreso, Rechazado, Replanificación"</formula1>
    </dataValidation>
    <dataValidation type="list" allowBlank="1" showInputMessage="1" showErrorMessage="1" sqref="X2" xr:uid="{00000000-0002-0000-0700-000008000000}">
      <formula1>"No Realizado, En Tiempo, Fuera de Tiempo, En Proceso, Cancelado, Con un incidente relacionado (#)"</formula1>
    </dataValidation>
    <dataValidation type="list" allowBlank="1" showInputMessage="1" showErrorMessage="1" sqref="J2" xr:uid="{00000000-0002-0000-0700-000009000000}">
      <formula1>"Recalendarizado, Condicionado, Aprobado, En Progreso, Rechazado"</formula1>
    </dataValidation>
    <dataValidation type="list" allowBlank="1" showInputMessage="1" showErrorMessage="1" sqref="AU2" xr:uid="{00000000-0002-0000-0700-00000A000000}">
      <formula1>"T-Systems, SAT"</formula1>
    </dataValidation>
    <dataValidation type="list" allowBlank="1" showInputMessage="1" showErrorMessage="1" sqref="AN2" xr:uid="{00000000-0002-0000-0700-00000B000000}">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SELECCION4</vt:lpstr>
      <vt:lpstr>SELECCION5</vt:lpstr>
      <vt:lpstr>SELECCION6</vt:lpstr>
      <vt:lpstr>SELECCION7</vt:lpstr>
      <vt:lpstr>SELECCION8</vt:lpstr>
      <vt:lpstr>SELECCION9</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CS5</cp:lastModifiedBy>
  <cp:lastPrinted>2017-12-20T00:11:08Z</cp:lastPrinted>
  <dcterms:created xsi:type="dcterms:W3CDTF">2015-10-24T16:41:04Z</dcterms:created>
  <dcterms:modified xsi:type="dcterms:W3CDTF">2018-07-31T21:28:51Z</dcterms:modified>
</cp:coreProperties>
</file>