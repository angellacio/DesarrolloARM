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99.90.24.220\LibretaFolios\Certificados832\"/>
    </mc:Choice>
  </mc:AlternateContent>
  <bookViews>
    <workbookView xWindow="0" yWindow="0" windowWidth="20490" windowHeight="7620" activeTab="2"/>
  </bookViews>
  <sheets>
    <sheet name="IGC" sheetId="1" r:id="rId1"/>
    <sheet name="CIs" sheetId="2" r:id="rId2"/>
    <sheet name="Plan" sheetId="3" r:id="rId3"/>
    <sheet name="Matriz de comunicación" sheetId="4" r:id="rId4"/>
    <sheet name="Anexos" sheetId="8" r:id="rId5"/>
    <sheet name="Guia de llenado" sheetId="6" r:id="rId6"/>
    <sheet name="FSC" sheetId="7" state="hidden" r:id="rId7"/>
  </sheets>
  <externalReferences>
    <externalReference r:id="rId8"/>
  </externalReferences>
  <definedNames>
    <definedName name="_xlnm._FilterDatabase" localSheetId="3" hidden="1">'Matriz de comunicación'!#REF!</definedName>
    <definedName name="BGOB" localSheetId="5">'[1]Matriz de comunicación'!$K$17:$K$40</definedName>
    <definedName name="BGOB">'Matriz de comunicación'!$K$10:$K$33</definedName>
    <definedName name="BPlan" localSheetId="5">[1]Plan!$C$6:$F$201</definedName>
    <definedName name="BPlan">Plan!$C$6:$F$207</definedName>
    <definedName name="BTEAMS" localSheetId="5">[1]Plan!$Q$4:$Q$50</definedName>
    <definedName name="BTEAMS">Plan!$Q$4:$Q$28</definedName>
    <definedName name="BVT" localSheetId="5">[1]Plan!$C$6:$F$201</definedName>
    <definedName name="BVT">Plan!$C$6:$F$207</definedName>
    <definedName name="CCN">'Matriz de comunicación'!$N$10:$N$29</definedName>
    <definedName name="GACOST">'Matriz de comunicación'!$L$10:$L$29</definedName>
    <definedName name="GAVL">'Matriz de comunicación'!$M$10:$M$29</definedName>
    <definedName name="GCOMUNICACIONESSAC">'Matriz de comunicación'!$O$10:$O$29</definedName>
    <definedName name="GDESARROLLO">'Matriz de comunicación'!$P$10:$P$29</definedName>
    <definedName name="GEMC">'Matriz de comunicación'!$Q$10:$Q$29</definedName>
    <definedName name="GGSR">'Matriz de comunicación'!$R$10:$R$29</definedName>
    <definedName name="GHP">'Matriz de comunicación'!$S$10:$S$29</definedName>
    <definedName name="GIBM">'Matriz de comunicación'!$T$10:$T$29</definedName>
    <definedName name="GIBM_MTSI">'Matriz de comunicación'!$U$10:$U$29</definedName>
    <definedName name="GMICRONET">'Matriz de comunicación'!$V$10:$V$29</definedName>
    <definedName name="GMICROSOFT">'Matriz de comunicación'!$W$10:$W$29</definedName>
    <definedName name="GMICROSOFTPREMIER">'Matriz de comunicación'!$X$10:$X$29</definedName>
    <definedName name="GNOVELL">'Matriz de comunicación'!$Y$10:$Y$29</definedName>
    <definedName name="GREMEDY">'Matriz de comunicación'!$AB$10:$AB$29</definedName>
    <definedName name="GRESPALDOSSAT">'Matriz de comunicación'!$AA$10:$AA$29</definedName>
    <definedName name="GSCITUM">'Matriz de comunicación'!$AD$10:$AD$29</definedName>
    <definedName name="GSCS">'Matriz de comunicación'!$AE$10:$AE$29</definedName>
    <definedName name="GSEGURIDAD">'Matriz de comunicación'!$AC$10:$AC$29</definedName>
    <definedName name="GSSO3">'Matriz de comunicación'!$AF$10:$AF$29</definedName>
    <definedName name="LGOB" localSheetId="5">[1]IGC!#REF!</definedName>
    <definedName name="LGOB">IGC!#REF!</definedName>
    <definedName name="MCCTI">'Matriz de comunicación'!$AG$10:$AG$29</definedName>
    <definedName name="NEGOCIO">'Matriz de comunicación'!$Z$10:$Z$29</definedName>
    <definedName name="Nuevo2">'Matriz de comunicación'!$AH$10:$AH$29</definedName>
    <definedName name="Nuevo3">'Matriz de comunicación'!$AI$10:$AI$29</definedName>
    <definedName name="_xlnm.Print_Area" localSheetId="1">CIs!$A$1:$J$250</definedName>
    <definedName name="_xlnm.Print_Area" localSheetId="5">'Guia de llenado'!$B$11:$C$86</definedName>
    <definedName name="_xlnm.Print_Area" localSheetId="0">IGC!$B$2:$E$33</definedName>
    <definedName name="_xlnm.Print_Area" localSheetId="3">'Matriz de comunicación'!$B$2:$E$35</definedName>
    <definedName name="_xlnm.Print_Area" localSheetId="2">Plan!$A$1:$M$210</definedName>
    <definedName name="_xlnm.Print_Titles" localSheetId="1">CIs!#REF!</definedName>
    <definedName name="_xlnm.Print_Titles" localSheetId="5">'Guia de llenado'!#REF!</definedName>
    <definedName name="_xlnm.Print_Titles" localSheetId="0">IGC!$2:$4</definedName>
    <definedName name="_xlnm.Print_Titles" localSheetId="2">Plan!$2:$3</definedName>
    <definedName name="SELECCION1" localSheetId="5">'[1]Matriz de comunicación'!$B$19</definedName>
    <definedName name="SELECCION1">'Matriz de comunicación'!$B$12</definedName>
    <definedName name="SELECCION10" localSheetId="5">'[1]Matriz de comunicación'!$B$28</definedName>
    <definedName name="SELECCION10">'Matriz de comunicación'!$B$21</definedName>
    <definedName name="SELECCION11">'Matriz de comunicación'!$B$4</definedName>
    <definedName name="SELECCION12" localSheetId="5">'[1]Matriz de comunicación'!$B$8</definedName>
    <definedName name="SELECCION12">'Matriz de comunicación'!#REF!</definedName>
    <definedName name="SELECCION13" localSheetId="5">'[1]Matriz de comunicación'!$B$9</definedName>
    <definedName name="SELECCION13">'Matriz de comunicación'!#REF!</definedName>
    <definedName name="SELECCION14" localSheetId="5">'[1]Matriz de comunicación'!$B$10</definedName>
    <definedName name="SELECCION14">'Matriz de comunicación'!#REF!</definedName>
    <definedName name="SELECCION15" localSheetId="5">'[1]Matriz de comunicación'!$B$11</definedName>
    <definedName name="SELECCION15">'Matriz de comunicación'!#REF!</definedName>
    <definedName name="SELECCION16" localSheetId="5">'[1]Matriz de comunicación'!$B$12</definedName>
    <definedName name="SELECCION16">'Matriz de comunicación'!#REF!</definedName>
    <definedName name="SELECCION2" localSheetId="5">'[1]Matriz de comunicación'!$B$20</definedName>
    <definedName name="SELECCION2">'Matriz de comunicación'!$B$13</definedName>
    <definedName name="SELECCION3" localSheetId="5">'[1]Matriz de comunicación'!$B$21</definedName>
    <definedName name="SELECCION3">'Matriz de comunicación'!$B$14</definedName>
    <definedName name="SELECCION4" localSheetId="5">'[1]Matriz de comunicación'!$B$22</definedName>
    <definedName name="SELECCION4">'Matriz de comunicación'!$B$15</definedName>
    <definedName name="SELECCION5" localSheetId="5">'[1]Matriz de comunicación'!$B$23</definedName>
    <definedName name="SELECCION5">'Matriz de comunicación'!$B$16</definedName>
    <definedName name="SELECCION6" localSheetId="5">'[1]Matriz de comunicación'!$B$24</definedName>
    <definedName name="SELECCION6">'Matriz de comunicación'!$B$17</definedName>
    <definedName name="SELECCION7" localSheetId="5">'[1]Matriz de comunicación'!$B$25</definedName>
    <definedName name="SELECCION7">'Matriz de comunicación'!$B$18</definedName>
    <definedName name="SELECCION8" localSheetId="5">'[1]Matriz de comunicación'!$B$26</definedName>
    <definedName name="SELECCION8">'Matriz de comunicación'!$B$19</definedName>
    <definedName name="SELECCION9" localSheetId="5">'[1]Matriz de comunicación'!$B$27</definedName>
    <definedName name="SELECCION9">'Matriz de comunicación'!$B$20</definedName>
    <definedName name="SELECION3">'Matriz de comunicación'!$B$14</definedName>
    <definedName name="TPARTICIPA" localSheetId="5">[1]Plan!$R$4:$S$202</definedName>
    <definedName name="TPARTICIPA">Plan!$R$4:$S$207</definedName>
    <definedName name="Z_77A8CDE7_0C4B_4AA6_8C4B_62BFC960DC0D_.wvu.Cols" localSheetId="3" hidden="1">'Matriz de comunicación'!$G:$AK</definedName>
    <definedName name="Z_77A8CDE7_0C4B_4AA6_8C4B_62BFC960DC0D_.wvu.PrintArea" localSheetId="1" hidden="1">CIs!$A$1:$J$250</definedName>
    <definedName name="Z_77A8CDE7_0C4B_4AA6_8C4B_62BFC960DC0D_.wvu.PrintArea" localSheetId="5" hidden="1">'Guia de llenado'!$B$11:$C$86</definedName>
    <definedName name="Z_77A8CDE7_0C4B_4AA6_8C4B_62BFC960DC0D_.wvu.PrintArea" localSheetId="0" hidden="1">IGC!$B$2:$E$33</definedName>
    <definedName name="Z_77A8CDE7_0C4B_4AA6_8C4B_62BFC960DC0D_.wvu.PrintArea" localSheetId="3" hidden="1">'Matriz de comunicación'!$B$1:$E$37</definedName>
    <definedName name="Z_77A8CDE7_0C4B_4AA6_8C4B_62BFC960DC0D_.wvu.PrintArea" localSheetId="2" hidden="1">Plan!$A$1:$M$210</definedName>
    <definedName name="Z_77A8CDE7_0C4B_4AA6_8C4B_62BFC960DC0D_.wvu.PrintTitles" localSheetId="0" hidden="1">IGC!$2:$4</definedName>
    <definedName name="Z_77A8CDE7_0C4B_4AA6_8C4B_62BFC960DC0D_.wvu.PrintTitles" localSheetId="2" hidden="1">Plan!$2:$3</definedName>
  </definedNames>
  <calcPr calcId="162913"/>
  <customWorkbookViews>
    <customWorkbookView name="Jose Bernardino Gone Uribe - Vista personalizada" guid="{77A8CDE7-0C4B-4AA6-8C4B-62BFC960DC0D}" mergeInterval="0" personalView="1" maximized="1" xWindow="-8" yWindow="-8" windowWidth="1382" windowHeight="744" activeSheetId="4"/>
  </customWorkbookViews>
</workbook>
</file>

<file path=xl/calcChain.xml><?xml version="1.0" encoding="utf-8"?>
<calcChain xmlns="http://schemas.openxmlformats.org/spreadsheetml/2006/main">
  <c r="G66" i="3" l="1"/>
  <c r="G65" i="3"/>
  <c r="G64" i="3"/>
  <c r="G63" i="3"/>
  <c r="G62" i="3"/>
  <c r="G61" i="3"/>
  <c r="G60" i="3"/>
  <c r="G59" i="3"/>
  <c r="G58" i="3"/>
  <c r="G57" i="3"/>
  <c r="G56" i="3"/>
  <c r="G55" i="3"/>
  <c r="G54" i="3"/>
  <c r="G53" i="3"/>
  <c r="G52" i="3"/>
  <c r="G51" i="3"/>
  <c r="G50" i="3"/>
  <c r="G49" i="3"/>
  <c r="G48" i="3"/>
  <c r="G47" i="3"/>
  <c r="G46" i="3"/>
  <c r="G45" i="3"/>
  <c r="G44" i="3"/>
  <c r="G43" i="3"/>
  <c r="G42" i="3"/>
  <c r="G41" i="3"/>
  <c r="G40" i="3"/>
  <c r="G39" i="3"/>
  <c r="G38" i="3"/>
  <c r="G37" i="3"/>
  <c r="G36" i="3"/>
  <c r="G35" i="3"/>
  <c r="G34" i="3"/>
  <c r="G32" i="3"/>
  <c r="G31" i="3"/>
  <c r="G30" i="3"/>
  <c r="G29" i="3"/>
  <c r="G28" i="3"/>
  <c r="G27" i="3"/>
  <c r="G26" i="3"/>
  <c r="G25" i="3"/>
  <c r="G16" i="3"/>
  <c r="G13" i="3"/>
  <c r="G207" i="3"/>
  <c r="G206" i="3"/>
  <c r="G205" i="3"/>
  <c r="G204" i="3"/>
  <c r="G203" i="3"/>
  <c r="G202" i="3"/>
  <c r="G201" i="3"/>
  <c r="G200" i="3"/>
  <c r="G199" i="3"/>
  <c r="G198" i="3"/>
  <c r="G197" i="3"/>
  <c r="G196" i="3"/>
  <c r="G195" i="3"/>
  <c r="G194" i="3"/>
  <c r="G193" i="3"/>
  <c r="G192" i="3"/>
  <c r="G191" i="3"/>
  <c r="G190" i="3"/>
  <c r="G189" i="3"/>
  <c r="G188" i="3"/>
  <c r="G187" i="3"/>
  <c r="G186" i="3"/>
  <c r="G185" i="3"/>
  <c r="G184" i="3"/>
  <c r="G183" i="3"/>
  <c r="G182" i="3"/>
  <c r="G181" i="3"/>
  <c r="G180" i="3"/>
  <c r="G179" i="3"/>
  <c r="G178" i="3"/>
  <c r="G177" i="3"/>
  <c r="G176" i="3"/>
  <c r="G175" i="3"/>
  <c r="G174" i="3"/>
  <c r="G173" i="3"/>
  <c r="G172" i="3"/>
  <c r="G171" i="3"/>
  <c r="G170" i="3"/>
  <c r="G169" i="3"/>
  <c r="G168" i="3"/>
  <c r="G167" i="3"/>
  <c r="G166" i="3"/>
  <c r="G165" i="3"/>
  <c r="G164" i="3"/>
  <c r="G163" i="3"/>
  <c r="G162" i="3"/>
  <c r="G161" i="3"/>
  <c r="G160" i="3"/>
  <c r="G159" i="3"/>
  <c r="G158" i="3"/>
  <c r="G157" i="3"/>
  <c r="G156" i="3"/>
  <c r="G155" i="3"/>
  <c r="G154" i="3"/>
  <c r="G153" i="3"/>
  <c r="G152" i="3"/>
  <c r="G151" i="3"/>
  <c r="G150" i="3"/>
  <c r="G149" i="3"/>
  <c r="G148" i="3"/>
  <c r="G147" i="3"/>
  <c r="G146" i="3"/>
  <c r="G145" i="3"/>
  <c r="G144" i="3"/>
  <c r="G143" i="3"/>
  <c r="G142" i="3"/>
  <c r="G141" i="3"/>
  <c r="G140" i="3"/>
  <c r="G139" i="3"/>
  <c r="G138" i="3"/>
  <c r="G137" i="3"/>
  <c r="G136" i="3"/>
  <c r="G135" i="3"/>
  <c r="G134" i="3"/>
  <c r="G133" i="3"/>
  <c r="G132" i="3"/>
  <c r="G131" i="3"/>
  <c r="G130" i="3"/>
  <c r="G129" i="3"/>
  <c r="G128" i="3"/>
  <c r="G127" i="3"/>
  <c r="G126" i="3"/>
  <c r="G125" i="3"/>
  <c r="G124" i="3"/>
  <c r="G123" i="3"/>
  <c r="G122" i="3"/>
  <c r="G121" i="3"/>
  <c r="G120" i="3"/>
  <c r="G119" i="3"/>
  <c r="G118" i="3"/>
  <c r="G117" i="3"/>
  <c r="G116" i="3"/>
  <c r="G115" i="3"/>
  <c r="G114" i="3"/>
  <c r="G113" i="3"/>
  <c r="G112" i="3"/>
  <c r="G111" i="3"/>
  <c r="G110" i="3"/>
  <c r="G109" i="3"/>
  <c r="G108" i="3"/>
  <c r="G107" i="3"/>
  <c r="G106" i="3"/>
  <c r="G105" i="3"/>
  <c r="G104" i="3"/>
  <c r="G103" i="3"/>
  <c r="G102" i="3"/>
  <c r="G101" i="3"/>
  <c r="G100" i="3"/>
  <c r="G99" i="3"/>
  <c r="G98" i="3"/>
  <c r="G97" i="3"/>
  <c r="G96" i="3"/>
  <c r="G95" i="3"/>
  <c r="G94" i="3"/>
  <c r="G93" i="3"/>
  <c r="G92" i="3"/>
  <c r="G91" i="3"/>
  <c r="G90" i="3"/>
  <c r="G89" i="3"/>
  <c r="G88" i="3"/>
  <c r="G87" i="3"/>
  <c r="G86" i="3"/>
  <c r="G85" i="3"/>
  <c r="G84" i="3"/>
  <c r="G83" i="3"/>
  <c r="G82" i="3"/>
  <c r="G81" i="3"/>
  <c r="G80" i="3"/>
  <c r="G79" i="3"/>
  <c r="G78" i="3"/>
  <c r="G77" i="3"/>
  <c r="G76" i="3"/>
  <c r="G75" i="3"/>
  <c r="G74" i="3"/>
  <c r="G73" i="3"/>
  <c r="G72" i="3"/>
  <c r="G71" i="3"/>
  <c r="G70" i="3"/>
  <c r="G69" i="3"/>
  <c r="G68" i="3"/>
  <c r="G67" i="3"/>
  <c r="G15" i="3"/>
  <c r="G14" i="3"/>
  <c r="G12" i="3"/>
  <c r="G11" i="3"/>
  <c r="G10" i="3"/>
  <c r="G9" i="3"/>
  <c r="G7" i="3"/>
  <c r="G6" i="3"/>
  <c r="D11" i="1" l="1"/>
  <c r="C27" i="1" l="1"/>
  <c r="R5" i="3" l="1"/>
  <c r="S5" i="3" s="1"/>
  <c r="R6" i="3"/>
  <c r="R7" i="3"/>
  <c r="S7" i="3" s="1"/>
  <c r="R9" i="3"/>
  <c r="S9" i="3" s="1"/>
  <c r="R10" i="3"/>
  <c r="S10" i="3" s="1"/>
  <c r="R11" i="3"/>
  <c r="S11" i="3" s="1"/>
  <c r="R12" i="3"/>
  <c r="S12" i="3" s="1"/>
  <c r="R13" i="3"/>
  <c r="S13" i="3" s="1"/>
  <c r="R14" i="3"/>
  <c r="S14" i="3" s="1"/>
  <c r="R15" i="3"/>
  <c r="S15" i="3" s="1"/>
  <c r="R16" i="3"/>
  <c r="S16" i="3" s="1"/>
  <c r="R17" i="3"/>
  <c r="S17" i="3" s="1"/>
  <c r="R18" i="3"/>
  <c r="S18" i="3" s="1"/>
  <c r="R20" i="3"/>
  <c r="S20" i="3" s="1"/>
  <c r="R21" i="3"/>
  <c r="S21" i="3" s="1"/>
  <c r="R25" i="3"/>
  <c r="S25" i="3" s="1"/>
  <c r="R26" i="3"/>
  <c r="S26" i="3" s="1"/>
  <c r="R27" i="3"/>
  <c r="S27" i="3" s="1"/>
  <c r="R28" i="3"/>
  <c r="S28" i="3" s="1"/>
  <c r="R29" i="3"/>
  <c r="S29" i="3" s="1"/>
  <c r="R30" i="3"/>
  <c r="S30" i="3" s="1"/>
  <c r="R31" i="3"/>
  <c r="S31" i="3" s="1"/>
  <c r="R32" i="3"/>
  <c r="S32" i="3" s="1"/>
  <c r="R34" i="3"/>
  <c r="S34" i="3" s="1"/>
  <c r="R35" i="3"/>
  <c r="S35" i="3" s="1"/>
  <c r="R36" i="3"/>
  <c r="S36" i="3" s="1"/>
  <c r="R37" i="3"/>
  <c r="S37" i="3" s="1"/>
  <c r="R38" i="3"/>
  <c r="S38" i="3" s="1"/>
  <c r="R39" i="3"/>
  <c r="S39" i="3" s="1"/>
  <c r="R40" i="3"/>
  <c r="S40" i="3" s="1"/>
  <c r="R41" i="3"/>
  <c r="S41" i="3" s="1"/>
  <c r="R42" i="3"/>
  <c r="S42" i="3" s="1"/>
  <c r="R43" i="3"/>
  <c r="S43" i="3" s="1"/>
  <c r="R44" i="3"/>
  <c r="S44" i="3" s="1"/>
  <c r="R45" i="3"/>
  <c r="S45" i="3" s="1"/>
  <c r="R46" i="3"/>
  <c r="S46" i="3" s="1"/>
  <c r="R47" i="3"/>
  <c r="S47" i="3" s="1"/>
  <c r="R48" i="3"/>
  <c r="S48" i="3" s="1"/>
  <c r="R49" i="3"/>
  <c r="S49" i="3" s="1"/>
  <c r="R50" i="3"/>
  <c r="S50" i="3" s="1"/>
  <c r="R51" i="3"/>
  <c r="S51" i="3" s="1"/>
  <c r="R52" i="3"/>
  <c r="S52" i="3" s="1"/>
  <c r="R53" i="3"/>
  <c r="S53" i="3" s="1"/>
  <c r="R54" i="3"/>
  <c r="S54" i="3" s="1"/>
  <c r="R55" i="3"/>
  <c r="S55" i="3" s="1"/>
  <c r="R56" i="3"/>
  <c r="S56" i="3" s="1"/>
  <c r="R57" i="3"/>
  <c r="S57" i="3" s="1"/>
  <c r="R58" i="3"/>
  <c r="S58" i="3" s="1"/>
  <c r="R59" i="3"/>
  <c r="S59" i="3" s="1"/>
  <c r="R60" i="3"/>
  <c r="S60" i="3" s="1"/>
  <c r="R61" i="3"/>
  <c r="S61" i="3" s="1"/>
  <c r="R62" i="3"/>
  <c r="S62" i="3" s="1"/>
  <c r="R63" i="3"/>
  <c r="S63" i="3" s="1"/>
  <c r="R64" i="3"/>
  <c r="S64" i="3" s="1"/>
  <c r="R65" i="3"/>
  <c r="S65" i="3" s="1"/>
  <c r="R66" i="3"/>
  <c r="S66" i="3" s="1"/>
  <c r="R67" i="3"/>
  <c r="S67" i="3" s="1"/>
  <c r="R68" i="3"/>
  <c r="S68" i="3" s="1"/>
  <c r="R69" i="3"/>
  <c r="S69" i="3" s="1"/>
  <c r="R70" i="3"/>
  <c r="S70" i="3" s="1"/>
  <c r="R71" i="3"/>
  <c r="S71" i="3" s="1"/>
  <c r="R72" i="3"/>
  <c r="S72" i="3" s="1"/>
  <c r="R73" i="3"/>
  <c r="S73" i="3" s="1"/>
  <c r="R74" i="3"/>
  <c r="S74" i="3" s="1"/>
  <c r="R75" i="3"/>
  <c r="S75" i="3" s="1"/>
  <c r="R76" i="3"/>
  <c r="S76" i="3" s="1"/>
  <c r="R77" i="3"/>
  <c r="S77" i="3" s="1"/>
  <c r="R78" i="3"/>
  <c r="S78" i="3" s="1"/>
  <c r="R79" i="3"/>
  <c r="S79" i="3" s="1"/>
  <c r="R80" i="3"/>
  <c r="S80" i="3" s="1"/>
  <c r="R81" i="3"/>
  <c r="S81" i="3" s="1"/>
  <c r="R82" i="3"/>
  <c r="S82" i="3" s="1"/>
  <c r="R83" i="3"/>
  <c r="S83" i="3" s="1"/>
  <c r="R84" i="3"/>
  <c r="S84" i="3" s="1"/>
  <c r="R85" i="3"/>
  <c r="S85" i="3" s="1"/>
  <c r="R86" i="3"/>
  <c r="S86" i="3" s="1"/>
  <c r="R87" i="3"/>
  <c r="S87" i="3" s="1"/>
  <c r="R88" i="3"/>
  <c r="S88" i="3" s="1"/>
  <c r="R89" i="3"/>
  <c r="S89" i="3" s="1"/>
  <c r="R90" i="3"/>
  <c r="S90" i="3" s="1"/>
  <c r="R91" i="3"/>
  <c r="S91" i="3" s="1"/>
  <c r="R92" i="3"/>
  <c r="S92" i="3" s="1"/>
  <c r="R93" i="3"/>
  <c r="S93" i="3" s="1"/>
  <c r="R94" i="3"/>
  <c r="S94" i="3" s="1"/>
  <c r="R95" i="3"/>
  <c r="S95" i="3" s="1"/>
  <c r="R96" i="3"/>
  <c r="S96" i="3" s="1"/>
  <c r="R97" i="3"/>
  <c r="S97" i="3" s="1"/>
  <c r="R98" i="3"/>
  <c r="S98" i="3" s="1"/>
  <c r="R99" i="3"/>
  <c r="S99" i="3" s="1"/>
  <c r="R100" i="3"/>
  <c r="S100" i="3" s="1"/>
  <c r="R101" i="3"/>
  <c r="S101" i="3" s="1"/>
  <c r="R102" i="3"/>
  <c r="S102" i="3" s="1"/>
  <c r="R103" i="3"/>
  <c r="S103" i="3" s="1"/>
  <c r="R104" i="3"/>
  <c r="S104" i="3" s="1"/>
  <c r="R105" i="3"/>
  <c r="S105" i="3" s="1"/>
  <c r="R106" i="3"/>
  <c r="S106" i="3" s="1"/>
  <c r="R107" i="3"/>
  <c r="S107" i="3" s="1"/>
  <c r="R108" i="3"/>
  <c r="S108" i="3" s="1"/>
  <c r="R109" i="3"/>
  <c r="S109" i="3" s="1"/>
  <c r="R110" i="3"/>
  <c r="S110" i="3" s="1"/>
  <c r="R111" i="3"/>
  <c r="S111" i="3" s="1"/>
  <c r="R112" i="3"/>
  <c r="S112" i="3" s="1"/>
  <c r="R113" i="3"/>
  <c r="S113" i="3" s="1"/>
  <c r="R114" i="3"/>
  <c r="S114" i="3" s="1"/>
  <c r="R115" i="3"/>
  <c r="S115" i="3" s="1"/>
  <c r="R116" i="3"/>
  <c r="S116" i="3" s="1"/>
  <c r="R117" i="3"/>
  <c r="S117" i="3" s="1"/>
  <c r="R118" i="3"/>
  <c r="S118" i="3" s="1"/>
  <c r="R119" i="3"/>
  <c r="S119" i="3" s="1"/>
  <c r="R120" i="3"/>
  <c r="S120" i="3" s="1"/>
  <c r="R121" i="3"/>
  <c r="S121" i="3" s="1"/>
  <c r="R122" i="3"/>
  <c r="S122" i="3" s="1"/>
  <c r="R123" i="3"/>
  <c r="S123" i="3" s="1"/>
  <c r="R124" i="3"/>
  <c r="S124" i="3" s="1"/>
  <c r="R125" i="3"/>
  <c r="S125" i="3" s="1"/>
  <c r="R126" i="3"/>
  <c r="S126" i="3" s="1"/>
  <c r="R127" i="3"/>
  <c r="S127" i="3" s="1"/>
  <c r="R128" i="3"/>
  <c r="S128" i="3" s="1"/>
  <c r="R129" i="3"/>
  <c r="S129" i="3" s="1"/>
  <c r="R130" i="3"/>
  <c r="S130" i="3" s="1"/>
  <c r="R131" i="3"/>
  <c r="S131" i="3" s="1"/>
  <c r="R132" i="3"/>
  <c r="S132" i="3" s="1"/>
  <c r="R133" i="3"/>
  <c r="S133" i="3" s="1"/>
  <c r="R134" i="3"/>
  <c r="S134" i="3" s="1"/>
  <c r="R135" i="3"/>
  <c r="S135" i="3" s="1"/>
  <c r="R136" i="3"/>
  <c r="S136" i="3" s="1"/>
  <c r="R137" i="3"/>
  <c r="S137" i="3" s="1"/>
  <c r="R138" i="3"/>
  <c r="S138" i="3" s="1"/>
  <c r="R139" i="3"/>
  <c r="S139" i="3" s="1"/>
  <c r="R140" i="3"/>
  <c r="S140" i="3" s="1"/>
  <c r="R141" i="3"/>
  <c r="S141" i="3" s="1"/>
  <c r="R142" i="3"/>
  <c r="S142" i="3" s="1"/>
  <c r="R143" i="3"/>
  <c r="S143" i="3" s="1"/>
  <c r="R144" i="3"/>
  <c r="S144" i="3" s="1"/>
  <c r="R145" i="3"/>
  <c r="S145" i="3" s="1"/>
  <c r="R146" i="3"/>
  <c r="S146" i="3" s="1"/>
  <c r="R147" i="3"/>
  <c r="S147" i="3" s="1"/>
  <c r="R148" i="3"/>
  <c r="S148" i="3" s="1"/>
  <c r="R149" i="3"/>
  <c r="S149" i="3" s="1"/>
  <c r="R150" i="3"/>
  <c r="S150" i="3" s="1"/>
  <c r="R151" i="3"/>
  <c r="S151" i="3" s="1"/>
  <c r="R152" i="3"/>
  <c r="S152" i="3" s="1"/>
  <c r="R153" i="3"/>
  <c r="S153" i="3" s="1"/>
  <c r="R154" i="3"/>
  <c r="S154" i="3" s="1"/>
  <c r="R155" i="3"/>
  <c r="S155" i="3" s="1"/>
  <c r="R156" i="3"/>
  <c r="S156" i="3" s="1"/>
  <c r="R157" i="3"/>
  <c r="S157" i="3" s="1"/>
  <c r="R158" i="3"/>
  <c r="S158" i="3" s="1"/>
  <c r="R159" i="3"/>
  <c r="S159" i="3" s="1"/>
  <c r="R160" i="3"/>
  <c r="S160" i="3" s="1"/>
  <c r="R161" i="3"/>
  <c r="S161" i="3" s="1"/>
  <c r="R162" i="3"/>
  <c r="S162" i="3" s="1"/>
  <c r="R163" i="3"/>
  <c r="S163" i="3" s="1"/>
  <c r="R164" i="3"/>
  <c r="S164" i="3" s="1"/>
  <c r="R165" i="3"/>
  <c r="S165" i="3" s="1"/>
  <c r="R166" i="3"/>
  <c r="S166" i="3" s="1"/>
  <c r="R167" i="3"/>
  <c r="S167" i="3" s="1"/>
  <c r="R168" i="3"/>
  <c r="S168" i="3" s="1"/>
  <c r="R169" i="3"/>
  <c r="S169" i="3" s="1"/>
  <c r="R170" i="3"/>
  <c r="S170" i="3" s="1"/>
  <c r="R171" i="3"/>
  <c r="S171" i="3" s="1"/>
  <c r="R172" i="3"/>
  <c r="S172" i="3" s="1"/>
  <c r="R173" i="3"/>
  <c r="S173" i="3" s="1"/>
  <c r="R174" i="3"/>
  <c r="S174" i="3" s="1"/>
  <c r="R175" i="3"/>
  <c r="S175" i="3" s="1"/>
  <c r="R176" i="3"/>
  <c r="S176" i="3" s="1"/>
  <c r="R177" i="3"/>
  <c r="S177" i="3" s="1"/>
  <c r="R178" i="3"/>
  <c r="S178" i="3" s="1"/>
  <c r="R179" i="3"/>
  <c r="S179" i="3" s="1"/>
  <c r="R180" i="3"/>
  <c r="S180" i="3" s="1"/>
  <c r="R181" i="3"/>
  <c r="S181" i="3" s="1"/>
  <c r="R182" i="3"/>
  <c r="S182" i="3" s="1"/>
  <c r="R183" i="3"/>
  <c r="S183" i="3" s="1"/>
  <c r="R184" i="3"/>
  <c r="S184" i="3" s="1"/>
  <c r="R185" i="3"/>
  <c r="S185" i="3" s="1"/>
  <c r="R186" i="3"/>
  <c r="S186" i="3" s="1"/>
  <c r="R187" i="3"/>
  <c r="S187" i="3" s="1"/>
  <c r="R188" i="3"/>
  <c r="S188" i="3" s="1"/>
  <c r="R189" i="3"/>
  <c r="S189" i="3" s="1"/>
  <c r="R190" i="3"/>
  <c r="S190" i="3" s="1"/>
  <c r="R191" i="3"/>
  <c r="S191" i="3" s="1"/>
  <c r="R192" i="3"/>
  <c r="S192" i="3" s="1"/>
  <c r="R193" i="3"/>
  <c r="S193" i="3" s="1"/>
  <c r="R194" i="3"/>
  <c r="S194" i="3" s="1"/>
  <c r="R195" i="3"/>
  <c r="S195" i="3" s="1"/>
  <c r="R196" i="3"/>
  <c r="S196" i="3" s="1"/>
  <c r="R197" i="3"/>
  <c r="S197" i="3" s="1"/>
  <c r="R198" i="3"/>
  <c r="S198" i="3" s="1"/>
  <c r="R199" i="3"/>
  <c r="S199" i="3" s="1"/>
  <c r="R200" i="3"/>
  <c r="S200" i="3" s="1"/>
  <c r="R201" i="3"/>
  <c r="S201" i="3" s="1"/>
  <c r="R202" i="3"/>
  <c r="S202" i="3" s="1"/>
  <c r="R203" i="3"/>
  <c r="S203" i="3" s="1"/>
  <c r="R204" i="3"/>
  <c r="S204" i="3" s="1"/>
  <c r="R205" i="3"/>
  <c r="S205" i="3" s="1"/>
  <c r="R206" i="3"/>
  <c r="S206" i="3" s="1"/>
  <c r="R207" i="3"/>
  <c r="S207" i="3" s="1"/>
  <c r="Q44" i="3"/>
  <c r="Q43" i="3"/>
  <c r="Q42" i="3"/>
  <c r="Q41" i="3"/>
  <c r="Q40" i="3"/>
  <c r="Q39" i="3"/>
  <c r="Q38" i="3"/>
  <c r="Q37" i="3"/>
  <c r="Q36" i="3"/>
  <c r="Q35" i="3"/>
  <c r="Q34" i="3"/>
  <c r="Q32" i="3"/>
  <c r="Q31" i="3"/>
  <c r="Q30" i="3"/>
  <c r="Q29" i="3"/>
  <c r="Q28" i="3"/>
  <c r="Q27" i="3"/>
  <c r="Q26" i="3"/>
  <c r="Q25" i="3"/>
  <c r="Q21" i="3"/>
  <c r="Q20" i="3"/>
  <c r="Q18" i="3"/>
  <c r="Q17" i="3"/>
  <c r="Q16" i="3"/>
  <c r="Q15" i="3"/>
  <c r="Q14" i="3"/>
  <c r="Q13" i="3"/>
  <c r="Q12" i="3"/>
  <c r="Q11" i="3"/>
  <c r="Q10" i="3"/>
  <c r="Q9" i="3"/>
  <c r="Q7" i="3"/>
  <c r="Q6" i="3"/>
  <c r="Q5" i="3"/>
  <c r="Q4" i="3"/>
  <c r="R4" i="3"/>
  <c r="S4" i="3" s="1"/>
  <c r="Q45" i="3"/>
  <c r="Q46" i="3"/>
  <c r="Q47" i="3"/>
  <c r="Q48" i="3"/>
  <c r="Q49" i="3"/>
  <c r="Q50" i="3"/>
  <c r="Q51" i="3"/>
  <c r="Q52" i="3"/>
  <c r="Q53" i="3"/>
  <c r="Q54" i="3"/>
  <c r="Q55" i="3"/>
  <c r="Q56" i="3"/>
  <c r="Q57" i="3"/>
  <c r="Q58" i="3"/>
  <c r="Q59" i="3"/>
  <c r="T6" i="3" l="1"/>
  <c r="T39" i="3"/>
  <c r="T30" i="3"/>
  <c r="T26" i="3"/>
  <c r="T18" i="3"/>
  <c r="T14" i="3"/>
  <c r="T10" i="3"/>
  <c r="T5" i="3"/>
  <c r="S6" i="3"/>
  <c r="T35" i="3" s="1"/>
  <c r="T58" i="3"/>
  <c r="T46" i="3"/>
  <c r="T38" i="3"/>
  <c r="T34" i="3"/>
  <c r="T29" i="3"/>
  <c r="T25" i="3"/>
  <c r="T17" i="3"/>
  <c r="T13" i="3"/>
  <c r="T9" i="3"/>
  <c r="T57" i="3"/>
  <c r="T53" i="3"/>
  <c r="T49" i="3"/>
  <c r="T41" i="3"/>
  <c r="T37" i="3"/>
  <c r="T32" i="3"/>
  <c r="T28" i="3"/>
  <c r="T21" i="3"/>
  <c r="T16" i="3"/>
  <c r="T12" i="3"/>
  <c r="T7" i="3"/>
  <c r="T4" i="3"/>
  <c r="T56" i="3"/>
  <c r="T52" i="3"/>
  <c r="T44" i="3"/>
  <c r="T40" i="3"/>
  <c r="T36" i="3"/>
  <c r="T31" i="3"/>
  <c r="T27" i="3"/>
  <c r="T20" i="3"/>
  <c r="T15" i="3"/>
  <c r="T11" i="3"/>
  <c r="T59" i="3" l="1"/>
  <c r="T48" i="3"/>
  <c r="T45" i="3"/>
  <c r="T55" i="3"/>
  <c r="T42" i="3"/>
  <c r="T50" i="3"/>
  <c r="T47" i="3"/>
  <c r="T54" i="3"/>
  <c r="T51" i="3"/>
  <c r="T43" i="3"/>
  <c r="U4" i="3" l="1"/>
  <c r="D18" i="1"/>
  <c r="AD2" i="7" l="1"/>
  <c r="AC2" i="7"/>
  <c r="A2" i="7" l="1"/>
  <c r="AV2" i="7"/>
  <c r="AP2" i="7"/>
  <c r="AI2" i="7"/>
  <c r="V2" i="7"/>
  <c r="T2" i="7"/>
  <c r="R2" i="7"/>
  <c r="Q2" i="7"/>
  <c r="P2" i="7"/>
  <c r="N2" i="7"/>
  <c r="K2" i="7"/>
  <c r="E2" i="7"/>
  <c r="C24" i="1" l="1"/>
  <c r="D24" i="1" s="1"/>
  <c r="F2" i="2" l="1"/>
  <c r="G21" i="4"/>
  <c r="H21" i="4" s="1"/>
  <c r="I21" i="4" s="1"/>
  <c r="G20" i="4"/>
  <c r="H20" i="4" s="1"/>
  <c r="I20" i="4" s="1"/>
  <c r="G19" i="4"/>
  <c r="H19" i="4" s="1"/>
  <c r="I19" i="4" s="1"/>
  <c r="G18" i="4"/>
  <c r="H18" i="4" s="1"/>
  <c r="I18" i="4" s="1"/>
  <c r="G17" i="4"/>
  <c r="H17" i="4" s="1"/>
  <c r="I17" i="4" s="1"/>
  <c r="G16" i="4"/>
  <c r="H16" i="4" s="1"/>
  <c r="I16" i="4" s="1"/>
  <c r="G15" i="4"/>
  <c r="H15" i="4" s="1"/>
  <c r="I15" i="4" s="1"/>
  <c r="G14" i="4"/>
  <c r="H14" i="4" s="1"/>
  <c r="I14" i="4" s="1"/>
  <c r="G13" i="4"/>
  <c r="H13" i="4" s="1"/>
  <c r="I13" i="4" s="1"/>
  <c r="G12" i="4"/>
  <c r="H12" i="4" s="1"/>
  <c r="E4" i="3" l="1"/>
  <c r="C25" i="1" s="1"/>
  <c r="U2" i="7" l="1"/>
  <c r="C2" i="7"/>
  <c r="C3" i="2"/>
  <c r="AI33" i="4" l="1"/>
  <c r="AH33" i="4"/>
  <c r="AG33" i="4"/>
  <c r="AF33" i="4"/>
  <c r="AE33" i="4"/>
  <c r="AD33" i="4"/>
  <c r="AC33" i="4"/>
  <c r="AB33" i="4"/>
  <c r="AA33" i="4"/>
  <c r="Z33" i="4"/>
  <c r="Y33" i="4"/>
  <c r="X33" i="4"/>
  <c r="W33" i="4"/>
  <c r="V33" i="4"/>
  <c r="U33" i="4"/>
  <c r="AI32" i="4"/>
  <c r="AH32" i="4"/>
  <c r="AG32" i="4"/>
  <c r="AF32" i="4"/>
  <c r="AE32" i="4"/>
  <c r="AD32" i="4"/>
  <c r="AC32" i="4"/>
  <c r="AB32" i="4"/>
  <c r="AA32" i="4"/>
  <c r="Z32" i="4"/>
  <c r="Y32" i="4"/>
  <c r="X32" i="4"/>
  <c r="W32" i="4"/>
  <c r="V32" i="4"/>
  <c r="U32" i="4"/>
  <c r="AI31" i="4"/>
  <c r="AH31" i="4"/>
  <c r="AG31" i="4"/>
  <c r="AF31" i="4"/>
  <c r="AE31" i="4"/>
  <c r="AD31" i="4"/>
  <c r="AC31" i="4"/>
  <c r="AB31" i="4"/>
  <c r="AA31" i="4"/>
  <c r="Z31" i="4"/>
  <c r="Y31" i="4"/>
  <c r="X31" i="4"/>
  <c r="W31" i="4"/>
  <c r="V31" i="4"/>
  <c r="U31" i="4"/>
  <c r="AI30" i="4"/>
  <c r="AH30" i="4"/>
  <c r="AG30" i="4"/>
  <c r="AF30" i="4"/>
  <c r="AE30" i="4"/>
  <c r="AD30" i="4"/>
  <c r="AC30" i="4"/>
  <c r="AB30" i="4"/>
  <c r="AA30" i="4"/>
  <c r="Z30" i="4"/>
  <c r="Y30" i="4"/>
  <c r="X30" i="4"/>
  <c r="W30" i="4"/>
  <c r="V30" i="4"/>
  <c r="U30" i="4"/>
  <c r="AI29" i="4"/>
  <c r="AH29" i="4"/>
  <c r="AG29" i="4"/>
  <c r="AF29" i="4"/>
  <c r="AE29" i="4"/>
  <c r="AD29" i="4"/>
  <c r="AC29" i="4"/>
  <c r="AB29" i="4"/>
  <c r="AA29" i="4"/>
  <c r="Z29" i="4"/>
  <c r="Y29" i="4"/>
  <c r="X29" i="4"/>
  <c r="W29" i="4"/>
  <c r="V29" i="4"/>
  <c r="U29" i="4"/>
  <c r="AI28" i="4"/>
  <c r="AH28" i="4"/>
  <c r="AG28" i="4"/>
  <c r="AF28" i="4"/>
  <c r="AE28" i="4"/>
  <c r="AD28" i="4"/>
  <c r="AC28" i="4"/>
  <c r="AB28" i="4"/>
  <c r="AA28" i="4"/>
  <c r="Z28" i="4"/>
  <c r="Y28" i="4"/>
  <c r="X28" i="4"/>
  <c r="W28" i="4"/>
  <c r="V28" i="4"/>
  <c r="U28" i="4"/>
  <c r="AI27" i="4"/>
  <c r="AH27" i="4"/>
  <c r="AG27" i="4"/>
  <c r="AF27" i="4"/>
  <c r="AE27" i="4"/>
  <c r="AD27" i="4"/>
  <c r="AC27" i="4"/>
  <c r="AB27" i="4"/>
  <c r="AA27" i="4"/>
  <c r="Z27" i="4"/>
  <c r="Y27" i="4"/>
  <c r="X27" i="4"/>
  <c r="W27" i="4"/>
  <c r="V27" i="4"/>
  <c r="U27" i="4"/>
  <c r="AI26" i="4"/>
  <c r="AH26" i="4"/>
  <c r="AG26" i="4"/>
  <c r="AF26" i="4"/>
  <c r="AE26" i="4"/>
  <c r="AD26" i="4"/>
  <c r="AC26" i="4"/>
  <c r="AB26" i="4"/>
  <c r="AA26" i="4"/>
  <c r="Z26" i="4"/>
  <c r="Y26" i="4"/>
  <c r="X26" i="4"/>
  <c r="W26" i="4"/>
  <c r="V26" i="4"/>
  <c r="U26" i="4"/>
  <c r="AI25" i="4"/>
  <c r="AH25" i="4"/>
  <c r="AG25" i="4"/>
  <c r="AF25" i="4"/>
  <c r="AE25" i="4"/>
  <c r="AD25" i="4"/>
  <c r="AC25" i="4"/>
  <c r="AB25" i="4"/>
  <c r="AA25" i="4"/>
  <c r="Z25" i="4"/>
  <c r="Y25" i="4"/>
  <c r="X25" i="4"/>
  <c r="W25" i="4"/>
  <c r="V25" i="4"/>
  <c r="U25" i="4"/>
  <c r="AI24" i="4"/>
  <c r="AH24" i="4"/>
  <c r="AG24" i="4"/>
  <c r="AF24" i="4"/>
  <c r="AE24" i="4"/>
  <c r="AD24" i="4"/>
  <c r="AC24" i="4"/>
  <c r="AB24" i="4"/>
  <c r="AA24" i="4"/>
  <c r="Z24" i="4"/>
  <c r="Y24" i="4"/>
  <c r="X24" i="4"/>
  <c r="W24" i="4"/>
  <c r="V24" i="4"/>
  <c r="U24" i="4"/>
  <c r="AI23" i="4"/>
  <c r="AH23" i="4"/>
  <c r="AG23" i="4"/>
  <c r="AF23" i="4"/>
  <c r="AE23" i="4"/>
  <c r="AD23" i="4"/>
  <c r="AC23" i="4"/>
  <c r="AB23" i="4"/>
  <c r="AA23" i="4"/>
  <c r="Z23" i="4"/>
  <c r="Y23" i="4"/>
  <c r="X23" i="4"/>
  <c r="W23" i="4"/>
  <c r="V23" i="4"/>
  <c r="U23" i="4"/>
  <c r="AI22" i="4"/>
  <c r="AH22" i="4"/>
  <c r="AG22" i="4"/>
  <c r="AF22" i="4"/>
  <c r="AE22" i="4"/>
  <c r="AD22" i="4"/>
  <c r="AC22" i="4"/>
  <c r="AB22" i="4"/>
  <c r="AA22" i="4"/>
  <c r="Z22" i="4"/>
  <c r="Y22" i="4"/>
  <c r="X22" i="4"/>
  <c r="W22" i="4"/>
  <c r="V22" i="4"/>
  <c r="U22" i="4"/>
  <c r="AI21" i="4"/>
  <c r="AH21" i="4"/>
  <c r="AG21" i="4"/>
  <c r="AF21" i="4"/>
  <c r="AE21" i="4"/>
  <c r="AD21" i="4"/>
  <c r="AC21" i="4"/>
  <c r="AB21" i="4"/>
  <c r="AA21" i="4"/>
  <c r="Z21" i="4"/>
  <c r="Y21" i="4"/>
  <c r="X21" i="4"/>
  <c r="W21" i="4"/>
  <c r="V21" i="4"/>
  <c r="U21" i="4"/>
  <c r="AI20" i="4"/>
  <c r="AH20" i="4"/>
  <c r="AG20" i="4"/>
  <c r="AF20" i="4"/>
  <c r="AE20" i="4"/>
  <c r="AD20" i="4"/>
  <c r="AC20" i="4"/>
  <c r="AB20" i="4"/>
  <c r="AA20" i="4"/>
  <c r="Z20" i="4"/>
  <c r="Y20" i="4"/>
  <c r="X20" i="4"/>
  <c r="W20" i="4"/>
  <c r="V20" i="4"/>
  <c r="U20" i="4"/>
  <c r="AI19" i="4"/>
  <c r="AH19" i="4"/>
  <c r="AG19" i="4"/>
  <c r="AF19" i="4"/>
  <c r="AE19" i="4"/>
  <c r="AD19" i="4"/>
  <c r="AC19" i="4"/>
  <c r="AB19" i="4"/>
  <c r="AA19" i="4"/>
  <c r="Z19" i="4"/>
  <c r="Y19" i="4"/>
  <c r="X19" i="4"/>
  <c r="W19" i="4"/>
  <c r="V19" i="4"/>
  <c r="U19" i="4"/>
  <c r="AI18" i="4"/>
  <c r="AH18" i="4"/>
  <c r="AG18" i="4"/>
  <c r="AF18" i="4"/>
  <c r="AE18" i="4"/>
  <c r="AD18" i="4"/>
  <c r="AC18" i="4"/>
  <c r="AB18" i="4"/>
  <c r="AA18" i="4"/>
  <c r="Z18" i="4"/>
  <c r="Y18" i="4"/>
  <c r="X18" i="4"/>
  <c r="W18" i="4"/>
  <c r="V18" i="4"/>
  <c r="U18" i="4"/>
  <c r="AI17" i="4"/>
  <c r="AH17" i="4"/>
  <c r="AG17" i="4"/>
  <c r="AF17" i="4"/>
  <c r="AE17" i="4"/>
  <c r="AD17" i="4"/>
  <c r="AC17" i="4"/>
  <c r="AB17" i="4"/>
  <c r="AA17" i="4"/>
  <c r="Z17" i="4"/>
  <c r="Y17" i="4"/>
  <c r="X17" i="4"/>
  <c r="W17" i="4"/>
  <c r="V17" i="4"/>
  <c r="U17" i="4"/>
  <c r="AI16" i="4"/>
  <c r="AH16" i="4"/>
  <c r="AG16" i="4"/>
  <c r="AF16" i="4"/>
  <c r="AE16" i="4"/>
  <c r="AD16" i="4"/>
  <c r="AC16" i="4"/>
  <c r="AB16" i="4"/>
  <c r="AA16" i="4"/>
  <c r="Z16" i="4"/>
  <c r="Y16" i="4"/>
  <c r="X16" i="4"/>
  <c r="W16" i="4"/>
  <c r="V16" i="4"/>
  <c r="U16" i="4"/>
  <c r="AI15" i="4"/>
  <c r="AH15" i="4"/>
  <c r="AG15" i="4"/>
  <c r="AF15" i="4"/>
  <c r="AE15" i="4"/>
  <c r="AD15" i="4"/>
  <c r="AC15" i="4"/>
  <c r="AB15" i="4"/>
  <c r="AA15" i="4"/>
  <c r="Z15" i="4"/>
  <c r="Y15" i="4"/>
  <c r="X15" i="4"/>
  <c r="W15" i="4"/>
  <c r="V15" i="4"/>
  <c r="U15" i="4"/>
  <c r="AI14" i="4"/>
  <c r="AH14" i="4"/>
  <c r="AG14" i="4"/>
  <c r="AF14" i="4"/>
  <c r="AE14" i="4"/>
  <c r="AD14" i="4"/>
  <c r="AC14" i="4"/>
  <c r="AB14" i="4"/>
  <c r="AA14" i="4"/>
  <c r="Z14" i="4"/>
  <c r="Y14" i="4"/>
  <c r="X14" i="4"/>
  <c r="W14" i="4"/>
  <c r="V14" i="4"/>
  <c r="U14" i="4"/>
  <c r="AI13" i="4"/>
  <c r="AH13" i="4"/>
  <c r="AG13" i="4"/>
  <c r="AF13" i="4"/>
  <c r="AE13" i="4"/>
  <c r="AD13" i="4"/>
  <c r="AC13" i="4"/>
  <c r="AB13" i="4"/>
  <c r="AA13" i="4"/>
  <c r="Z13" i="4"/>
  <c r="Y13" i="4"/>
  <c r="X13" i="4"/>
  <c r="W13" i="4"/>
  <c r="V13" i="4"/>
  <c r="U13" i="4"/>
  <c r="AI12" i="4"/>
  <c r="AH12" i="4"/>
  <c r="AG12" i="4"/>
  <c r="AF12" i="4"/>
  <c r="AE12" i="4"/>
  <c r="AD12" i="4"/>
  <c r="AC12" i="4"/>
  <c r="AB12" i="4"/>
  <c r="AA12" i="4"/>
  <c r="Z12" i="4"/>
  <c r="Y12" i="4"/>
  <c r="X12" i="4"/>
  <c r="W12" i="4"/>
  <c r="V12" i="4"/>
  <c r="U12" i="4"/>
  <c r="AI11" i="4"/>
  <c r="AH11" i="4"/>
  <c r="AG11" i="4"/>
  <c r="AF11" i="4"/>
  <c r="AE11" i="4"/>
  <c r="AD11" i="4"/>
  <c r="AC11" i="4"/>
  <c r="AB11" i="4"/>
  <c r="AA11" i="4"/>
  <c r="Z11" i="4"/>
  <c r="Y11" i="4"/>
  <c r="X11" i="4"/>
  <c r="W11" i="4"/>
  <c r="V11" i="4"/>
  <c r="U11" i="4"/>
  <c r="AI10" i="4"/>
  <c r="AH10" i="4"/>
  <c r="AG10" i="4"/>
  <c r="AF10" i="4"/>
  <c r="AE10" i="4"/>
  <c r="AD10" i="4"/>
  <c r="AC10" i="4"/>
  <c r="AB10" i="4"/>
  <c r="AA10" i="4"/>
  <c r="Z10" i="4"/>
  <c r="Y10" i="4"/>
  <c r="X10" i="4"/>
  <c r="W10" i="4"/>
  <c r="V10" i="4"/>
  <c r="T33" i="4"/>
  <c r="T32" i="4"/>
  <c r="T31" i="4"/>
  <c r="T30" i="4"/>
  <c r="T29" i="4"/>
  <c r="T28" i="4"/>
  <c r="T27" i="4"/>
  <c r="T26" i="4"/>
  <c r="T25" i="4"/>
  <c r="T24" i="4"/>
  <c r="T23" i="4"/>
  <c r="T22" i="4"/>
  <c r="T21" i="4"/>
  <c r="T20" i="4"/>
  <c r="T19" i="4"/>
  <c r="T18" i="4"/>
  <c r="T17" i="4"/>
  <c r="T16" i="4"/>
  <c r="T15" i="4"/>
  <c r="T14" i="4"/>
  <c r="T13" i="4"/>
  <c r="T12" i="4"/>
  <c r="T11" i="4"/>
  <c r="S33" i="4"/>
  <c r="S32" i="4"/>
  <c r="S31" i="4"/>
  <c r="S30" i="4"/>
  <c r="S29" i="4"/>
  <c r="S28" i="4"/>
  <c r="S27" i="4"/>
  <c r="S26" i="4"/>
  <c r="S25" i="4"/>
  <c r="S24" i="4"/>
  <c r="S23" i="4"/>
  <c r="S22" i="4"/>
  <c r="S21" i="4"/>
  <c r="S20" i="4"/>
  <c r="S19" i="4"/>
  <c r="S18" i="4"/>
  <c r="S17" i="4"/>
  <c r="S16" i="4"/>
  <c r="S15" i="4"/>
  <c r="S14" i="4"/>
  <c r="S13" i="4"/>
  <c r="S12" i="4"/>
  <c r="S11" i="4"/>
  <c r="R33" i="4"/>
  <c r="R32" i="4"/>
  <c r="R31" i="4"/>
  <c r="R30" i="4"/>
  <c r="R29" i="4"/>
  <c r="R28" i="4"/>
  <c r="R27" i="4"/>
  <c r="R26" i="4"/>
  <c r="R25" i="4"/>
  <c r="R24" i="4"/>
  <c r="R23" i="4"/>
  <c r="R22" i="4"/>
  <c r="R21" i="4"/>
  <c r="R20" i="4"/>
  <c r="R19" i="4"/>
  <c r="R18" i="4"/>
  <c r="R17" i="4"/>
  <c r="R16" i="4"/>
  <c r="R15" i="4"/>
  <c r="R14" i="4"/>
  <c r="R13" i="4"/>
  <c r="R12" i="4"/>
  <c r="R11" i="4"/>
  <c r="K33" i="4"/>
  <c r="L33" i="4"/>
  <c r="L32" i="4"/>
  <c r="L31" i="4"/>
  <c r="L30" i="4"/>
  <c r="L29" i="4"/>
  <c r="L28" i="4"/>
  <c r="L27" i="4"/>
  <c r="L26" i="4"/>
  <c r="L25" i="4"/>
  <c r="L24" i="4"/>
  <c r="L23" i="4"/>
  <c r="L22" i="4"/>
  <c r="L21" i="4"/>
  <c r="L20" i="4"/>
  <c r="L19" i="4"/>
  <c r="L18" i="4"/>
  <c r="L17" i="4"/>
  <c r="L16" i="4"/>
  <c r="L15" i="4"/>
  <c r="L14" i="4"/>
  <c r="L13" i="4"/>
  <c r="L12" i="4"/>
  <c r="L11" i="4"/>
  <c r="M33" i="4"/>
  <c r="M32" i="4"/>
  <c r="M31" i="4"/>
  <c r="M30" i="4"/>
  <c r="M29" i="4"/>
  <c r="M28" i="4"/>
  <c r="M27" i="4"/>
  <c r="M26" i="4"/>
  <c r="M25" i="4"/>
  <c r="M24" i="4"/>
  <c r="M23" i="4"/>
  <c r="M22" i="4"/>
  <c r="M21" i="4"/>
  <c r="M20" i="4"/>
  <c r="M19" i="4"/>
  <c r="M18" i="4"/>
  <c r="M17" i="4"/>
  <c r="M16" i="4"/>
  <c r="M15" i="4"/>
  <c r="M14" i="4"/>
  <c r="M13" i="4"/>
  <c r="M12" i="4"/>
  <c r="M11" i="4"/>
  <c r="N33" i="4"/>
  <c r="N32" i="4"/>
  <c r="N31" i="4"/>
  <c r="N30" i="4"/>
  <c r="N29" i="4"/>
  <c r="N28" i="4"/>
  <c r="N27" i="4"/>
  <c r="N26" i="4"/>
  <c r="N25" i="4"/>
  <c r="N24" i="4"/>
  <c r="N23" i="4"/>
  <c r="N22" i="4"/>
  <c r="N21" i="4"/>
  <c r="N20" i="4"/>
  <c r="N19" i="4"/>
  <c r="N18" i="4"/>
  <c r="N17" i="4"/>
  <c r="N16" i="4"/>
  <c r="N15" i="4"/>
  <c r="N14" i="4"/>
  <c r="N13" i="4"/>
  <c r="N12" i="4"/>
  <c r="N11" i="4"/>
  <c r="O33" i="4"/>
  <c r="O32" i="4"/>
  <c r="O31" i="4"/>
  <c r="O30" i="4"/>
  <c r="O29" i="4"/>
  <c r="O28" i="4"/>
  <c r="O27" i="4"/>
  <c r="O26" i="4"/>
  <c r="O25" i="4"/>
  <c r="O24" i="4"/>
  <c r="O23" i="4"/>
  <c r="O22" i="4"/>
  <c r="O21" i="4"/>
  <c r="O20" i="4"/>
  <c r="O19" i="4"/>
  <c r="O18" i="4"/>
  <c r="O17" i="4"/>
  <c r="O16" i="4"/>
  <c r="O15" i="4"/>
  <c r="O14" i="4"/>
  <c r="O13" i="4"/>
  <c r="O12" i="4"/>
  <c r="O11" i="4"/>
  <c r="P33" i="4"/>
  <c r="P32" i="4"/>
  <c r="P31" i="4"/>
  <c r="P30" i="4"/>
  <c r="P29" i="4"/>
  <c r="P28" i="4"/>
  <c r="P27" i="4"/>
  <c r="P26" i="4"/>
  <c r="P25" i="4"/>
  <c r="P24" i="4"/>
  <c r="P23" i="4"/>
  <c r="P22" i="4"/>
  <c r="P21" i="4"/>
  <c r="P20" i="4"/>
  <c r="P19" i="4"/>
  <c r="P18" i="4"/>
  <c r="P17" i="4"/>
  <c r="P16" i="4"/>
  <c r="P15" i="4"/>
  <c r="P14" i="4"/>
  <c r="P13" i="4"/>
  <c r="P12" i="4"/>
  <c r="P11" i="4"/>
  <c r="Q33" i="4"/>
  <c r="Q32" i="4"/>
  <c r="Q31" i="4"/>
  <c r="Q30" i="4"/>
  <c r="Q29" i="4"/>
  <c r="Q28" i="4"/>
  <c r="Q27" i="4"/>
  <c r="Q26" i="4"/>
  <c r="Q25" i="4"/>
  <c r="Q24" i="4"/>
  <c r="Q23" i="4"/>
  <c r="Q22" i="4"/>
  <c r="Q21" i="4"/>
  <c r="Q20" i="4"/>
  <c r="Q19" i="4"/>
  <c r="Q18" i="4"/>
  <c r="Q17" i="4"/>
  <c r="Q16" i="4"/>
  <c r="Q15" i="4"/>
  <c r="Q14" i="4"/>
  <c r="F4" i="3" l="1"/>
  <c r="E25" i="1" l="1"/>
  <c r="I2" i="7" s="1"/>
  <c r="F5" i="3"/>
  <c r="E23" i="1" s="1"/>
  <c r="G2" i="7" s="1"/>
  <c r="E5" i="3" l="1"/>
  <c r="K32" i="4"/>
  <c r="K31" i="4"/>
  <c r="K30" i="4"/>
  <c r="C23" i="1" l="1"/>
  <c r="F2" i="7" s="1"/>
  <c r="H2" i="7" s="1"/>
  <c r="I12" i="4"/>
  <c r="K29" i="4"/>
  <c r="K28" i="4"/>
  <c r="K27" i="4"/>
  <c r="K26" i="4"/>
  <c r="K25" i="4"/>
  <c r="K24" i="4"/>
  <c r="K23" i="4"/>
  <c r="K22" i="4"/>
  <c r="K21" i="4"/>
  <c r="K20" i="4"/>
  <c r="K19" i="4"/>
  <c r="K18" i="4"/>
  <c r="K17" i="4"/>
  <c r="K16" i="4"/>
  <c r="K15" i="4"/>
  <c r="K14" i="4"/>
  <c r="K13" i="4"/>
  <c r="K12" i="4"/>
  <c r="K11" i="4"/>
  <c r="K10" i="4"/>
  <c r="Q10" i="4"/>
  <c r="Q13" i="4"/>
  <c r="Q12" i="4"/>
  <c r="Q11" i="4"/>
  <c r="U10" i="4"/>
  <c r="T10" i="4"/>
  <c r="S10" i="4"/>
  <c r="R10" i="4"/>
  <c r="P10" i="4"/>
  <c r="O10" i="4"/>
  <c r="N10" i="4"/>
  <c r="M10" i="4"/>
  <c r="L10" i="4"/>
  <c r="G4" i="3" l="1"/>
  <c r="G5" i="3" l="1"/>
</calcChain>
</file>

<file path=xl/comments1.xml><?xml version="1.0" encoding="utf-8"?>
<comments xmlns="http://schemas.openxmlformats.org/spreadsheetml/2006/main">
  <authors>
    <author>Jose Bernardino Gone Uribe</author>
  </authors>
  <commentList>
    <comment ref="H3" authorId="0" shapeId="0">
      <text>
        <r>
          <rPr>
            <b/>
            <sz val="9"/>
            <color indexed="81"/>
            <rFont val="Tahoma"/>
            <family val="2"/>
          </rPr>
          <t xml:space="preserve">Ejemplo:
CCN
T-AVL
T-EMC
T-GSR
T-HP
T-IBM
T-IBM-MTSI
T-MICROSOFT
T-MICROSOFT-PREMIER
T-NOVELL
T-REMEDY
T-RESPALDOS SAT
T-SAC
T-SAS
T-SCITUM
T-SCS
T-SEGURIDAD
T-SYSTEMS
T-SoporteCDCPN
T-UNIX SAT (UAT)
T-WEBLOGIC SAT (UAT)
T-WINTEL SAT (UAT)
T-INFORMIX SAT (UAT)
T-LEGADOS SAT (UAT)
T-LINUX SAT (UAT)
T-MIDDLEWARE SAT (UAT)
T-ORACLE SAT (UAT)
T-SQL SAT (UAT)
</t>
        </r>
      </text>
    </comment>
  </commentList>
</comments>
</file>

<file path=xl/comments2.xml><?xml version="1.0" encoding="utf-8"?>
<comments xmlns="http://schemas.openxmlformats.org/spreadsheetml/2006/main">
  <authors>
    <author>Jose Bernardino Gone Uribe</author>
  </authors>
  <commentList>
    <comment ref="B12" authorId="0" shapeId="0">
      <text>
        <r>
          <rPr>
            <sz val="9"/>
            <color indexed="81"/>
            <rFont val="Tahoma"/>
            <family val="2"/>
          </rPr>
          <t xml:space="preserve">
Ejemplo:
ACOST
ACDMA
ACSN
ACTT
CDCPN
AVL
CCN
GC SAC
DESARROLLO
EMC
GSR
HP
IBM
IBM_MTSI
MICRONET
MICROSOFT
NOVELL
RESPALDOS SAT
REMEDY
SEGURIDAD
SCITUM
SCS
SSO3
MCCTI
</t>
        </r>
      </text>
    </comment>
  </commentList>
</comments>
</file>

<file path=xl/sharedStrings.xml><?xml version="1.0" encoding="utf-8"?>
<sst xmlns="http://schemas.openxmlformats.org/spreadsheetml/2006/main" count="478" uniqueCount="327">
  <si>
    <t>Identificador Único SAT</t>
  </si>
  <si>
    <t>Folio de Requerimiento / Incidente / Problema</t>
  </si>
  <si>
    <t>Fecha de solicitud</t>
  </si>
  <si>
    <t>Objetivo</t>
  </si>
  <si>
    <t>Ambiente</t>
  </si>
  <si>
    <t>Proyecto</t>
  </si>
  <si>
    <t>Acuerdos / Observaciones</t>
  </si>
  <si>
    <t>Componentes afectados</t>
  </si>
  <si>
    <t>Tipo de impacto</t>
  </si>
  <si>
    <t>Fecha Inicio de ventana de tiempo</t>
  </si>
  <si>
    <t>Observaciones</t>
  </si>
  <si>
    <t>Evidencias</t>
  </si>
  <si>
    <t>Validaciones realizadas</t>
  </si>
  <si>
    <t>Nombre de CI</t>
  </si>
  <si>
    <t>IP</t>
  </si>
  <si>
    <t>Bases de datos relacionadas</t>
  </si>
  <si>
    <t>Actualiza CMDB</t>
  </si>
  <si>
    <t>Actividad Macro</t>
  </si>
  <si>
    <t>Actividad</t>
  </si>
  <si>
    <t>Fecha / Hora Inicio</t>
  </si>
  <si>
    <t>Fecha / Hora Fin</t>
  </si>
  <si>
    <t>Responsable</t>
  </si>
  <si>
    <t>Disruptiva</t>
  </si>
  <si>
    <t>T= Total</t>
  </si>
  <si>
    <t>Solicitante</t>
  </si>
  <si>
    <t>Aprobadores</t>
  </si>
  <si>
    <t>Para el llenado de los campos:</t>
  </si>
  <si>
    <t xml:space="preserve">Campo </t>
  </si>
  <si>
    <t>Descripción</t>
  </si>
  <si>
    <t>Tipo</t>
  </si>
  <si>
    <t>En este campo se le asignará un folio único por parte de la Mesa de control de Cambios del SAT.</t>
  </si>
  <si>
    <t>MCCTI</t>
  </si>
  <si>
    <t>Requerido</t>
  </si>
  <si>
    <t>Opcional</t>
  </si>
  <si>
    <t>Indicar la fecha en que se realiza la solicitud.</t>
  </si>
  <si>
    <t>Especificar el detalle general de las actividades a realizar.</t>
  </si>
  <si>
    <t>Indicar de manera especifica la afectación que se presentará al realizar las activiades, en caso de que sea nula indicar por qué.</t>
  </si>
  <si>
    <t>Indicar que pasará en caso de que no se ejecuten con éxito las actividades.</t>
  </si>
  <si>
    <t>En caso de no ser viable, documentar un plan alterno o indicar el motivo.</t>
  </si>
  <si>
    <t>Requiere ventana de tiempo</t>
  </si>
  <si>
    <t>Fecha Fin de ventana de tiempo</t>
  </si>
  <si>
    <t>Indicar el nombre de los archivos que se adjuntan como evidencia.</t>
  </si>
  <si>
    <t>En caso de tener alguna recomendación derivado de alguna problemática o algo no contemplado favor de indicarlo.</t>
  </si>
  <si>
    <t>Pestaña CIs</t>
  </si>
  <si>
    <t>Describir el nombre del CIs.</t>
  </si>
  <si>
    <t>IP relacionada de los Cis.</t>
  </si>
  <si>
    <t>Si existieran BD mencionarlas.</t>
  </si>
  <si>
    <t>Pestaña Plan</t>
  </si>
  <si>
    <t>Generales:</t>
  </si>
  <si>
    <t>Indicar la fecha y hora de inicio de la actividad.</t>
  </si>
  <si>
    <t>Indicar la fecha y hora fin de la actividad.</t>
  </si>
  <si>
    <t>Seleccionar para la actividad que se requiera como punto de control.</t>
  </si>
  <si>
    <t>Seleccionar dependiendo del tipo de afectación que se tendrá.</t>
  </si>
  <si>
    <t>Pestaña Matriz de Comunicación</t>
  </si>
  <si>
    <t>Nombre Responsable</t>
  </si>
  <si>
    <t>VT</t>
  </si>
  <si>
    <t>INI</t>
  </si>
  <si>
    <t>VTI</t>
  </si>
  <si>
    <t>FIN</t>
  </si>
  <si>
    <t>VTF</t>
  </si>
  <si>
    <t>T-Responsable</t>
  </si>
  <si>
    <t>Dan Fin las Actividades del Plan</t>
  </si>
  <si>
    <t>Dan Inicio las Actividades del Plan</t>
  </si>
  <si>
    <t>BTEAMS</t>
  </si>
  <si>
    <t xml:space="preserve">Se debe Capturar la Actividad Marco VTI (Ventana Inicio ) Anteponiendo esta Actividad a la Actividad IMP que Afecta el Servicio, se captura solo Fecha y Hora de la Inicio. </t>
  </si>
  <si>
    <t>Se debe Capturar la Actividad Marco  VTF (Ventana FIN ) posterior a la Actividad Siguiente que da de Alta el Servicio, captura solo Fecha y Hora Fin.</t>
  </si>
  <si>
    <t>Da inicio la Ventana de Tiempo</t>
  </si>
  <si>
    <t>Termina Ventana de Tiempo</t>
  </si>
  <si>
    <t>Producción</t>
  </si>
  <si>
    <t>Descripción del Resultado</t>
  </si>
  <si>
    <t>Desviaciones del Cambio</t>
  </si>
  <si>
    <t>Componentes CI's  Afectados del Ambiente de</t>
  </si>
  <si>
    <t>Evaludor .- 
Este Trama Indica que la ceda debe contener Información "o " coloca NA( No Aplica)</t>
  </si>
  <si>
    <t>Solicitante.- 
Este Trama Indica que la ceda debe contener Información "o " coloca NA( No Aplica)</t>
  </si>
  <si>
    <t>Implementador .- 
Este Trama Indica que la ceda debe contener Información "o " coloca NA( No Aplica)</t>
  </si>
  <si>
    <t>Pruebas</t>
  </si>
  <si>
    <t>Fecha Inicio planeada</t>
  </si>
  <si>
    <t xml:space="preserve">Fecha Fin planeada </t>
  </si>
  <si>
    <t>Nombre</t>
  </si>
  <si>
    <t>Correo</t>
  </si>
  <si>
    <t>Teléfono</t>
  </si>
  <si>
    <t>Clave</t>
  </si>
  <si>
    <t>RFC</t>
  </si>
  <si>
    <t>Impacto</t>
  </si>
  <si>
    <t>Macro</t>
  </si>
  <si>
    <t>Descripción objetiva y concreta del cambio</t>
  </si>
  <si>
    <t>Fecha y Hora de Inicio del Cambio</t>
  </si>
  <si>
    <t>Fecha y Hora de Término del Cambio</t>
  </si>
  <si>
    <t>Duración del Cambio</t>
  </si>
  <si>
    <t>Tiempo de afectación*</t>
  </si>
  <si>
    <t>VoBo CCB</t>
  </si>
  <si>
    <t>Comentarios del CCB</t>
  </si>
  <si>
    <t>VoBo CAB</t>
  </si>
  <si>
    <t>Comentarios del CAB</t>
  </si>
  <si>
    <t>Torre / Área</t>
  </si>
  <si>
    <t>Solicita apoyo de Torre ó Área*</t>
  </si>
  <si>
    <t xml:space="preserve"> Servicio Relacionado</t>
  </si>
  <si>
    <t>Elemento de la Configuración</t>
  </si>
  <si>
    <t>Localidades / Áreas Relacionadas</t>
  </si>
  <si>
    <t>¿Por qué es necesaria la ejecución del cambio?</t>
  </si>
  <si>
    <t>¿Cuál es el impacto del cambio?</t>
  </si>
  <si>
    <t>¿Qué sucede si el cambio no se aplica?</t>
  </si>
  <si>
    <t>¿A quién se le notificará el resultado del cambio?</t>
  </si>
  <si>
    <t>Estatus Final notificado por el ejecutor del cambio</t>
  </si>
  <si>
    <t xml:space="preserve"> # Problema / Incidente de Referencia</t>
  </si>
  <si>
    <t>Tiempo Real de Inicio del Cambio</t>
  </si>
  <si>
    <t>Tiempo Real del Término del Cambio</t>
  </si>
  <si>
    <t>Duración Real del Cambio</t>
  </si>
  <si>
    <t>Solicitante del Cambio</t>
  </si>
  <si>
    <t>Ejecutor del Cambio</t>
  </si>
  <si>
    <t>Comentarios del Ejecutor</t>
  </si>
  <si>
    <t>Resultados del Cambio</t>
  </si>
  <si>
    <t>Lección Aprendida</t>
  </si>
  <si>
    <t>Comentarios Generales</t>
  </si>
  <si>
    <t>Quién solicita</t>
  </si>
  <si>
    <t>Generó Incidentes</t>
  </si>
  <si>
    <t>Fuera de Proceso</t>
  </si>
  <si>
    <t>Fuera de Política</t>
  </si>
  <si>
    <t>Seguimiento</t>
  </si>
  <si>
    <t>Cumplió Ventana</t>
  </si>
  <si>
    <t>Tipo de Cambio</t>
  </si>
  <si>
    <t>Clasificación</t>
  </si>
  <si>
    <t>Replanificación</t>
  </si>
  <si>
    <t>Aplicó Plan de Regreso</t>
  </si>
  <si>
    <t>Aplicó Release</t>
  </si>
  <si>
    <t>Tipo de Gestión</t>
  </si>
  <si>
    <t>Nombre Gestor</t>
  </si>
  <si>
    <t>Motivo Fuera de Politica</t>
  </si>
  <si>
    <t>Motivo Fuera de Proceso</t>
  </si>
  <si>
    <t>Aprobador Fuera de Proceso</t>
  </si>
  <si>
    <t>Motivo</t>
  </si>
  <si>
    <t>NdS Relacionado</t>
  </si>
  <si>
    <t>Fecha Mantto</t>
  </si>
  <si>
    <t>Inicio 
Registro</t>
  </si>
  <si>
    <t>Fin 
Registro</t>
  </si>
  <si>
    <t>Tiempo Respuesta Registro</t>
  </si>
  <si>
    <t>Inicio 
Planeacion</t>
  </si>
  <si>
    <t>Fin 
Planeacion</t>
  </si>
  <si>
    <t>Tiempo Respuesta Planeación</t>
  </si>
  <si>
    <t>Tiempo Respuesta Planeación SAT</t>
  </si>
  <si>
    <t>Cumple Planeación</t>
  </si>
  <si>
    <t>Motivo Incumplimiento Nivel de Servicio</t>
  </si>
  <si>
    <t>Actualiza 
CMDB</t>
  </si>
  <si>
    <t>NS Planeación</t>
  </si>
  <si>
    <t>Cumple NS REGISTRO</t>
  </si>
  <si>
    <t>Cumple NS PL</t>
  </si>
  <si>
    <t>PLANEACION</t>
  </si>
  <si>
    <t>T-Systems</t>
  </si>
  <si>
    <t>Evaluación de la Solicitud de Cambio</t>
  </si>
  <si>
    <t>Implementación y Cierre de la Solicitud de Cambio</t>
  </si>
  <si>
    <t>Planeación de la Solicitud de Cambio</t>
  </si>
  <si>
    <t>Coordinador Técnico del Cambio (Implementador)</t>
  </si>
  <si>
    <t>Área</t>
  </si>
  <si>
    <t>Nombre / Contrato / Teléfono de Oficina / Extensión / Móvil / Correo</t>
  </si>
  <si>
    <t>Nombre / Teléfono de Oficina / Extensión / Móvil / Correo</t>
  </si>
  <si>
    <t>Pestaña IGC (Información General de la Solicitud de Cambio )</t>
  </si>
  <si>
    <t>Indicar el ID del requerimiento, Incidente o Problema por el que deriva la Solicitud de Cambio. En caso de que sea un incidente o PPMC se deberá adjuntar la pantalla del ticket en una hoja nueva de este formato.</t>
  </si>
  <si>
    <t>Folio del proveedor o Gobierno que atenderá la Solicitud de Cambio, en caso de aplicar.</t>
  </si>
  <si>
    <t>Indicar el área donde se establecerá la Solicitud de Cambio.</t>
  </si>
  <si>
    <t>Seleccionar el ambiente en donde se aplicará la Solicitud de Cambio.</t>
  </si>
  <si>
    <t>Definir el porqué de esta Solicitud de Cambio (mejora, medida preventiva etc.) el cual sustente su ejecución.</t>
  </si>
  <si>
    <t>Seleccionar la prioridad de la Solicitud de Cambio, es importante que si selecciona urgente o estándar deberá de justificarlo.</t>
  </si>
  <si>
    <t>Indicar que pasará si no se ejecuta la Solicitud de Cambio, ¿Cuál sería la afectación al negocio?.</t>
  </si>
  <si>
    <t>En caso de que el campo anterior se indique NO, se deberán dar las razones por las cuales no se aplicó la Solicitud de Cambio en otro ambiente.</t>
  </si>
  <si>
    <t>Indicar si existe algún acuerdo para que esta Solicitud de Cambio se ejecute, es importante que los acuerdos se hayan realizado con el Administrador del Contrato responsable de la ejecución, mencionar nombre y detalle de lo acordado.</t>
  </si>
  <si>
    <t>Indicar cuales son los componetes a afectarse (ambiente/aplicativo(s)/BD).</t>
  </si>
  <si>
    <t>Indicar el tipo de impacto durante la ejecución de la Solicitud de Cambio, (total, parcial, nula).</t>
  </si>
  <si>
    <t>Indicar si la Solicitud de Cambio, actualiza CMDB, seleccionando de la lista desplagable  Si o No</t>
  </si>
  <si>
    <t>Indicar los riegos que se presentarán al implementar la Solicitud de Cambio.</t>
  </si>
  <si>
    <t>Indicar si es viable o no realizar la Solicitud de Cambio.</t>
  </si>
  <si>
    <t>Esta actividad deberá seleccionarse en la Actividad Macro VT de la pestaña Plan de la lista desplegable.</t>
  </si>
  <si>
    <t>Aprobador (es)</t>
  </si>
  <si>
    <t>El implementador seleccionará el resultado de la implementación ( Exitoso o No Exitoso )</t>
  </si>
  <si>
    <t>El implementador deberá mencionar cualquier desviación ocurrida durante la implementación de la Solicitud de Cambio.</t>
  </si>
  <si>
    <t>De ser necesario dar alguna observación de la Solicitud de Cambio Post implementación.</t>
  </si>
  <si>
    <t>Seleccionar si la Solicitud de Cambio afecta a la CMDB.</t>
  </si>
  <si>
    <t xml:space="preserve">Describir la actividad a realizar, es importante que se definan el mayor número de actividades para identificar la etapa o avance que se tiene de la Solicitud de Cambio. </t>
  </si>
  <si>
    <t>Indicar el nombre de la persona que evalúa, (torre, línea de servicio, departamento), teléfono y empresa. Deberán indicarse los mismos datos de todos los que evalúan.</t>
  </si>
  <si>
    <t>Línea de Servicio</t>
  </si>
  <si>
    <t>Descripción:</t>
  </si>
  <si>
    <t>Justificación:</t>
  </si>
  <si>
    <t>Objetivo:</t>
  </si>
  <si>
    <t>Prioridad:</t>
  </si>
  <si>
    <t>Proyecto:</t>
  </si>
  <si>
    <t>Ambiente:</t>
  </si>
  <si>
    <t>¿Se tiene evidencia de Implementación en un ambiente No Productivo?</t>
  </si>
  <si>
    <t>De no tener evidencias, justificarlo.</t>
  </si>
  <si>
    <t>Identificador Único SAT:</t>
  </si>
  <si>
    <t>De no ser viable, ¿Qué otras alternativas existen?</t>
  </si>
  <si>
    <t>Prioridad</t>
  </si>
  <si>
    <t>Justificación</t>
  </si>
  <si>
    <t>Grupo de  Implementación</t>
  </si>
  <si>
    <t>Solicitante /
Grupo de Implementación</t>
  </si>
  <si>
    <t>Solicitante de Negocio que requiere la Solicitud de Cambio</t>
  </si>
  <si>
    <t>Fecha de solicitud:
(dd/mm/aaaa HH:MM):</t>
  </si>
  <si>
    <t>Áreas relacionadas:</t>
  </si>
  <si>
    <t>Fecha propuesta de implementación:</t>
  </si>
  <si>
    <t>¿Se tiene evidencia de Implementación en un ambiente No Productivo?:</t>
  </si>
  <si>
    <t>Acuerdos / Observaciones:</t>
  </si>
  <si>
    <t>De no tener evidencias, justificarlo:</t>
  </si>
  <si>
    <t>Componentes afectados:</t>
  </si>
  <si>
    <t>Actualiza CMDB:</t>
  </si>
  <si>
    <t>De no ser viable, ¿Qué otras alternativas existen?:</t>
  </si>
  <si>
    <t>Observaciones:</t>
  </si>
  <si>
    <t>Aprobador (es):</t>
  </si>
  <si>
    <t>Evidencias:</t>
  </si>
  <si>
    <t>Validaciones realizadas:</t>
  </si>
  <si>
    <t>Folio de Requerimiento / Incidente / Problema:</t>
  </si>
  <si>
    <t>;</t>
  </si>
  <si>
    <r>
      <rPr>
        <b/>
        <sz val="9"/>
        <color rgb="FF002060"/>
        <rFont val="Soberana Sans"/>
        <family val="3"/>
      </rPr>
      <t>Formato 1 Solicitud de Cambio</t>
    </r>
    <r>
      <rPr>
        <sz val="9"/>
        <color rgb="FF002060"/>
        <rFont val="Soberana Sans"/>
        <family val="3"/>
      </rPr>
      <t xml:space="preserve">
SAT / AGCTI / ACOST / ACCN / Subproceso ACMB</t>
    </r>
  </si>
  <si>
    <t>Identificador Proveedor de TIC:</t>
  </si>
  <si>
    <t>Identificador Proveedor de TIC</t>
  </si>
  <si>
    <t>Documentos adjuntos:</t>
  </si>
  <si>
    <t>Documentos adjuntos</t>
  </si>
  <si>
    <t>Tipo de impacto:</t>
  </si>
  <si>
    <t>Descripción del impacto:</t>
  </si>
  <si>
    <t>Fecha inicio planeada:</t>
  </si>
  <si>
    <t>Fecha fin planeada:</t>
  </si>
  <si>
    <t>Fecha inicio de ventana de tiempo:</t>
  </si>
  <si>
    <t>Requiere ventana de tiempo:</t>
  </si>
  <si>
    <t>Fecha fin de ventana de tiempo:</t>
  </si>
  <si>
    <t>Descripción del resultado:</t>
  </si>
  <si>
    <t>Tipo de resultado:</t>
  </si>
  <si>
    <t>Duración
Días / Hora / Minuto</t>
  </si>
  <si>
    <t>¿Check Point?
S/N</t>
  </si>
  <si>
    <t>VTI= Da inicio la ventana de tiempo</t>
  </si>
  <si>
    <t>VTF= Termina la ventana de tiempo</t>
  </si>
  <si>
    <t>INI= Dan Inicio las actividades del plan</t>
  </si>
  <si>
    <t>FIN= Dan fin las actividades del plan</t>
  </si>
  <si>
    <t>Áreas relacionadas</t>
  </si>
  <si>
    <t>Fecha propuesta de implementación</t>
  </si>
  <si>
    <t>Describir el objetivo de la Solicitud de Cambio, ¿Qué se pretende realizar?, iniciando con un verbo en infinitivo (Eliminar, instalar, copiar, etc.).</t>
  </si>
  <si>
    <t>Indicar si se aplicó en un ambiente previo, de confirmarse, se deberá adjuntar la evidencia de que se realizó.</t>
  </si>
  <si>
    <t>Indicar a qué proyecto pertenece esta Solicitud de Cambio (Migración, Virtualización, instalación de parches, etc.).</t>
  </si>
  <si>
    <t>En caso de adjuntar documentos (scripts, archivos de configuración, etc.) mencionar los nombres de los archivos, estos deberán de adjuntarse en el correo con la Solicitud de Cambio.</t>
  </si>
  <si>
    <t>Descripción del Impacto</t>
  </si>
  <si>
    <t>Indicar la fecha y hora de inicio del plan de trabajo, misma que será tomada de la Actividad Macro INI de la pestaña Plan, correspondiente a la segunda actividad capturada.</t>
  </si>
  <si>
    <t>Indicar la fecha y hora de inicio del plan de trabajo, misma que será tomada de la Actividad Macro FIN de la pestaña Plan, correspondiente a la última actividad capturada.</t>
  </si>
  <si>
    <t>Tipo de resultado</t>
  </si>
  <si>
    <t>Indicar la fecha y hora real de inicio de la Solicitud de Cambio.</t>
  </si>
  <si>
    <t>Indicar la fecha y hora de fin de la Solicitud de Cambio.</t>
  </si>
  <si>
    <t>Describe Observaciones Concretas que deba considerar el Implementador.</t>
  </si>
  <si>
    <t>Selecciona en la pestaña Matriz de comunicación, Aprobador(es) que deben dar el VoBo a la actividad.</t>
  </si>
  <si>
    <t>De ser necesario dar alguna descripción del resultado de la implementación.</t>
  </si>
  <si>
    <t>Desviaciones:</t>
  </si>
  <si>
    <t>Desviaciones</t>
  </si>
  <si>
    <t>Lecciones aprendidas Post Implementación</t>
  </si>
  <si>
    <t>Lecciones aprendidas Post Implementación:</t>
  </si>
  <si>
    <t>Indicar cuáles fueron las validaciones realizadas posteriores a la ejecución de la Solicitud de Cambio.</t>
  </si>
  <si>
    <t>Aplicaciones / Servicios relacionados</t>
  </si>
  <si>
    <t>Apliciones / Servicios relacionados</t>
  </si>
  <si>
    <t>Describir el nombre del aplicativo o servicios relacionados que pudieran verse impactados con la Solicitud de Cambio.</t>
  </si>
  <si>
    <r>
      <t xml:space="preserve">I.- El plan de actividades que </t>
    </r>
    <r>
      <rPr>
        <b/>
        <sz val="10"/>
        <rFont val="Soberana Sans"/>
        <family val="3"/>
      </rPr>
      <t xml:space="preserve">NO Requiere Ventana de Tiempo, </t>
    </r>
    <r>
      <rPr>
        <sz val="10"/>
        <rFont val="Soberana Sans"/>
        <family val="3"/>
      </rPr>
      <t xml:space="preserve">deberá contar mínimo con </t>
    </r>
    <r>
      <rPr>
        <u/>
        <sz val="10"/>
        <rFont val="Soberana Sans"/>
        <family val="3"/>
      </rPr>
      <t>7 actividades</t>
    </r>
    <r>
      <rPr>
        <sz val="10"/>
        <rFont val="Soberana Sans"/>
        <family val="3"/>
      </rPr>
      <t xml:space="preserve"> clasificadas de acuerdo a lo siguiente: 
1.- VT (Selecciona No requiere VT)
2.- INI ( Dan inicio las actividades del plan) Actividad que toma automáticamente la fecha y hora de inicio de la actividad 3
3.-PRE (Prerrequisitos o actividades previas)
4.-IMP (Actividades de implementación)
5.- VAL (Actividades de validación)
6.-BCK (Plan de retorno) si no se requiere coloca "</t>
    </r>
    <r>
      <rPr>
        <b/>
        <sz val="10"/>
        <rFont val="Soberana Sans"/>
        <family val="3"/>
      </rPr>
      <t>No Aplicar</t>
    </r>
    <r>
      <rPr>
        <sz val="10"/>
        <rFont val="Soberana Sans"/>
        <family val="3"/>
      </rPr>
      <t xml:space="preserve">" 
7.- FIN (Dan fin las actividades del plan) Coloca solo la  fecha y hora fin de la actividad del BCK, si No Aplica BCK, tomar la  fecha y hora fin de la última actividad de VAL(actividad de validación) 
II.- El plan de actividades que </t>
    </r>
    <r>
      <rPr>
        <b/>
        <sz val="10"/>
        <rFont val="Soberana Sans"/>
        <family val="3"/>
      </rPr>
      <t>Requiere Ventana de Tiempo,</t>
    </r>
    <r>
      <rPr>
        <sz val="10"/>
        <rFont val="Soberana Sans"/>
        <family val="3"/>
      </rPr>
      <t xml:space="preserve"> deberá contar mínimo con </t>
    </r>
    <r>
      <rPr>
        <u/>
        <sz val="10"/>
        <rFont val="Soberana Sans"/>
        <family val="3"/>
      </rPr>
      <t>9 actividades</t>
    </r>
    <r>
      <rPr>
        <sz val="10"/>
        <rFont val="Soberana Sans"/>
        <family val="3"/>
      </rPr>
      <t xml:space="preserve"> clasificadas de acuerdo a lo siguiente: 
1.- VT (Selecciona Si Requiere VT o VT Informativa )
2.- INI ( Dan Inicio las actividades del plan) Actividad que toma automáticamente la fecha y hora de inicio de la actividad 3
3.-PRE (Prerrequisitos o actividades previas)
4.-IMP (Actividades de Implementación)
5.- VTI (Ventana inicio) Antepone esta actividad a la  que afecta el servicio, se captura solo fecha y hora de inicio
6.- VTF (Ventana fin) Actividad siguiente a la actividad que da de alta el servicio, captura solo fecha y hora fin
7.- VAL (Actividades de validación)
8.-BCK (Plan de retorno) si no requiere coloca "</t>
    </r>
    <r>
      <rPr>
        <b/>
        <sz val="10"/>
        <rFont val="Soberana Sans"/>
        <family val="3"/>
      </rPr>
      <t>No Aplicar</t>
    </r>
    <r>
      <rPr>
        <sz val="10"/>
        <rFont val="Soberana Sans"/>
        <family val="3"/>
      </rPr>
      <t xml:space="preserve">"
9.- FIN (Dan fin las actividades del plan) Coloca solo la  fecha y hora fin de la actividad del BCK, si No Aplica BCK, tomar la  fecha y hora fin de la última actividad de VAL (Actividad de validación)
</t>
    </r>
  </si>
  <si>
    <t>Seleccionar a que clasificación corresponde la actividad (VT, INI, PRE, VTI, VTF, IMP, VAL, BCK FIN).</t>
  </si>
  <si>
    <t>Tiempo en que se llevará a cabo la actividad en formato HH:MM.</t>
  </si>
  <si>
    <t>Selecciona del Combo T-Responsable de realizar Actividad.</t>
  </si>
  <si>
    <t>Consideraciones generales para el uso del Formato 1 Solicitud de Cambio:</t>
  </si>
  <si>
    <t>PRE= Pre requisitos</t>
  </si>
  <si>
    <t>IMP= Implementación</t>
  </si>
  <si>
    <t>VAL= Validación</t>
  </si>
  <si>
    <t>BCK= Plan de retorno</t>
  </si>
  <si>
    <t>P= Parcial</t>
  </si>
  <si>
    <t>N= Nulo</t>
  </si>
  <si>
    <t>1.- Por ningún motivo se deberá alterar el formato (pestañas IGC, CIs, Plan, Matriz de comunicación).
2.- El formato deberá documentarse con los campos marcados como requeridos, de no ser así se rechazará la Solicitud de Cambio.
3.- De ser necesario, puede adjuntar en una hoja nueva otros formatos dependiendo de las necesidades y requerimientos de los proveedores, implementadores o áreas de servicio.
4.- No se deberán agregar archivos en este formato, se deberán de anexar en el correo con la Solicitud de Cambio.</t>
  </si>
  <si>
    <t>Grupo de Implementación</t>
  </si>
  <si>
    <t>Validación del Solicitante Post Implementación</t>
  </si>
  <si>
    <t>Observaciones Solicitante Post Implementación</t>
  </si>
  <si>
    <t>El Solicitante deberá validar el resultado post implementación de la Solicitud de Cambio, seleccionando del combo el resultado (Exitoso o No Exitoso).</t>
  </si>
  <si>
    <t>Nombre del Solicitante</t>
  </si>
  <si>
    <t>1.- Es importante y necesario se documente la información de las personas relacionadas con la Solicitud de Cambio a los cuales se les debará contactar por cualquier observación, en la revisión, ejecución o finalización de ésta. 
2.- Cada uno de los participantes deberá documentar la información que le corresponda (Solicitante, Implementador, Coordinador, etc), indicando otros posibles contactos o personal para escalación (notificación).</t>
  </si>
  <si>
    <t>Responsable (s) de aprobar la SdC.</t>
  </si>
  <si>
    <t>Responsable de coordinar el cambio de acuerdo al plan de trabajo establecido.</t>
  </si>
  <si>
    <t>Riesgo si la SdC no se efectúa en tiempo y forma:</t>
  </si>
  <si>
    <t>Impacto en caso de que falle la SdC durante y/o posterior a la ejecución:</t>
  </si>
  <si>
    <t>Riesgos de implementar la SdC y plan de mitigación:</t>
  </si>
  <si>
    <t>Resolución sobre la SdC solicitada:</t>
  </si>
  <si>
    <t>Fecha y hora real de inicio de la SdC 
(dd/mm/aaaa  HH:MM):</t>
  </si>
  <si>
    <t>Fecha y hora real fin de la SdC
(dd/mm/aaaa  HH:MM):</t>
  </si>
  <si>
    <t>Validación del Solicitante Post Implementación:</t>
  </si>
  <si>
    <t>Observaciones Solicitante Post Implementación:</t>
  </si>
  <si>
    <t>Riesgo si la SdC no se efectúa en tiempo y forma</t>
  </si>
  <si>
    <t>Indicar la fecha propuesta de la Solicitud de Cambio, este dato se tomará como referencia para la ejecución de ésta, también se tomarán otros criterios para planear, (otras SdC´s, prioridad, ambiente, etc.).</t>
  </si>
  <si>
    <t>Impacto en caso de que falle la SdC durante y/o posterior a la ejecución</t>
  </si>
  <si>
    <t>Riesgos de implementar la SdC y plan de mitigación</t>
  </si>
  <si>
    <t>Resolución sobre la SdC solicitada</t>
  </si>
  <si>
    <t>Fecha y hora real de inicio de la SdC</t>
  </si>
  <si>
    <t>Fecha y hora real fin de la SdC</t>
  </si>
  <si>
    <t>Gobierno o Administración</t>
  </si>
  <si>
    <t>Aprobador (es) del cambio</t>
  </si>
  <si>
    <t>Solicitante del cambio</t>
  </si>
  <si>
    <t>Evaluador(es) del cambio</t>
  </si>
  <si>
    <t>Pestaña Anexos</t>
  </si>
  <si>
    <t>Evaluador (es) del cambio</t>
  </si>
  <si>
    <t>1.- Insertar evidencias, objetos, etc.</t>
  </si>
  <si>
    <t>Responsable (s) de evaluar el cambio y/o de implementar este, de acuerdo al plan de trabajo establecido.</t>
  </si>
  <si>
    <t>Estrés</t>
  </si>
  <si>
    <t>UAT/Pruebas</t>
  </si>
  <si>
    <t>Desarrollo</t>
  </si>
  <si>
    <t>Preproducción</t>
  </si>
  <si>
    <t>Integración</t>
  </si>
  <si>
    <t>Capacitación</t>
  </si>
  <si>
    <t xml:space="preserve">Detalle de la Solicitud de Cambio         </t>
  </si>
  <si>
    <t>SdC  Versión 3.0</t>
  </si>
  <si>
    <t>POL-832</t>
  </si>
  <si>
    <t>13/07/2020 04:00:00 p.m.</t>
  </si>
  <si>
    <t>N/A</t>
  </si>
  <si>
    <t xml:space="preserve">DYPP_IPP_Cuenta Única Web. – Actualizar funcionalidades para la Certificación de Declaraciones y Pagos. </t>
  </si>
  <si>
    <t>Instalar un certificado de seguridad en los equipos IDE_WEB y CUN_WEB</t>
  </si>
  <si>
    <t>Se solicita la generación de un Request (CSR - certificate signing request) , y posterior instalación de dicho certificado en los equipos de IDE_WEB y CUN-WEB</t>
  </si>
  <si>
    <t>La instalación de los certificados son necesarios para la protección de flujos y tener una comunicación segura entre los servidores IDE_WEB y CUN-WEB</t>
  </si>
  <si>
    <t>Normal</t>
  </si>
  <si>
    <t>No se tendrá comunicación segura entre los servidores para la generación del pdf de las declaraciones que se certifican en la CUN-WEB</t>
  </si>
  <si>
    <t>No</t>
  </si>
  <si>
    <t>13/07/2020 05:00:00 p.m.</t>
  </si>
  <si>
    <t>cpidwuatiise01</t>
  </si>
  <si>
    <t>cpidwuatiise02</t>
  </si>
  <si>
    <t>10.236.10.70</t>
  </si>
  <si>
    <t>10.236.10.71</t>
  </si>
  <si>
    <t>IMP</t>
  </si>
  <si>
    <t>IDE_WE</t>
  </si>
  <si>
    <t>IDE_WEB</t>
  </si>
  <si>
    <t>CUN-WEB</t>
  </si>
  <si>
    <t>104.90.128.4</t>
  </si>
  <si>
    <t>SATCPNNWEB01</t>
  </si>
  <si>
    <t xml:space="preserve">Realizar la Instalación del certificado idewebuat.cer en los equipos de IDEWEB
IP: 10.236.10.70
IP: 10.236.10.71
</t>
  </si>
  <si>
    <t>13/07/2020  18:00:00 p. m.</t>
  </si>
  <si>
    <t xml:space="preserve">Realizar la Instalación del certificado idewebuat.cer en el equipo de la CUNWEB
IP: 104.90.128.4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</si>
</sst>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dd\ hh:mm"/>
    <numFmt numFmtId="165" formatCode="ddd\ dd/mmm/yyyy\ hh:mm\ &quot;hrs.&quot;"/>
    <numFmt numFmtId="166" formatCode="#,##0.00\ ;&quot; (&quot;#,##0.00\);&quot; -&quot;#\ ;@\ "/>
    <numFmt numFmtId="167" formatCode="[$$-409]#,##0.00;[Red]\-[$$-409]#,##0.00"/>
    <numFmt numFmtId="168" formatCode="d\ hh:mm"/>
  </numFmts>
  <fonts count="52">
    <font>
      <sz val="11"/>
      <color theme="1"/>
      <name val="Calibri"/>
      <family val="2"/>
      <scheme val="minor"/>
    </font>
    <font>
      <sz val="11"/>
      <color theme="1"/>
      <name val="Calibri"/>
      <family val="2"/>
      <scheme val="minor"/>
    </font>
    <font>
      <sz val="11"/>
      <color rgb="FF006100"/>
      <name val="Calibri"/>
      <family val="2"/>
      <scheme val="minor"/>
    </font>
    <font>
      <sz val="10"/>
      <color theme="1"/>
      <name val="Arial"/>
      <family val="2"/>
    </font>
    <font>
      <sz val="8"/>
      <color theme="1"/>
      <name val="Arial"/>
      <family val="2"/>
    </font>
    <font>
      <sz val="10"/>
      <name val="Arial"/>
      <family val="2"/>
    </font>
    <font>
      <sz val="10"/>
      <name val="Arial"/>
      <family val="2"/>
      <charset val="1"/>
    </font>
    <font>
      <sz val="11"/>
      <color indexed="8"/>
      <name val="Calibri"/>
      <family val="2"/>
      <charset val="1"/>
    </font>
    <font>
      <sz val="11"/>
      <color theme="1"/>
      <name val="Arial"/>
      <family val="2"/>
    </font>
    <font>
      <sz val="11"/>
      <color rgb="FF000000"/>
      <name val="Calibri"/>
      <family val="2"/>
      <charset val="1"/>
    </font>
    <font>
      <sz val="10"/>
      <color rgb="FF000000"/>
      <name val="Arial"/>
      <family val="2"/>
      <charset val="1"/>
    </font>
    <font>
      <sz val="11"/>
      <color indexed="8"/>
      <name val="Calibri"/>
      <family val="2"/>
    </font>
    <font>
      <sz val="10"/>
      <color indexed="8"/>
      <name val="Arial"/>
      <family val="2"/>
    </font>
    <font>
      <b/>
      <i/>
      <sz val="16"/>
      <color indexed="8"/>
      <name val="Arial"/>
      <family val="2"/>
    </font>
    <font>
      <u/>
      <sz val="10"/>
      <color indexed="12"/>
      <name val="Arial"/>
      <family val="2"/>
    </font>
    <font>
      <u/>
      <sz val="8.8000000000000007"/>
      <color indexed="12"/>
      <name val="Arial"/>
      <family val="2"/>
    </font>
    <font>
      <sz val="11"/>
      <color indexed="60"/>
      <name val="Calibri"/>
      <family val="2"/>
    </font>
    <font>
      <b/>
      <i/>
      <u/>
      <sz val="11"/>
      <color indexed="8"/>
      <name val="Arial"/>
      <family val="2"/>
    </font>
    <font>
      <b/>
      <sz val="11"/>
      <color indexed="8"/>
      <name val="Calibri"/>
      <family val="2"/>
    </font>
    <font>
      <sz val="11"/>
      <color indexed="8"/>
      <name val="Arial"/>
      <family val="2"/>
    </font>
    <font>
      <b/>
      <sz val="11"/>
      <color theme="0"/>
      <name val="Calibri"/>
      <family val="2"/>
      <scheme val="minor"/>
    </font>
    <font>
      <sz val="8"/>
      <color rgb="FFFF0000"/>
      <name val="Arial"/>
      <family val="2"/>
    </font>
    <font>
      <sz val="8"/>
      <name val="Arial"/>
      <family val="2"/>
    </font>
    <font>
      <b/>
      <sz val="8"/>
      <name val="Arial"/>
      <family val="2"/>
    </font>
    <font>
      <sz val="8"/>
      <name val="Calibri"/>
      <family val="2"/>
      <scheme val="minor"/>
    </font>
    <font>
      <b/>
      <sz val="10"/>
      <color theme="0"/>
      <name val="Soberana Sans"/>
      <family val="3"/>
    </font>
    <font>
      <sz val="10"/>
      <color theme="0"/>
      <name val="Soberana Sans"/>
      <family val="3"/>
    </font>
    <font>
      <b/>
      <sz val="10"/>
      <name val="Soberana Sans"/>
      <family val="3"/>
    </font>
    <font>
      <sz val="10"/>
      <name val="Soberana Sans"/>
      <family val="3"/>
    </font>
    <font>
      <sz val="10"/>
      <color theme="1"/>
      <name val="Soberana Sans"/>
      <family val="3"/>
    </font>
    <font>
      <b/>
      <sz val="10"/>
      <color theme="1"/>
      <name val="Soberana Sans"/>
      <family val="3"/>
    </font>
    <font>
      <b/>
      <i/>
      <sz val="10"/>
      <name val="Soberana Sans"/>
      <family val="3"/>
    </font>
    <font>
      <sz val="10"/>
      <color theme="0" tint="-0.249977111117893"/>
      <name val="Soberana Sans"/>
      <family val="3"/>
    </font>
    <font>
      <b/>
      <sz val="12"/>
      <name val="Soberana Sans"/>
      <family val="3"/>
    </font>
    <font>
      <b/>
      <sz val="9"/>
      <name val="Soberana Sans"/>
      <family val="3"/>
    </font>
    <font>
      <b/>
      <sz val="9"/>
      <color theme="1"/>
      <name val="Soberana Sans"/>
      <family val="3"/>
    </font>
    <font>
      <sz val="9"/>
      <color theme="1"/>
      <name val="Soberana Sans"/>
      <family val="3"/>
    </font>
    <font>
      <sz val="9"/>
      <name val="Soberana Sans"/>
      <family val="3"/>
    </font>
    <font>
      <b/>
      <sz val="9"/>
      <color theme="0"/>
      <name val="Soberana Sans"/>
      <family val="3"/>
    </font>
    <font>
      <b/>
      <sz val="11"/>
      <color theme="1"/>
      <name val="Soberana Sans"/>
      <family val="3"/>
    </font>
    <font>
      <sz val="9"/>
      <color rgb="FF006100"/>
      <name val="Soberana Sans"/>
      <family val="3"/>
    </font>
    <font>
      <sz val="9"/>
      <color theme="0"/>
      <name val="Soberana Sans"/>
      <family val="3"/>
    </font>
    <font>
      <sz val="9"/>
      <color indexed="8"/>
      <name val="Soberana Sans"/>
      <family val="3"/>
    </font>
    <font>
      <sz val="9"/>
      <color rgb="FF002060"/>
      <name val="Soberana Sans"/>
      <family val="3"/>
    </font>
    <font>
      <b/>
      <sz val="9"/>
      <color rgb="FF002060"/>
      <name val="Soberana Sans"/>
      <family val="3"/>
    </font>
    <font>
      <sz val="9"/>
      <color theme="0" tint="-0.249977111117893"/>
      <name val="Soberana Sans"/>
      <family val="3"/>
    </font>
    <font>
      <sz val="9"/>
      <color rgb="FFC00000"/>
      <name val="Soberana Sans"/>
      <family val="3"/>
    </font>
    <font>
      <sz val="9"/>
      <color rgb="FFFF0000"/>
      <name val="Soberana Sans"/>
      <family val="3"/>
    </font>
    <font>
      <u/>
      <sz val="10"/>
      <name val="Soberana Sans"/>
      <family val="3"/>
    </font>
    <font>
      <b/>
      <sz val="9"/>
      <color indexed="81"/>
      <name val="Tahoma"/>
      <family val="2"/>
    </font>
    <font>
      <sz val="9"/>
      <color indexed="81"/>
      <name val="Tahoma"/>
      <family val="2"/>
    </font>
    <font>
      <sz val="12"/>
      <name val="Soberana Sans"/>
      <family val="3"/>
    </font>
  </fonts>
  <fills count="25">
    <fill>
      <patternFill patternType="none"/>
    </fill>
    <fill>
      <patternFill patternType="gray125"/>
    </fill>
    <fill>
      <patternFill patternType="solid">
        <fgColor rgb="FFC6EFCE"/>
      </patternFill>
    </fill>
    <fill>
      <patternFill patternType="solid">
        <fgColor theme="0" tint="-0.24997711111789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rgb="FF00B050"/>
        <bgColor indexed="64"/>
      </patternFill>
    </fill>
    <fill>
      <patternFill patternType="solid">
        <fgColor theme="6" tint="0.59999389629810485"/>
        <bgColor indexed="64"/>
      </patternFill>
    </fill>
    <fill>
      <patternFill patternType="solid">
        <fgColor theme="0"/>
        <bgColor indexed="64"/>
      </patternFill>
    </fill>
    <fill>
      <patternFill patternType="solid">
        <fgColor theme="4" tint="-0.249977111117893"/>
        <bgColor indexed="64"/>
      </patternFill>
    </fill>
    <fill>
      <patternFill patternType="solid">
        <fgColor theme="4" tint="-0.249977111117893"/>
        <bgColor auto="1"/>
      </patternFill>
    </fill>
    <fill>
      <patternFill patternType="solid">
        <fgColor rgb="FFFF0000"/>
        <bgColor indexed="64"/>
      </patternFill>
    </fill>
    <fill>
      <patternFill patternType="solid">
        <fgColor rgb="FFFFFF00"/>
        <bgColor indexed="64"/>
      </patternFill>
    </fill>
    <fill>
      <patternFill patternType="solid">
        <fgColor rgb="FF00FF00"/>
        <bgColor indexed="64"/>
      </patternFill>
    </fill>
    <fill>
      <patternFill patternType="solid">
        <fgColor rgb="FF92D050"/>
        <bgColor indexed="64"/>
      </patternFill>
    </fill>
    <fill>
      <patternFill patternType="solid">
        <fgColor theme="4"/>
        <bgColor indexed="64"/>
      </patternFill>
    </fill>
    <fill>
      <patternFill patternType="solid">
        <fgColor theme="4" tint="0.39997558519241921"/>
        <bgColor indexed="64"/>
      </patternFill>
    </fill>
    <fill>
      <patternFill patternType="solid">
        <fgColor theme="5" tint="0.79998168889431442"/>
        <bgColor indexed="64"/>
      </patternFill>
    </fill>
    <fill>
      <patternFill patternType="solid">
        <fgColor indexed="43"/>
        <bgColor indexed="9"/>
      </patternFill>
    </fill>
    <fill>
      <patternFill patternType="solid">
        <fgColor rgb="FF002060"/>
        <bgColor indexed="64"/>
      </patternFill>
    </fill>
    <fill>
      <patternFill patternType="solid">
        <fgColor theme="9" tint="-0.249977111117893"/>
        <bgColor indexed="64"/>
      </patternFill>
    </fill>
  </fills>
  <borders count="42">
    <border>
      <left/>
      <right/>
      <top/>
      <bottom/>
      <diagonal/>
    </border>
    <border>
      <left/>
      <right/>
      <top style="thin">
        <color rgb="FF00B0F0"/>
      </top>
      <bottom style="thin">
        <color rgb="FF0070C0"/>
      </bottom>
      <diagonal/>
    </border>
    <border>
      <left style="thin">
        <color rgb="FF0070C0"/>
      </left>
      <right style="thin">
        <color rgb="FF0070C0"/>
      </right>
      <top style="thin">
        <color rgb="FF0070C0"/>
      </top>
      <bottom style="thin">
        <color rgb="FF0070C0"/>
      </bottom>
      <diagonal/>
    </border>
    <border>
      <left style="thin">
        <color rgb="FF0070C0"/>
      </left>
      <right/>
      <top style="thin">
        <color rgb="FF0070C0"/>
      </top>
      <bottom style="thin">
        <color rgb="FF0070C0"/>
      </bottom>
      <diagonal/>
    </border>
    <border>
      <left/>
      <right style="thin">
        <color rgb="FF0070C0"/>
      </right>
      <top style="thin">
        <color rgb="FF0070C0"/>
      </top>
      <bottom style="thin">
        <color rgb="FF0070C0"/>
      </bottom>
      <diagonal/>
    </border>
    <border>
      <left/>
      <right/>
      <top style="thin">
        <color rgb="FF0070C0"/>
      </top>
      <bottom style="thin">
        <color rgb="FF0070C0"/>
      </bottom>
      <diagonal/>
    </border>
    <border>
      <left style="thin">
        <color rgb="FFFF0066"/>
      </left>
      <right style="thin">
        <color rgb="FFFF0066"/>
      </right>
      <top style="thin">
        <color rgb="FFFF0066"/>
      </top>
      <bottom style="thin">
        <color rgb="FFFF0066"/>
      </bottom>
      <diagonal/>
    </border>
    <border>
      <left style="thin">
        <color rgb="FFFF0066"/>
      </left>
      <right/>
      <top style="thin">
        <color rgb="FFFF0066"/>
      </top>
      <bottom style="thin">
        <color rgb="FFFF0066"/>
      </bottom>
      <diagonal/>
    </border>
    <border>
      <left/>
      <right/>
      <top style="thin">
        <color rgb="FFFF0066"/>
      </top>
      <bottom style="thin">
        <color rgb="FFFF0066"/>
      </bottom>
      <diagonal/>
    </border>
    <border>
      <left/>
      <right style="thin">
        <color rgb="FFFF0066"/>
      </right>
      <top style="thin">
        <color rgb="FFFF0066"/>
      </top>
      <bottom style="thin">
        <color rgb="FFFF0066"/>
      </bottom>
      <diagonal/>
    </border>
    <border>
      <left style="thin">
        <color rgb="FF004600"/>
      </left>
      <right style="thin">
        <color rgb="FF004600"/>
      </right>
      <top style="thin">
        <color rgb="FF004600"/>
      </top>
      <bottom style="thin">
        <color rgb="FF004600"/>
      </bottom>
      <diagonal/>
    </border>
    <border>
      <left style="thin">
        <color rgb="FF004600"/>
      </left>
      <right/>
      <top style="thin">
        <color rgb="FF004600"/>
      </top>
      <bottom style="thin">
        <color rgb="FF004600"/>
      </bottom>
      <diagonal/>
    </border>
    <border>
      <left/>
      <right/>
      <top/>
      <bottom style="thin">
        <color rgb="FF0070C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0070C0"/>
      </left>
      <right/>
      <top style="thin">
        <color rgb="FF0070C0"/>
      </top>
      <bottom/>
      <diagonal/>
    </border>
    <border>
      <left/>
      <right/>
      <top style="thin">
        <color rgb="FF0070C0"/>
      </top>
      <bottom/>
      <diagonal/>
    </border>
    <border>
      <left/>
      <right style="thin">
        <color rgb="FF0070C0"/>
      </right>
      <top style="thin">
        <color rgb="FF0070C0"/>
      </top>
      <bottom/>
      <diagonal/>
    </border>
    <border>
      <left style="thin">
        <color rgb="FF0070C0"/>
      </left>
      <right/>
      <top/>
      <bottom/>
      <diagonal/>
    </border>
    <border>
      <left/>
      <right style="thin">
        <color rgb="FF0070C0"/>
      </right>
      <top/>
      <bottom/>
      <diagonal/>
    </border>
    <border>
      <left style="thin">
        <color rgb="FF0070C0"/>
      </left>
      <right/>
      <top/>
      <bottom style="thin">
        <color rgb="FF0070C0"/>
      </bottom>
      <diagonal/>
    </border>
    <border>
      <left/>
      <right style="thin">
        <color rgb="FF0070C0"/>
      </right>
      <top/>
      <bottom style="thin">
        <color rgb="FF0070C0"/>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thin">
        <color rgb="FF0070C0"/>
      </left>
      <right style="thin">
        <color rgb="FF0070C0"/>
      </right>
      <top/>
      <bottom style="thin">
        <color rgb="FF0070C0"/>
      </bottom>
      <diagonal/>
    </border>
    <border>
      <left/>
      <right/>
      <top style="thin">
        <color rgb="FF0070C0"/>
      </top>
      <bottom style="medium">
        <color indexed="64"/>
      </bottom>
      <diagonal/>
    </border>
    <border>
      <left/>
      <right/>
      <top style="medium">
        <color indexed="64"/>
      </top>
      <bottom style="medium">
        <color indexed="64"/>
      </bottom>
      <diagonal/>
    </border>
    <border>
      <left style="thin">
        <color rgb="FFFF0066"/>
      </left>
      <right style="thin">
        <color rgb="FFFF0066"/>
      </right>
      <top style="thin">
        <color rgb="FFFF0066"/>
      </top>
      <bottom/>
      <diagonal/>
    </border>
    <border>
      <left/>
      <right style="thin">
        <color indexed="64"/>
      </right>
      <top/>
      <bottom/>
      <diagonal/>
    </border>
    <border>
      <left style="thin">
        <color indexed="64"/>
      </left>
      <right/>
      <top/>
      <bottom/>
      <diagonal/>
    </border>
    <border>
      <left style="thin">
        <color indexed="64"/>
      </left>
      <right style="thin">
        <color indexed="64"/>
      </right>
      <top/>
      <bottom style="thin">
        <color indexed="64"/>
      </bottom>
      <diagonal/>
    </border>
    <border>
      <left/>
      <right/>
      <top style="thin">
        <color indexed="62"/>
      </top>
      <bottom style="double">
        <color indexed="62"/>
      </bottom>
      <diagonal/>
    </border>
    <border>
      <left style="thin">
        <color rgb="FFFF0066"/>
      </left>
      <right style="thin">
        <color rgb="FF0070C0"/>
      </right>
      <top style="thin">
        <color rgb="FFFF0066"/>
      </top>
      <bottom style="thin">
        <color rgb="FFFF0066"/>
      </bottom>
      <diagonal/>
    </border>
    <border>
      <left style="thin">
        <color rgb="FF0070C0"/>
      </left>
      <right style="thin">
        <color rgb="FFFF0066"/>
      </right>
      <top style="thin">
        <color rgb="FFFF0066"/>
      </top>
      <bottom style="thin">
        <color rgb="FFFF0066"/>
      </bottom>
      <diagonal/>
    </border>
    <border>
      <left style="thin">
        <color indexed="64"/>
      </left>
      <right style="thin">
        <color indexed="64"/>
      </right>
      <top style="thin">
        <color theme="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theme="4"/>
      </left>
      <right style="thin">
        <color theme="4"/>
      </right>
      <top style="thin">
        <color theme="4"/>
      </top>
      <bottom style="thin">
        <color theme="4"/>
      </bottom>
      <diagonal/>
    </border>
    <border>
      <left style="thin">
        <color theme="4"/>
      </left>
      <right/>
      <top style="thin">
        <color theme="4"/>
      </top>
      <bottom/>
      <diagonal/>
    </border>
    <border>
      <left style="thin">
        <color rgb="FF0070C0"/>
      </left>
      <right style="thin">
        <color rgb="FF0070C0"/>
      </right>
      <top style="thin">
        <color rgb="FF0070C0"/>
      </top>
      <bottom/>
      <diagonal/>
    </border>
  </borders>
  <cellStyleXfs count="363">
    <xf numFmtId="0" fontId="0" fillId="0" borderId="0"/>
    <xf numFmtId="0" fontId="2" fillId="2" borderId="0" applyNumberFormat="0" applyBorder="0" applyAlignment="0" applyProtection="0"/>
    <xf numFmtId="0" fontId="3" fillId="0" borderId="0"/>
    <xf numFmtId="0" fontId="6" fillId="0" borderId="0"/>
    <xf numFmtId="0" fontId="5" fillId="0" borderId="0"/>
    <xf numFmtId="0" fontId="5" fillId="0" borderId="0"/>
    <xf numFmtId="0" fontId="1" fillId="0" borderId="0"/>
    <xf numFmtId="0" fontId="5" fillId="0" borderId="0"/>
    <xf numFmtId="0" fontId="1" fillId="0" borderId="0"/>
    <xf numFmtId="0" fontId="7" fillId="0" borderId="0"/>
    <xf numFmtId="0" fontId="1" fillId="0" borderId="0"/>
    <xf numFmtId="0" fontId="7" fillId="0" borderId="0"/>
    <xf numFmtId="0" fontId="1" fillId="0" borderId="0"/>
    <xf numFmtId="0" fontId="1" fillId="0" borderId="0"/>
    <xf numFmtId="0" fontId="6" fillId="0" borderId="0"/>
    <xf numFmtId="0" fontId="7" fillId="0" borderId="0"/>
    <xf numFmtId="0" fontId="1" fillId="0" borderId="0"/>
    <xf numFmtId="0" fontId="7" fillId="0" borderId="0"/>
    <xf numFmtId="0" fontId="1" fillId="0" borderId="0"/>
    <xf numFmtId="0" fontId="6" fillId="0" borderId="0"/>
    <xf numFmtId="0" fontId="7" fillId="0" borderId="0"/>
    <xf numFmtId="0" fontId="7" fillId="0" borderId="0"/>
    <xf numFmtId="0" fontId="6" fillId="0" borderId="0"/>
    <xf numFmtId="0" fontId="9" fillId="0" borderId="0"/>
    <xf numFmtId="0" fontId="9"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0" fillId="0" borderId="0"/>
    <xf numFmtId="0" fontId="11" fillId="0" borderId="0"/>
    <xf numFmtId="0" fontId="11" fillId="0" borderId="0"/>
    <xf numFmtId="166" fontId="11" fillId="0" borderId="0"/>
    <xf numFmtId="0" fontId="13" fillId="0" borderId="0">
      <alignment horizontal="center"/>
    </xf>
    <xf numFmtId="0" fontId="13" fillId="0" borderId="0">
      <alignment horizontal="center" textRotation="90"/>
    </xf>
    <xf numFmtId="0" fontId="14" fillId="0" borderId="0"/>
    <xf numFmtId="0" fontId="15" fillId="0" borderId="0"/>
    <xf numFmtId="166" fontId="11" fillId="0" borderId="0"/>
    <xf numFmtId="0" fontId="16" fillId="22"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2" fillId="0" borderId="0"/>
    <xf numFmtId="0" fontId="12"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9" fontId="11" fillId="0" borderId="0"/>
    <xf numFmtId="0" fontId="17" fillId="0" borderId="0"/>
    <xf numFmtId="167" fontId="17" fillId="0" borderId="0"/>
    <xf numFmtId="0" fontId="18" fillId="0" borderId="33"/>
    <xf numFmtId="0" fontId="19" fillId="0" borderId="0"/>
    <xf numFmtId="0" fontId="1" fillId="0" borderId="0"/>
  </cellStyleXfs>
  <cellXfs count="233">
    <xf numFmtId="0" fontId="0" fillId="0" borderId="0" xfId="0"/>
    <xf numFmtId="0" fontId="20" fillId="19" borderId="36" xfId="0" applyFont="1" applyFill="1" applyBorder="1" applyAlignment="1">
      <alignment horizontal="center" vertical="center" wrapText="1"/>
    </xf>
    <xf numFmtId="0" fontId="20" fillId="7" borderId="36" xfId="0" applyFont="1" applyFill="1" applyBorder="1" applyAlignment="1">
      <alignment horizontal="center" vertical="center" wrapText="1"/>
    </xf>
    <xf numFmtId="0" fontId="20" fillId="5" borderId="36" xfId="0" applyFont="1" applyFill="1" applyBorder="1" applyAlignment="1">
      <alignment horizontal="center" vertical="center" wrapText="1"/>
    </xf>
    <xf numFmtId="0" fontId="20" fillId="20" borderId="36" xfId="0" applyFont="1" applyFill="1" applyBorder="1" applyAlignment="1">
      <alignment horizontal="center" vertical="center" wrapText="1"/>
    </xf>
    <xf numFmtId="0" fontId="20" fillId="20" borderId="37" xfId="0" applyFont="1" applyFill="1" applyBorder="1" applyAlignment="1">
      <alignment horizontal="center" vertical="center" wrapText="1"/>
    </xf>
    <xf numFmtId="0" fontId="20" fillId="20" borderId="38" xfId="0" applyFont="1" applyFill="1" applyBorder="1" applyAlignment="1">
      <alignment horizontal="center" vertical="center" wrapText="1"/>
    </xf>
    <xf numFmtId="0" fontId="20" fillId="23" borderId="38" xfId="0" applyFont="1" applyFill="1" applyBorder="1" applyAlignment="1">
      <alignment horizontal="center" vertical="center" wrapText="1"/>
    </xf>
    <xf numFmtId="0" fontId="20" fillId="10" borderId="37" xfId="0" applyFont="1" applyFill="1" applyBorder="1" applyAlignment="1">
      <alignment horizontal="center" vertical="center" wrapText="1"/>
    </xf>
    <xf numFmtId="0" fontId="20" fillId="24" borderId="36" xfId="0" applyFont="1" applyFill="1" applyBorder="1" applyAlignment="1">
      <alignment horizontal="center" vertical="center" wrapText="1"/>
    </xf>
    <xf numFmtId="0" fontId="20" fillId="10" borderId="36" xfId="0" applyFont="1" applyFill="1" applyBorder="1" applyAlignment="1">
      <alignment horizontal="center" vertical="center" wrapText="1"/>
    </xf>
    <xf numFmtId="1" fontId="22" fillId="0" borderId="13" xfId="0" applyNumberFormat="1" applyFont="1" applyFill="1" applyBorder="1" applyAlignment="1">
      <alignment horizontal="center" vertical="center" wrapText="1"/>
    </xf>
    <xf numFmtId="0" fontId="22" fillId="0" borderId="13" xfId="0" applyFont="1" applyFill="1" applyBorder="1" applyAlignment="1">
      <alignment horizontal="center" vertical="center" wrapText="1"/>
    </xf>
    <xf numFmtId="0" fontId="8" fillId="0" borderId="13" xfId="0" applyFont="1" applyFill="1" applyBorder="1" applyAlignment="1">
      <alignment horizontal="center" vertical="center" wrapText="1"/>
    </xf>
    <xf numFmtId="22" fontId="22" fillId="0" borderId="13" xfId="0" applyNumberFormat="1" applyFont="1" applyFill="1" applyBorder="1" applyAlignment="1">
      <alignment horizontal="right" vertical="center" wrapText="1"/>
    </xf>
    <xf numFmtId="168" fontId="22" fillId="0" borderId="39" xfId="0" applyNumberFormat="1" applyFont="1" applyFill="1" applyBorder="1" applyAlignment="1">
      <alignment horizontal="right" vertical="center" wrapText="1"/>
    </xf>
    <xf numFmtId="21" fontId="22" fillId="0" borderId="13" xfId="0" applyNumberFormat="1" applyFont="1" applyFill="1" applyBorder="1" applyAlignment="1">
      <alignment horizontal="right" vertical="center" wrapText="1"/>
    </xf>
    <xf numFmtId="0" fontId="23" fillId="0" borderId="13" xfId="0" applyNumberFormat="1" applyFont="1" applyFill="1" applyBorder="1" applyAlignment="1" applyProtection="1">
      <alignment horizontal="center" vertical="center" wrapText="1"/>
    </xf>
    <xf numFmtId="0" fontId="22" fillId="0" borderId="13" xfId="0" applyFont="1" applyFill="1" applyBorder="1" applyAlignment="1">
      <alignment vertical="center" wrapText="1"/>
    </xf>
    <xf numFmtId="0" fontId="21" fillId="0" borderId="13" xfId="0" applyFont="1" applyFill="1" applyBorder="1" applyAlignment="1">
      <alignment vertical="center" wrapText="1"/>
    </xf>
    <xf numFmtId="0" fontId="8" fillId="0" borderId="13" xfId="0" applyFont="1" applyFill="1" applyBorder="1" applyAlignment="1">
      <alignment horizontal="center" vertical="center"/>
    </xf>
    <xf numFmtId="22" fontId="22" fillId="0" borderId="13" xfId="0" applyNumberFormat="1" applyFont="1" applyFill="1" applyBorder="1" applyAlignment="1">
      <alignment vertical="center" wrapText="1"/>
    </xf>
    <xf numFmtId="168" fontId="22" fillId="0" borderId="13" xfId="0" applyNumberFormat="1" applyFont="1" applyFill="1" applyBorder="1" applyAlignment="1">
      <alignment horizontal="right" vertical="center" wrapText="1"/>
    </xf>
    <xf numFmtId="0" fontId="24" fillId="0" borderId="13" xfId="0" applyFont="1" applyFill="1" applyBorder="1" applyAlignment="1">
      <alignment vertical="center" wrapText="1"/>
    </xf>
    <xf numFmtId="1" fontId="22" fillId="0" borderId="13" xfId="0" applyNumberFormat="1" applyFont="1" applyFill="1" applyBorder="1" applyAlignment="1">
      <alignment vertical="center" wrapText="1"/>
    </xf>
    <xf numFmtId="0" fontId="21" fillId="0" borderId="13" xfId="0" applyFont="1" applyFill="1" applyBorder="1" applyAlignment="1">
      <alignment horizontal="left" vertical="center" wrapText="1"/>
    </xf>
    <xf numFmtId="0" fontId="22" fillId="0" borderId="39" xfId="0" applyFont="1" applyFill="1" applyBorder="1" applyAlignment="1">
      <alignment vertical="center" wrapText="1"/>
    </xf>
    <xf numFmtId="0" fontId="4" fillId="0" borderId="40" xfId="0" applyFont="1" applyFill="1" applyBorder="1" applyAlignment="1">
      <alignment horizontal="center" vertical="center" wrapText="1"/>
    </xf>
    <xf numFmtId="0" fontId="22" fillId="0" borderId="13" xfId="0" applyFont="1" applyFill="1" applyBorder="1" applyAlignment="1">
      <alignment vertical="top" wrapText="1"/>
    </xf>
    <xf numFmtId="0" fontId="29" fillId="0" borderId="0" xfId="0" applyFont="1"/>
    <xf numFmtId="0" fontId="30" fillId="0" borderId="0" xfId="0" applyFont="1"/>
    <xf numFmtId="0" fontId="29" fillId="20" borderId="13" xfId="0" applyFont="1" applyFill="1" applyBorder="1"/>
    <xf numFmtId="0" fontId="29" fillId="11" borderId="13" xfId="0" applyFont="1" applyFill="1" applyBorder="1"/>
    <xf numFmtId="0" fontId="27" fillId="0" borderId="0" xfId="0" applyFont="1"/>
    <xf numFmtId="0" fontId="27" fillId="0" borderId="0" xfId="0" applyFont="1" applyBorder="1"/>
    <xf numFmtId="0" fontId="26" fillId="0" borderId="0" xfId="0" applyFont="1"/>
    <xf numFmtId="0" fontId="26" fillId="0" borderId="0" xfId="0" applyFont="1" applyFill="1" applyBorder="1" applyAlignment="1">
      <alignment horizontal="center"/>
    </xf>
    <xf numFmtId="0" fontId="26" fillId="0" borderId="0" xfId="0" applyFont="1" applyFill="1" applyBorder="1"/>
    <xf numFmtId="0" fontId="29" fillId="0" borderId="0" xfId="0" applyFont="1" applyFill="1" applyBorder="1"/>
    <xf numFmtId="0" fontId="29" fillId="0" borderId="0" xfId="0" applyFont="1" applyBorder="1" applyAlignment="1" applyProtection="1">
      <alignment horizontal="left" vertical="top" wrapText="1"/>
      <protection locked="0"/>
    </xf>
    <xf numFmtId="0" fontId="29" fillId="0" borderId="13" xfId="0" applyFont="1" applyBorder="1" applyAlignment="1" applyProtection="1">
      <alignment vertical="top"/>
      <protection locked="0"/>
    </xf>
    <xf numFmtId="0" fontId="25" fillId="0" borderId="0" xfId="0" applyFont="1" applyFill="1" applyBorder="1" applyAlignment="1"/>
    <xf numFmtId="0" fontId="29" fillId="9" borderId="13" xfId="0" applyFont="1" applyFill="1" applyBorder="1" applyAlignment="1">
      <alignment horizontal="center" vertical="top"/>
    </xf>
    <xf numFmtId="0" fontId="29" fillId="9" borderId="16" xfId="0" applyFont="1" applyFill="1" applyBorder="1" applyAlignment="1">
      <alignment horizontal="center" vertical="top"/>
    </xf>
    <xf numFmtId="0" fontId="29" fillId="3" borderId="0" xfId="2" applyFont="1" applyFill="1"/>
    <xf numFmtId="0" fontId="26" fillId="0" borderId="0" xfId="2" applyFont="1" applyFill="1"/>
    <xf numFmtId="0" fontId="29" fillId="0" borderId="0" xfId="2" applyFont="1" applyFill="1"/>
    <xf numFmtId="0" fontId="29" fillId="0" borderId="0" xfId="2" applyFont="1"/>
    <xf numFmtId="0" fontId="26" fillId="3" borderId="0" xfId="2" applyFont="1" applyFill="1" applyAlignment="1">
      <alignment horizontal="center"/>
    </xf>
    <xf numFmtId="0" fontId="29" fillId="3" borderId="0" xfId="2" applyFont="1" applyFill="1" applyAlignment="1">
      <alignment wrapText="1"/>
    </xf>
    <xf numFmtId="0" fontId="29" fillId="0" borderId="0" xfId="2" applyFont="1" applyAlignment="1">
      <alignment wrapText="1"/>
    </xf>
    <xf numFmtId="0" fontId="29" fillId="0" borderId="0" xfId="0" applyFont="1" applyProtection="1"/>
    <xf numFmtId="0" fontId="29" fillId="3" borderId="0" xfId="2" applyFont="1" applyFill="1" applyAlignment="1" applyProtection="1">
      <alignment horizontal="center"/>
      <protection locked="0"/>
    </xf>
    <xf numFmtId="0" fontId="32" fillId="3" borderId="0" xfId="2" applyFont="1" applyFill="1" applyAlignment="1" applyProtection="1">
      <alignment horizontal="center"/>
      <protection locked="0"/>
    </xf>
    <xf numFmtId="0" fontId="29" fillId="3" borderId="0" xfId="2" applyFont="1" applyFill="1" applyProtection="1">
      <protection locked="0"/>
    </xf>
    <xf numFmtId="0" fontId="29" fillId="0" borderId="0" xfId="2" applyFont="1" applyProtection="1">
      <protection locked="0"/>
    </xf>
    <xf numFmtId="0" fontId="33" fillId="12" borderId="0" xfId="2" applyFont="1" applyFill="1" applyBorder="1"/>
    <xf numFmtId="0" fontId="28" fillId="12" borderId="0" xfId="2" applyFont="1" applyFill="1" applyBorder="1"/>
    <xf numFmtId="0" fontId="28" fillId="12" borderId="0" xfId="2" applyFont="1" applyFill="1" applyBorder="1" applyProtection="1">
      <protection locked="0"/>
    </xf>
    <xf numFmtId="0" fontId="34" fillId="0" borderId="13" xfId="0" applyFont="1" applyFill="1" applyBorder="1" applyAlignment="1" applyProtection="1">
      <alignment horizontal="center" vertical="center"/>
    </xf>
    <xf numFmtId="22" fontId="34" fillId="0" borderId="13" xfId="0" applyNumberFormat="1" applyFont="1" applyFill="1" applyBorder="1" applyAlignment="1" applyProtection="1">
      <alignment horizontal="left"/>
      <protection hidden="1"/>
    </xf>
    <xf numFmtId="164" fontId="34" fillId="0" borderId="13" xfId="0" applyNumberFormat="1" applyFont="1" applyFill="1" applyBorder="1" applyAlignment="1" applyProtection="1">
      <alignment horizontal="center" vertical="top"/>
    </xf>
    <xf numFmtId="0" fontId="29" fillId="0" borderId="0" xfId="2" applyFont="1" applyProtection="1"/>
    <xf numFmtId="0" fontId="34" fillId="0" borderId="13" xfId="2" applyFont="1" applyFill="1" applyBorder="1" applyProtection="1"/>
    <xf numFmtId="22" fontId="35" fillId="0" borderId="13" xfId="0" applyNumberFormat="1" applyFont="1" applyFill="1" applyBorder="1" applyAlignment="1" applyProtection="1">
      <alignment horizontal="left"/>
      <protection hidden="1"/>
    </xf>
    <xf numFmtId="0" fontId="35" fillId="0" borderId="13" xfId="0" applyFont="1" applyFill="1" applyBorder="1" applyAlignment="1" applyProtection="1">
      <alignment horizontal="center" vertical="center"/>
      <protection locked="0"/>
    </xf>
    <xf numFmtId="22" fontId="36" fillId="0" borderId="13" xfId="0" applyNumberFormat="1" applyFont="1" applyFill="1" applyBorder="1" applyAlignment="1" applyProtection="1">
      <alignment horizontal="left" vertical="top"/>
      <protection locked="0"/>
    </xf>
    <xf numFmtId="0" fontId="37" fillId="0" borderId="13" xfId="2" applyFont="1" applyFill="1" applyBorder="1" applyAlignment="1" applyProtection="1">
      <alignment wrapText="1"/>
      <protection locked="0"/>
    </xf>
    <xf numFmtId="22" fontId="36" fillId="0" borderId="13" xfId="0" applyNumberFormat="1" applyFont="1" applyFill="1" applyBorder="1" applyAlignment="1" applyProtection="1">
      <alignment horizontal="left"/>
      <protection locked="0"/>
    </xf>
    <xf numFmtId="0" fontId="29" fillId="3" borderId="0" xfId="2" applyFont="1" applyFill="1" applyProtection="1"/>
    <xf numFmtId="0" fontId="35" fillId="0" borderId="32" xfId="0" applyFont="1" applyFill="1" applyBorder="1" applyAlignment="1" applyProtection="1">
      <alignment horizontal="center" vertical="center"/>
    </xf>
    <xf numFmtId="22" fontId="36" fillId="0" borderId="0" xfId="0" applyNumberFormat="1" applyFont="1" applyFill="1" applyBorder="1" applyProtection="1"/>
    <xf numFmtId="164" fontId="36" fillId="0" borderId="0" xfId="0" applyNumberFormat="1" applyFont="1" applyFill="1" applyBorder="1" applyProtection="1"/>
    <xf numFmtId="0" fontId="35" fillId="0" borderId="13" xfId="0" applyFont="1" applyFill="1" applyBorder="1" applyAlignment="1" applyProtection="1">
      <alignment horizontal="center" vertical="center"/>
    </xf>
    <xf numFmtId="0" fontId="32" fillId="3" borderId="0" xfId="2" applyFont="1" applyFill="1"/>
    <xf numFmtId="0" fontId="39" fillId="12" borderId="0" xfId="2" applyFont="1" applyFill="1" applyBorder="1" applyAlignment="1" applyProtection="1">
      <protection hidden="1"/>
    </xf>
    <xf numFmtId="0" fontId="39" fillId="12" borderId="0" xfId="2" applyFont="1" applyFill="1" applyBorder="1" applyAlignment="1"/>
    <xf numFmtId="0" fontId="38" fillId="14" borderId="13" xfId="0" applyFont="1" applyFill="1" applyBorder="1" applyAlignment="1">
      <alignment horizontal="center" vertical="center" wrapText="1"/>
    </xf>
    <xf numFmtId="0" fontId="34" fillId="12" borderId="13" xfId="0" applyFont="1" applyFill="1" applyBorder="1" applyAlignment="1" applyProtection="1">
      <alignment horizontal="left" vertical="top"/>
      <protection locked="0"/>
    </xf>
    <xf numFmtId="0" fontId="40" fillId="2" borderId="13" xfId="1" applyFont="1" applyBorder="1" applyAlignment="1" applyProtection="1">
      <alignment vertical="center" wrapText="1"/>
      <protection locked="0"/>
    </xf>
    <xf numFmtId="0" fontId="38" fillId="12" borderId="13" xfId="0" applyFont="1" applyFill="1" applyBorder="1" applyAlignment="1" applyProtection="1">
      <alignment horizontal="center" vertical="center" wrapText="1"/>
      <protection locked="0"/>
    </xf>
    <xf numFmtId="0" fontId="36" fillId="0" borderId="13" xfId="0" applyFont="1" applyFill="1" applyBorder="1" applyAlignment="1" applyProtection="1">
      <alignment horizontal="center" vertical="center"/>
      <protection locked="0"/>
    </xf>
    <xf numFmtId="0" fontId="37" fillId="15" borderId="0" xfId="0" applyFont="1" applyFill="1"/>
    <xf numFmtId="0" fontId="37" fillId="16" borderId="0" xfId="0" applyFont="1" applyFill="1"/>
    <xf numFmtId="0" fontId="36" fillId="0" borderId="13" xfId="2" applyFont="1" applyBorder="1" applyAlignment="1" applyProtection="1">
      <alignment horizontal="center" vertical="center" wrapText="1"/>
      <protection locked="0"/>
    </xf>
    <xf numFmtId="0" fontId="37" fillId="17" borderId="0" xfId="0" applyFont="1" applyFill="1"/>
    <xf numFmtId="0" fontId="36" fillId="0" borderId="0" xfId="0" applyFont="1"/>
    <xf numFmtId="0" fontId="38" fillId="13" borderId="13" xfId="0" applyFont="1" applyFill="1" applyBorder="1" applyAlignment="1">
      <alignment horizontal="center" vertical="center" wrapText="1"/>
    </xf>
    <xf numFmtId="0" fontId="36" fillId="0" borderId="13" xfId="0" applyFont="1" applyBorder="1" applyAlignment="1" applyProtection="1">
      <alignment vertical="center" wrapText="1"/>
      <protection locked="0"/>
    </xf>
    <xf numFmtId="0" fontId="37" fillId="0" borderId="13" xfId="0" applyFont="1" applyBorder="1" applyAlignment="1" applyProtection="1">
      <alignment vertical="center" wrapText="1"/>
      <protection locked="0"/>
    </xf>
    <xf numFmtId="0" fontId="37" fillId="0" borderId="13" xfId="0" applyFont="1" applyFill="1" applyBorder="1" applyAlignment="1" applyProtection="1">
      <alignment vertical="center" wrapText="1"/>
      <protection locked="0"/>
    </xf>
    <xf numFmtId="0" fontId="36" fillId="3" borderId="0" xfId="2" applyFont="1" applyFill="1"/>
    <xf numFmtId="0" fontId="40" fillId="0" borderId="0" xfId="1" applyFont="1" applyFill="1" applyBorder="1" applyAlignment="1" applyProtection="1">
      <alignment vertical="center" wrapText="1"/>
      <protection locked="0"/>
    </xf>
    <xf numFmtId="0" fontId="40" fillId="0" borderId="0" xfId="1" applyFont="1" applyFill="1" applyBorder="1" applyAlignment="1" applyProtection="1">
      <alignment vertical="center" wrapText="1"/>
    </xf>
    <xf numFmtId="0" fontId="37" fillId="0" borderId="0" xfId="2" applyFont="1" applyFill="1" applyBorder="1" applyAlignment="1" applyProtection="1">
      <alignment wrapText="1"/>
    </xf>
    <xf numFmtId="0" fontId="36" fillId="0" borderId="0" xfId="0" applyFont="1" applyFill="1" applyBorder="1" applyAlignment="1" applyProtection="1">
      <alignment horizontal="center" vertical="center"/>
    </xf>
    <xf numFmtId="0" fontId="36" fillId="3" borderId="0" xfId="2" applyFont="1" applyFill="1" applyProtection="1"/>
    <xf numFmtId="0" fontId="36" fillId="0" borderId="0" xfId="2" applyFont="1" applyProtection="1"/>
    <xf numFmtId="0" fontId="36" fillId="0" borderId="0" xfId="2" applyFont="1"/>
    <xf numFmtId="0" fontId="41" fillId="13" borderId="0" xfId="2" applyFont="1" applyFill="1" applyAlignment="1">
      <alignment horizontal="center" vertical="center"/>
    </xf>
    <xf numFmtId="0" fontId="41" fillId="13" borderId="0" xfId="2" applyFont="1" applyFill="1" applyAlignment="1">
      <alignment horizontal="center" vertical="center" wrapText="1" shrinkToFit="1"/>
    </xf>
    <xf numFmtId="0" fontId="37" fillId="0" borderId="13" xfId="2" applyFont="1" applyFill="1" applyBorder="1" applyProtection="1">
      <protection locked="0"/>
    </xf>
    <xf numFmtId="0" fontId="42" fillId="0" borderId="13" xfId="31" applyFont="1" applyFill="1" applyBorder="1" applyAlignment="1" applyProtection="1">
      <alignment wrapText="1"/>
      <protection locked="0"/>
    </xf>
    <xf numFmtId="0" fontId="37" fillId="0" borderId="13" xfId="2" applyFont="1" applyFill="1" applyBorder="1" applyAlignment="1" applyProtection="1">
      <protection locked="0"/>
    </xf>
    <xf numFmtId="0" fontId="36" fillId="0" borderId="13" xfId="2" applyFont="1" applyBorder="1" applyAlignment="1" applyProtection="1">
      <alignment wrapText="1"/>
      <protection locked="0"/>
    </xf>
    <xf numFmtId="0" fontId="36" fillId="0" borderId="13" xfId="0" applyFont="1" applyBorder="1" applyProtection="1">
      <protection locked="0"/>
    </xf>
    <xf numFmtId="0" fontId="34" fillId="7" borderId="2" xfId="2" applyFont="1" applyFill="1" applyBorder="1" applyAlignment="1">
      <alignment vertical="center" wrapText="1"/>
    </xf>
    <xf numFmtId="0" fontId="36" fillId="3" borderId="0" xfId="2" applyFont="1" applyFill="1" applyAlignment="1">
      <alignment wrapText="1"/>
    </xf>
    <xf numFmtId="0" fontId="43" fillId="0" borderId="1" xfId="2" applyFont="1" applyFill="1" applyBorder="1" applyAlignment="1" applyProtection="1">
      <alignment horizontal="left" wrapText="1"/>
    </xf>
    <xf numFmtId="0" fontId="41" fillId="0" borderId="0" xfId="2" applyFont="1" applyFill="1" applyProtection="1"/>
    <xf numFmtId="0" fontId="38" fillId="4" borderId="2" xfId="2" applyFont="1" applyFill="1" applyBorder="1" applyAlignment="1" applyProtection="1">
      <alignment wrapText="1"/>
    </xf>
    <xf numFmtId="0" fontId="41" fillId="4" borderId="2" xfId="2" applyFont="1" applyFill="1" applyBorder="1" applyProtection="1"/>
    <xf numFmtId="0" fontId="41" fillId="4" borderId="0" xfId="2" applyFont="1" applyFill="1" applyBorder="1" applyProtection="1"/>
    <xf numFmtId="0" fontId="41" fillId="3" borderId="0" xfId="2" applyFont="1" applyFill="1" applyAlignment="1">
      <alignment horizontal="center"/>
    </xf>
    <xf numFmtId="0" fontId="37" fillId="0" borderId="2" xfId="0" applyFont="1" applyBorder="1" applyAlignment="1" applyProtection="1">
      <alignment horizontal="left" vertical="center" wrapText="1"/>
      <protection locked="0"/>
    </xf>
    <xf numFmtId="165" fontId="37" fillId="0" borderId="2" xfId="0" applyNumberFormat="1" applyFont="1" applyBorder="1" applyAlignment="1" applyProtection="1">
      <alignment horizontal="left" vertical="center" wrapText="1"/>
      <protection locked="0"/>
    </xf>
    <xf numFmtId="0" fontId="41" fillId="0" borderId="0" xfId="2" applyFont="1" applyFill="1"/>
    <xf numFmtId="0" fontId="34" fillId="6" borderId="3" xfId="2" applyFont="1" applyFill="1" applyBorder="1" applyAlignment="1">
      <alignment vertical="center" wrapText="1"/>
    </xf>
    <xf numFmtId="0" fontId="37" fillId="0" borderId="2" xfId="0" applyFont="1" applyBorder="1" applyAlignment="1" applyProtection="1">
      <alignment horizontal="left" vertical="top" wrapText="1"/>
      <protection locked="0"/>
    </xf>
    <xf numFmtId="0" fontId="35" fillId="3" borderId="0" xfId="2" applyFont="1" applyFill="1" applyAlignment="1">
      <alignment horizontal="left" vertical="center"/>
    </xf>
    <xf numFmtId="0" fontId="36" fillId="3" borderId="0" xfId="2" applyFont="1" applyFill="1" applyAlignment="1">
      <alignment horizontal="left" vertical="center" wrapText="1"/>
    </xf>
    <xf numFmtId="0" fontId="34" fillId="6" borderId="2" xfId="2" applyFont="1" applyFill="1" applyBorder="1" applyAlignment="1">
      <alignment vertical="center" wrapText="1"/>
    </xf>
    <xf numFmtId="0" fontId="45" fillId="3" borderId="0" xfId="2" applyFont="1" applyFill="1"/>
    <xf numFmtId="0" fontId="36" fillId="0" borderId="0" xfId="2" applyFont="1" applyFill="1"/>
    <xf numFmtId="0" fontId="34" fillId="7" borderId="2" xfId="2" applyFont="1" applyFill="1" applyBorder="1" applyAlignment="1">
      <alignment horizontal="left" vertical="center" wrapText="1"/>
    </xf>
    <xf numFmtId="0" fontId="34" fillId="8" borderId="6" xfId="2" applyFont="1" applyFill="1" applyBorder="1" applyAlignment="1">
      <alignment vertical="center" wrapText="1"/>
    </xf>
    <xf numFmtId="0" fontId="35" fillId="3" borderId="0" xfId="2" applyFont="1" applyFill="1" applyAlignment="1"/>
    <xf numFmtId="0" fontId="36" fillId="3" borderId="0" xfId="2" applyFont="1" applyFill="1" applyAlignment="1">
      <alignment horizontal="left"/>
    </xf>
    <xf numFmtId="0" fontId="34" fillId="21" borderId="6" xfId="2" applyFont="1" applyFill="1" applyBorder="1" applyAlignment="1">
      <alignment vertical="center" wrapText="1"/>
    </xf>
    <xf numFmtId="0" fontId="37" fillId="0" borderId="35" xfId="0" applyFont="1" applyBorder="1" applyAlignment="1" applyProtection="1">
      <alignment horizontal="left" vertical="center" wrapText="1"/>
      <protection locked="0"/>
    </xf>
    <xf numFmtId="0" fontId="37" fillId="0" borderId="6" xfId="0" applyFont="1" applyBorder="1" applyAlignment="1" applyProtection="1">
      <alignment horizontal="left" vertical="center" wrapText="1"/>
      <protection locked="0"/>
    </xf>
    <xf numFmtId="0" fontId="37" fillId="0" borderId="34" xfId="0" applyFont="1" applyBorder="1" applyAlignment="1" applyProtection="1">
      <alignment horizontal="left" vertical="center" wrapText="1"/>
      <protection locked="0"/>
    </xf>
    <xf numFmtId="165" fontId="37" fillId="0" borderId="6" xfId="2" applyNumberFormat="1" applyFont="1" applyFill="1" applyBorder="1" applyAlignment="1" applyProtection="1">
      <alignment horizontal="left" vertical="center" wrapText="1"/>
      <protection hidden="1"/>
    </xf>
    <xf numFmtId="0" fontId="34" fillId="21" borderId="29" xfId="2" applyFont="1" applyFill="1" applyBorder="1" applyAlignment="1">
      <alignment vertical="center" wrapText="1"/>
    </xf>
    <xf numFmtId="0" fontId="41" fillId="10" borderId="31" xfId="2" applyFont="1" applyFill="1" applyBorder="1" applyAlignment="1">
      <alignment vertical="center"/>
    </xf>
    <xf numFmtId="0" fontId="37" fillId="10" borderId="0" xfId="2" applyFont="1" applyFill="1" applyBorder="1" applyAlignment="1">
      <alignment horizontal="left" vertical="center"/>
    </xf>
    <xf numFmtId="0" fontId="37" fillId="10" borderId="30" xfId="2" applyFont="1" applyFill="1" applyBorder="1" applyAlignment="1">
      <alignment horizontal="left" vertical="center"/>
    </xf>
    <xf numFmtId="0" fontId="34" fillId="11" borderId="13" xfId="2" applyFont="1" applyFill="1" applyBorder="1" applyAlignment="1">
      <alignment vertical="center" wrapText="1"/>
    </xf>
    <xf numFmtId="165" fontId="37" fillId="0" borderId="13" xfId="2" applyNumberFormat="1" applyFont="1" applyFill="1" applyBorder="1" applyAlignment="1" applyProtection="1">
      <alignment horizontal="left" vertical="center" wrapText="1"/>
      <protection locked="0"/>
    </xf>
    <xf numFmtId="0" fontId="37" fillId="0" borderId="13" xfId="0" applyFont="1" applyBorder="1" applyAlignment="1" applyProtection="1">
      <alignment horizontal="left" vertical="center" wrapText="1"/>
      <protection locked="0"/>
    </xf>
    <xf numFmtId="0" fontId="34" fillId="18" borderId="13" xfId="2" applyFont="1" applyFill="1" applyBorder="1" applyAlignment="1">
      <alignment vertical="center" wrapText="1"/>
    </xf>
    <xf numFmtId="0" fontId="37" fillId="0" borderId="13" xfId="2" applyNumberFormat="1" applyFont="1" applyFill="1" applyBorder="1" applyAlignment="1" applyProtection="1">
      <alignment horizontal="left" vertical="top" wrapText="1"/>
      <protection locked="0"/>
    </xf>
    <xf numFmtId="0" fontId="34" fillId="7" borderId="13" xfId="2" applyFont="1" applyFill="1" applyBorder="1" applyAlignment="1">
      <alignment vertical="center" wrapText="1"/>
    </xf>
    <xf numFmtId="0" fontId="37" fillId="0" borderId="13" xfId="0" applyNumberFormat="1" applyFont="1" applyBorder="1" applyAlignment="1" applyProtection="1">
      <alignment horizontal="left" vertical="center" wrapText="1"/>
      <protection locked="0"/>
    </xf>
    <xf numFmtId="0" fontId="37" fillId="0" borderId="13" xfId="0" applyNumberFormat="1" applyFont="1" applyBorder="1" applyAlignment="1" applyProtection="1">
      <alignment horizontal="left" vertical="top" wrapText="1"/>
      <protection locked="0"/>
    </xf>
    <xf numFmtId="0" fontId="36" fillId="0" borderId="0" xfId="2" applyFont="1" applyAlignment="1">
      <alignment wrapText="1"/>
    </xf>
    <xf numFmtId="0" fontId="41" fillId="14" borderId="13" xfId="0" applyFont="1" applyFill="1" applyBorder="1" applyAlignment="1">
      <alignment horizontal="center" vertical="center" wrapText="1"/>
    </xf>
    <xf numFmtId="0" fontId="29" fillId="0" borderId="13" xfId="0" applyFont="1" applyBorder="1" applyAlignment="1" applyProtection="1">
      <alignment vertical="center"/>
      <protection locked="0"/>
    </xf>
    <xf numFmtId="0" fontId="29" fillId="9" borderId="13" xfId="0" applyFont="1" applyFill="1" applyBorder="1" applyAlignment="1" applyProtection="1">
      <alignment horizontal="center"/>
    </xf>
    <xf numFmtId="0" fontId="27" fillId="6" borderId="25" xfId="2" applyFont="1" applyFill="1" applyBorder="1" applyAlignment="1" applyProtection="1">
      <alignment horizontal="center" vertical="center" wrapText="1"/>
    </xf>
    <xf numFmtId="0" fontId="27" fillId="7" borderId="2" xfId="2" applyFont="1" applyFill="1" applyBorder="1" applyAlignment="1" applyProtection="1">
      <alignment vertical="center" wrapText="1"/>
    </xf>
    <xf numFmtId="0" fontId="28" fillId="12" borderId="26" xfId="2" applyFont="1" applyFill="1" applyBorder="1" applyAlignment="1" applyProtection="1">
      <alignment horizontal="left" vertical="center" wrapText="1"/>
    </xf>
    <xf numFmtId="0" fontId="27" fillId="18" borderId="2" xfId="2" applyFont="1" applyFill="1" applyBorder="1" applyAlignment="1" applyProtection="1">
      <alignment horizontal="left" vertical="center" wrapText="1"/>
    </xf>
    <xf numFmtId="0" fontId="28" fillId="12" borderId="2" xfId="2" applyFont="1" applyFill="1" applyBorder="1" applyAlignment="1" applyProtection="1">
      <alignment horizontal="left" vertical="center" wrapText="1"/>
    </xf>
    <xf numFmtId="0" fontId="27" fillId="6" borderId="3" xfId="2" applyFont="1" applyFill="1" applyBorder="1" applyAlignment="1" applyProtection="1">
      <alignment vertical="center" wrapText="1"/>
    </xf>
    <xf numFmtId="0" fontId="27" fillId="6" borderId="2" xfId="2" applyFont="1" applyFill="1" applyBorder="1" applyAlignment="1" applyProtection="1">
      <alignment vertical="center" wrapText="1"/>
    </xf>
    <xf numFmtId="0" fontId="27" fillId="8" borderId="7" xfId="2" applyFont="1" applyFill="1" applyBorder="1" applyAlignment="1" applyProtection="1">
      <alignment vertical="center" wrapText="1"/>
    </xf>
    <xf numFmtId="0" fontId="27" fillId="21" borderId="7" xfId="2" applyFont="1" applyFill="1" applyBorder="1" applyAlignment="1" applyProtection="1">
      <alignment vertical="center" wrapText="1"/>
    </xf>
    <xf numFmtId="0" fontId="28" fillId="12" borderId="18" xfId="2" applyFont="1" applyFill="1" applyBorder="1" applyAlignment="1" applyProtection="1">
      <alignment horizontal="left" vertical="center" wrapText="1"/>
    </xf>
    <xf numFmtId="0" fontId="27" fillId="18" borderId="11" xfId="2" applyFont="1" applyFill="1" applyBorder="1" applyAlignment="1" applyProtection="1">
      <alignment vertical="center" wrapText="1"/>
    </xf>
    <xf numFmtId="0" fontId="27" fillId="18" borderId="18" xfId="2" applyFont="1" applyFill="1" applyBorder="1" applyAlignment="1" applyProtection="1">
      <alignment horizontal="left" vertical="center" wrapText="1"/>
    </xf>
    <xf numFmtId="0" fontId="27" fillId="18" borderId="13" xfId="2" applyFont="1" applyFill="1" applyBorder="1" applyAlignment="1" applyProtection="1">
      <alignment vertical="center" wrapText="1"/>
    </xf>
    <xf numFmtId="0" fontId="27" fillId="18" borderId="10" xfId="2" applyFont="1" applyFill="1" applyBorder="1" applyAlignment="1" applyProtection="1">
      <alignment vertical="center" wrapText="1"/>
    </xf>
    <xf numFmtId="0" fontId="27" fillId="7" borderId="13" xfId="2" applyFont="1" applyFill="1" applyBorder="1" applyAlignment="1" applyProtection="1">
      <alignment vertical="center" wrapText="1"/>
    </xf>
    <xf numFmtId="0" fontId="31" fillId="12" borderId="18" xfId="2" applyFont="1" applyFill="1" applyBorder="1" applyAlignment="1" applyProtection="1">
      <alignment horizontal="left" vertical="center" wrapText="1"/>
    </xf>
    <xf numFmtId="0" fontId="31" fillId="12" borderId="2" xfId="2" applyFont="1" applyFill="1" applyBorder="1" applyAlignment="1" applyProtection="1">
      <alignment horizontal="left" vertical="center" wrapText="1"/>
    </xf>
    <xf numFmtId="0" fontId="28" fillId="12" borderId="28" xfId="2" applyFont="1" applyFill="1" applyBorder="1" applyAlignment="1" applyProtection="1">
      <alignment horizontal="left" vertical="center" wrapText="1"/>
    </xf>
    <xf numFmtId="0" fontId="27" fillId="5" borderId="2" xfId="2" applyFont="1" applyFill="1" applyBorder="1" applyAlignment="1" applyProtection="1">
      <alignment vertical="center" wrapText="1"/>
    </xf>
    <xf numFmtId="0" fontId="28" fillId="0" borderId="0" xfId="2" applyFont="1" applyProtection="1"/>
    <xf numFmtId="0" fontId="37" fillId="0" borderId="0" xfId="2" applyFont="1"/>
    <xf numFmtId="0" fontId="45" fillId="3" borderId="0" xfId="2" applyFont="1" applyFill="1" applyProtection="1">
      <protection hidden="1"/>
    </xf>
    <xf numFmtId="0" fontId="51" fillId="0" borderId="2" xfId="0" applyFont="1" applyBorder="1" applyAlignment="1" applyProtection="1">
      <alignment horizontal="left" vertical="center" wrapText="1"/>
      <protection locked="0"/>
    </xf>
    <xf numFmtId="0" fontId="41" fillId="5" borderId="22" xfId="2" applyFont="1" applyFill="1" applyBorder="1" applyAlignment="1" applyProtection="1">
      <alignment wrapText="1"/>
    </xf>
    <xf numFmtId="0" fontId="41" fillId="5" borderId="12" xfId="2" applyFont="1" applyFill="1" applyBorder="1" applyAlignment="1" applyProtection="1">
      <alignment wrapText="1"/>
    </xf>
    <xf numFmtId="164" fontId="36" fillId="0" borderId="13" xfId="0" applyNumberFormat="1" applyFont="1" applyFill="1" applyBorder="1" applyAlignment="1" applyProtection="1">
      <alignment horizontal="center" vertical="top"/>
      <protection locked="0" hidden="1"/>
    </xf>
    <xf numFmtId="0" fontId="38" fillId="5" borderId="12" xfId="2" applyFont="1" applyFill="1" applyBorder="1" applyAlignment="1" applyProtection="1">
      <alignment horizontal="right" vertical="center" wrapText="1"/>
    </xf>
    <xf numFmtId="0" fontId="34" fillId="0" borderId="13" xfId="2" applyFont="1" applyFill="1" applyBorder="1" applyAlignment="1" applyProtection="1">
      <alignment wrapText="1"/>
      <protection locked="0"/>
    </xf>
    <xf numFmtId="0" fontId="37" fillId="0" borderId="7" xfId="2" applyFont="1" applyFill="1" applyBorder="1" applyAlignment="1" applyProtection="1">
      <alignment horizontal="left" vertical="center" wrapText="1"/>
      <protection hidden="1"/>
    </xf>
    <xf numFmtId="0" fontId="37" fillId="0" borderId="8" xfId="2" applyFont="1" applyFill="1" applyBorder="1" applyAlignment="1" applyProtection="1">
      <alignment horizontal="left" vertical="center" wrapText="1"/>
      <protection hidden="1"/>
    </xf>
    <xf numFmtId="0" fontId="37" fillId="0" borderId="9" xfId="2" applyFont="1" applyFill="1" applyBorder="1" applyAlignment="1" applyProtection="1">
      <alignment horizontal="left" vertical="center" wrapText="1"/>
      <protection hidden="1"/>
    </xf>
    <xf numFmtId="22" fontId="47" fillId="0" borderId="8" xfId="2" applyNumberFormat="1" applyFont="1" applyFill="1" applyBorder="1" applyAlignment="1" applyProtection="1">
      <alignment horizontal="left" vertical="center" wrapText="1"/>
      <protection hidden="1"/>
    </xf>
    <xf numFmtId="22" fontId="47" fillId="0" borderId="9" xfId="2" applyNumberFormat="1" applyFont="1" applyFill="1" applyBorder="1" applyAlignment="1" applyProtection="1">
      <alignment horizontal="left" vertical="center" wrapText="1"/>
      <protection hidden="1"/>
    </xf>
    <xf numFmtId="0" fontId="37" fillId="0" borderId="7" xfId="0" applyFont="1" applyFill="1" applyBorder="1" applyAlignment="1" applyProtection="1">
      <alignment horizontal="left" vertical="top" wrapText="1"/>
      <protection locked="0"/>
    </xf>
    <xf numFmtId="0" fontId="37" fillId="0" borderId="8" xfId="0" applyFont="1" applyFill="1" applyBorder="1" applyAlignment="1" applyProtection="1">
      <alignment horizontal="left" vertical="top" wrapText="1"/>
      <protection locked="0"/>
    </xf>
    <xf numFmtId="0" fontId="37" fillId="0" borderId="9" xfId="0" applyFont="1" applyFill="1" applyBorder="1" applyAlignment="1" applyProtection="1">
      <alignment horizontal="left" vertical="top" wrapText="1"/>
      <protection locked="0"/>
    </xf>
    <xf numFmtId="0" fontId="37" fillId="0" borderId="7" xfId="0" applyFont="1" applyBorder="1" applyAlignment="1" applyProtection="1">
      <alignment horizontal="left" vertical="top" wrapText="1"/>
      <protection locked="0"/>
    </xf>
    <xf numFmtId="0" fontId="37" fillId="0" borderId="8" xfId="0" applyFont="1" applyBorder="1" applyAlignment="1" applyProtection="1">
      <alignment horizontal="left" vertical="top" wrapText="1"/>
      <protection locked="0"/>
    </xf>
    <xf numFmtId="0" fontId="37" fillId="0" borderId="9" xfId="0" applyFont="1" applyBorder="1" applyAlignment="1" applyProtection="1">
      <alignment horizontal="left" vertical="top" wrapText="1"/>
      <protection locked="0"/>
    </xf>
    <xf numFmtId="165" fontId="46" fillId="0" borderId="7" xfId="0" applyNumberFormat="1" applyFont="1" applyBorder="1" applyAlignment="1" applyProtection="1">
      <alignment horizontal="left" vertical="center" wrapText="1"/>
      <protection hidden="1"/>
    </xf>
    <xf numFmtId="165" fontId="46" fillId="0" borderId="9" xfId="0" applyNumberFormat="1" applyFont="1" applyBorder="1" applyAlignment="1" applyProtection="1">
      <alignment horizontal="left" vertical="center" wrapText="1"/>
      <protection hidden="1"/>
    </xf>
    <xf numFmtId="0" fontId="37" fillId="0" borderId="8" xfId="0" applyFont="1" applyBorder="1" applyAlignment="1" applyProtection="1">
      <alignment horizontal="center" vertical="top" wrapText="1"/>
    </xf>
    <xf numFmtId="0" fontId="37" fillId="0" borderId="9" xfId="0" applyFont="1" applyBorder="1" applyAlignment="1" applyProtection="1">
      <alignment horizontal="center" vertical="top" wrapText="1"/>
    </xf>
    <xf numFmtId="0" fontId="34" fillId="8" borderId="7" xfId="2" applyFont="1" applyFill="1" applyBorder="1" applyAlignment="1">
      <alignment horizontal="left" vertical="center" wrapText="1"/>
    </xf>
    <xf numFmtId="0" fontId="34" fillId="8" borderId="8" xfId="2" applyFont="1" applyFill="1" applyBorder="1" applyAlignment="1">
      <alignment horizontal="left" vertical="center" wrapText="1"/>
    </xf>
    <xf numFmtId="0" fontId="34" fillId="8" borderId="9" xfId="2" applyFont="1" applyFill="1" applyBorder="1" applyAlignment="1">
      <alignment horizontal="left" vertical="center" wrapText="1"/>
    </xf>
    <xf numFmtId="0" fontId="43" fillId="0" borderId="1" xfId="2" applyFont="1" applyFill="1" applyBorder="1" applyAlignment="1" applyProtection="1">
      <alignment horizontal="center" vertical="center" wrapText="1"/>
    </xf>
    <xf numFmtId="0" fontId="37" fillId="0" borderId="3" xfId="0" applyFont="1" applyBorder="1" applyAlignment="1" applyProtection="1">
      <alignment horizontal="left" vertical="top" wrapText="1"/>
      <protection locked="0"/>
    </xf>
    <xf numFmtId="0" fontId="37" fillId="0" borderId="5" xfId="0" applyFont="1" applyBorder="1" applyAlignment="1" applyProtection="1">
      <alignment horizontal="left" vertical="top" wrapText="1"/>
      <protection locked="0"/>
    </xf>
    <xf numFmtId="0" fontId="37" fillId="0" borderId="4" xfId="0" applyFont="1" applyBorder="1" applyAlignment="1" applyProtection="1">
      <alignment horizontal="left" vertical="top" wrapText="1"/>
      <protection locked="0"/>
    </xf>
    <xf numFmtId="165" fontId="46" fillId="0" borderId="3" xfId="0" applyNumberFormat="1" applyFont="1" applyFill="1" applyBorder="1" applyAlignment="1" applyProtection="1">
      <alignment horizontal="left" vertical="center" wrapText="1"/>
      <protection hidden="1"/>
    </xf>
    <xf numFmtId="165" fontId="46" fillId="0" borderId="4" xfId="0" applyNumberFormat="1" applyFont="1" applyFill="1" applyBorder="1" applyAlignment="1" applyProtection="1">
      <alignment horizontal="left" vertical="center" wrapText="1"/>
      <protection hidden="1"/>
    </xf>
    <xf numFmtId="0" fontId="41" fillId="13" borderId="0" xfId="2" applyFont="1" applyFill="1" applyBorder="1" applyAlignment="1">
      <alignment horizontal="left" vertical="top" wrapText="1"/>
    </xf>
    <xf numFmtId="0" fontId="42" fillId="0" borderId="13" xfId="25" applyFont="1" applyFill="1" applyBorder="1" applyAlignment="1" applyProtection="1">
      <alignment wrapText="1"/>
      <protection locked="0"/>
    </xf>
    <xf numFmtId="0" fontId="26" fillId="13" borderId="13" xfId="0" applyFont="1" applyFill="1" applyBorder="1" applyAlignment="1">
      <alignment horizontal="center"/>
    </xf>
    <xf numFmtId="0" fontId="29" fillId="0" borderId="14" xfId="0" applyFont="1" applyBorder="1" applyAlignment="1" applyProtection="1">
      <alignment horizontal="left" vertical="top" wrapText="1"/>
      <protection locked="0"/>
    </xf>
    <xf numFmtId="0" fontId="29" fillId="0" borderId="15" xfId="0" applyFont="1" applyBorder="1" applyAlignment="1" applyProtection="1">
      <alignment horizontal="left" vertical="top" wrapText="1"/>
      <protection locked="0"/>
    </xf>
    <xf numFmtId="0" fontId="29" fillId="0" borderId="16" xfId="0" applyFont="1" applyBorder="1" applyAlignment="1" applyProtection="1">
      <alignment horizontal="left" vertical="top" wrapText="1"/>
      <protection locked="0"/>
    </xf>
    <xf numFmtId="0" fontId="29" fillId="9" borderId="14" xfId="0" applyFont="1" applyFill="1" applyBorder="1" applyAlignment="1">
      <alignment horizontal="left" vertical="top"/>
    </xf>
    <xf numFmtId="0" fontId="29" fillId="9" borderId="15" xfId="0" applyFont="1" applyFill="1" applyBorder="1" applyAlignment="1">
      <alignment horizontal="left" vertical="top"/>
    </xf>
    <xf numFmtId="0" fontId="29" fillId="9" borderId="16" xfId="0" applyFont="1" applyFill="1" applyBorder="1" applyAlignment="1">
      <alignment horizontal="left" vertical="top"/>
    </xf>
    <xf numFmtId="0" fontId="29" fillId="0" borderId="13" xfId="0" applyFont="1" applyBorder="1" applyAlignment="1" applyProtection="1">
      <alignment horizontal="left" vertical="top" wrapText="1"/>
      <protection locked="0"/>
    </xf>
    <xf numFmtId="0" fontId="26" fillId="13" borderId="13" xfId="0" applyFont="1" applyFill="1" applyBorder="1" applyAlignment="1" applyProtection="1">
      <alignment horizontal="center"/>
    </xf>
    <xf numFmtId="0" fontId="29" fillId="9" borderId="13" xfId="0" applyFont="1" applyFill="1" applyBorder="1" applyAlignment="1" applyProtection="1">
      <alignment horizontal="left" vertical="top"/>
    </xf>
    <xf numFmtId="0" fontId="27" fillId="12" borderId="27" xfId="2" applyFont="1" applyFill="1" applyBorder="1" applyAlignment="1" applyProtection="1">
      <alignment horizontal="left" vertical="center" wrapText="1"/>
    </xf>
    <xf numFmtId="0" fontId="28" fillId="12" borderId="28" xfId="2" applyFont="1" applyFill="1" applyBorder="1" applyAlignment="1" applyProtection="1">
      <alignment horizontal="left" vertical="center" wrapText="1"/>
    </xf>
    <xf numFmtId="0" fontId="27" fillId="12" borderId="3" xfId="2" applyFont="1" applyFill="1" applyBorder="1" applyAlignment="1" applyProtection="1">
      <alignment horizontal="left" vertical="center" wrapText="1"/>
    </xf>
    <xf numFmtId="0" fontId="27" fillId="12" borderId="5" xfId="2" applyFont="1" applyFill="1" applyBorder="1" applyAlignment="1" applyProtection="1">
      <alignment horizontal="left" vertical="center" wrapText="1"/>
    </xf>
    <xf numFmtId="0" fontId="27" fillId="12" borderId="4" xfId="2" applyFont="1" applyFill="1" applyBorder="1" applyAlignment="1" applyProtection="1">
      <alignment horizontal="left" vertical="center" wrapText="1"/>
    </xf>
    <xf numFmtId="0" fontId="28" fillId="12" borderId="17" xfId="2" applyFont="1" applyFill="1" applyBorder="1" applyAlignment="1" applyProtection="1">
      <alignment horizontal="left" vertical="center" wrapText="1"/>
    </xf>
    <xf numFmtId="0" fontId="28" fillId="12" borderId="18" xfId="2" applyFont="1" applyFill="1" applyBorder="1" applyAlignment="1" applyProtection="1">
      <alignment horizontal="left" vertical="center" wrapText="1"/>
    </xf>
    <xf numFmtId="0" fontId="28" fillId="12" borderId="19" xfId="2" applyFont="1" applyFill="1" applyBorder="1" applyAlignment="1" applyProtection="1">
      <alignment horizontal="left" vertical="center" wrapText="1"/>
    </xf>
    <xf numFmtId="0" fontId="28" fillId="12" borderId="20" xfId="2" applyFont="1" applyFill="1" applyBorder="1" applyAlignment="1" applyProtection="1">
      <alignment horizontal="left" vertical="center" wrapText="1"/>
    </xf>
    <xf numFmtId="0" fontId="28" fillId="12" borderId="0" xfId="2" applyFont="1" applyFill="1" applyBorder="1" applyAlignment="1" applyProtection="1">
      <alignment horizontal="left" vertical="center" wrapText="1"/>
    </xf>
    <xf numFmtId="0" fontId="28" fillId="12" borderId="21" xfId="2" applyFont="1" applyFill="1" applyBorder="1" applyAlignment="1" applyProtection="1">
      <alignment horizontal="left" vertical="center" wrapText="1"/>
    </xf>
    <xf numFmtId="0" fontId="28" fillId="12" borderId="22" xfId="2" applyFont="1" applyFill="1" applyBorder="1" applyAlignment="1" applyProtection="1">
      <alignment horizontal="left" vertical="center" wrapText="1"/>
    </xf>
    <xf numFmtId="0" fontId="28" fillId="12" borderId="12" xfId="2" applyFont="1" applyFill="1" applyBorder="1" applyAlignment="1" applyProtection="1">
      <alignment horizontal="left" vertical="center" wrapText="1"/>
    </xf>
    <xf numFmtId="0" fontId="28" fillId="12" borderId="23" xfId="2" applyFont="1" applyFill="1" applyBorder="1" applyAlignment="1" applyProtection="1">
      <alignment horizontal="left" vertical="center" wrapText="1"/>
    </xf>
    <xf numFmtId="0" fontId="27" fillId="12" borderId="3" xfId="2" applyFont="1" applyFill="1" applyBorder="1" applyAlignment="1" applyProtection="1">
      <alignment horizontal="center" vertical="center" wrapText="1"/>
    </xf>
    <xf numFmtId="0" fontId="27" fillId="12" borderId="5" xfId="2" applyFont="1" applyFill="1" applyBorder="1" applyAlignment="1" applyProtection="1">
      <alignment horizontal="center" vertical="center" wrapText="1"/>
    </xf>
    <xf numFmtId="0" fontId="27" fillId="12" borderId="4" xfId="2" applyFont="1" applyFill="1" applyBorder="1" applyAlignment="1" applyProtection="1">
      <alignment horizontal="center" vertical="center" wrapText="1"/>
    </xf>
    <xf numFmtId="0" fontId="27" fillId="12" borderId="24" xfId="2" applyFont="1" applyFill="1" applyBorder="1" applyAlignment="1" applyProtection="1">
      <alignment horizontal="left" vertical="center" wrapText="1"/>
    </xf>
    <xf numFmtId="0" fontId="28" fillId="12" borderId="41" xfId="2" applyFont="1" applyFill="1" applyBorder="1" applyAlignment="1" applyProtection="1">
      <alignment horizontal="left" vertical="center" wrapText="1"/>
    </xf>
    <xf numFmtId="0" fontId="28" fillId="12" borderId="26" xfId="2" applyFont="1" applyFill="1" applyBorder="1" applyAlignment="1" applyProtection="1">
      <alignment horizontal="left" vertical="center" wrapText="1"/>
    </xf>
  </cellXfs>
  <cellStyles count="363">
    <cellStyle name="Comma 2" xfId="36"/>
    <cellStyle name="Estilo 1" xfId="3"/>
    <cellStyle name="Excel Built-in Normal" xfId="4"/>
    <cellStyle name="Excel Built-in Normal 1" xfId="27"/>
    <cellStyle name="Excel Built-in Normal 2" xfId="32"/>
    <cellStyle name="Excel Built-in Normal 3" xfId="361"/>
    <cellStyle name="Good" xfId="1" builtinId="26"/>
    <cellStyle name="Heading 1" xfId="37"/>
    <cellStyle name="Heading1 1" xfId="38"/>
    <cellStyle name="Hyperlink 2" xfId="39"/>
    <cellStyle name="Hyperlink 3" xfId="40"/>
    <cellStyle name="Millares 2" xfId="41"/>
    <cellStyle name="Neutral 2" xfId="42"/>
    <cellStyle name="Normal" xfId="0" builtinId="0"/>
    <cellStyle name="Normal 1" xfId="5"/>
    <cellStyle name="Normal 1 2" xfId="43"/>
    <cellStyle name="Normal 10" xfId="44"/>
    <cellStyle name="Normal 10 2" xfId="45"/>
    <cellStyle name="Normal 11" xfId="46"/>
    <cellStyle name="Normal 11 2" xfId="47"/>
    <cellStyle name="Normal 12" xfId="48"/>
    <cellStyle name="Normal 2" xfId="6"/>
    <cellStyle name="Normal 2 10" xfId="7"/>
    <cellStyle name="Normal 2 2" xfId="2"/>
    <cellStyle name="Normal 2 2 2" xfId="8"/>
    <cellStyle name="Normal 2 2 2 2" xfId="9"/>
    <cellStyle name="Normal 2 2 2 2 2" xfId="50"/>
    <cellStyle name="Normal 2 2 2 2 2 2" xfId="51"/>
    <cellStyle name="Normal 2 2 2 2 2 2 2" xfId="52"/>
    <cellStyle name="Normal 2 2 2 2 2 3" xfId="53"/>
    <cellStyle name="Normal 2 2 2 2 3" xfId="54"/>
    <cellStyle name="Normal 2 2 2 2 3 2" xfId="55"/>
    <cellStyle name="Normal 2 2 2 2 3 2 2" xfId="56"/>
    <cellStyle name="Normal 2 2 2 2 3 3" xfId="57"/>
    <cellStyle name="Normal 2 2 2 2 4" xfId="58"/>
    <cellStyle name="Normal 2 2 2 2 4 2" xfId="59"/>
    <cellStyle name="Normal 2 2 2 2 5" xfId="60"/>
    <cellStyle name="Normal 2 2 2 2 6" xfId="49"/>
    <cellStyle name="Normal 2 2 2 3" xfId="28"/>
    <cellStyle name="Normal 2 2 2 3 2" xfId="61"/>
    <cellStyle name="Normal 2 2 2 3 2 2" xfId="62"/>
    <cellStyle name="Normal 2 2 2 3 2 2 2" xfId="63"/>
    <cellStyle name="Normal 2 2 2 3 2 3" xfId="64"/>
    <cellStyle name="Normal 2 2 2 3 3" xfId="65"/>
    <cellStyle name="Normal 2 2 2 3 3 2" xfId="66"/>
    <cellStyle name="Normal 2 2 2 3 3 2 2" xfId="67"/>
    <cellStyle name="Normal 2 2 2 3 3 3" xfId="68"/>
    <cellStyle name="Normal 2 2 2 3 4" xfId="69"/>
    <cellStyle name="Normal 2 2 2 3 4 2" xfId="70"/>
    <cellStyle name="Normal 2 2 2 3 5" xfId="71"/>
    <cellStyle name="Normal 2 2 2 4" xfId="72"/>
    <cellStyle name="Normal 2 2 2 4 2" xfId="73"/>
    <cellStyle name="Normal 2 2 2 4 2 2" xfId="74"/>
    <cellStyle name="Normal 2 2 2 4 3" xfId="75"/>
    <cellStyle name="Normal 2 2 2 5" xfId="76"/>
    <cellStyle name="Normal 2 2 2 5 2" xfId="77"/>
    <cellStyle name="Normal 2 2 2 5 2 2" xfId="78"/>
    <cellStyle name="Normal 2 2 2 5 3" xfId="79"/>
    <cellStyle name="Normal 2 2 2 6" xfId="80"/>
    <cellStyle name="Normal 2 2 2 6 2" xfId="81"/>
    <cellStyle name="Normal 2 2 2 7" xfId="82"/>
    <cellStyle name="Normal 2 2 3" xfId="10"/>
    <cellStyle name="Normal 2 2 3 2" xfId="11"/>
    <cellStyle name="Normal 2 2 3 2 2" xfId="12"/>
    <cellStyle name="Normal 2 2 3 2 2 2" xfId="13"/>
    <cellStyle name="Normal 2 2 3 2 2 2 2" xfId="25"/>
    <cellStyle name="Normal 2 2 3 2 2 2 2 2" xfId="83"/>
    <cellStyle name="Normal 2 2 3 2 2 2 2 2 2" xfId="84"/>
    <cellStyle name="Normal 2 2 3 2 2 2 2 2 2 2" xfId="85"/>
    <cellStyle name="Normal 2 2 3 2 2 2 2 2 3" xfId="86"/>
    <cellStyle name="Normal 2 2 3 2 2 2 2 3" xfId="87"/>
    <cellStyle name="Normal 2 2 3 2 2 2 2 3 2" xfId="88"/>
    <cellStyle name="Normal 2 2 3 2 2 2 2 3 2 2" xfId="89"/>
    <cellStyle name="Normal 2 2 3 2 2 2 2 3 3" xfId="90"/>
    <cellStyle name="Normal 2 2 3 2 2 2 2 4" xfId="91"/>
    <cellStyle name="Normal 2 2 3 2 2 2 2 4 2" xfId="92"/>
    <cellStyle name="Normal 2 2 3 2 2 2 2 5" xfId="93"/>
    <cellStyle name="Normal 2 2 3 2 2 2 3" xfId="94"/>
    <cellStyle name="Normal 2 2 3 2 2 2 3 2" xfId="95"/>
    <cellStyle name="Normal 2 2 3 2 2 2 3 2 2" xfId="96"/>
    <cellStyle name="Normal 2 2 3 2 2 2 3 2 2 2" xfId="97"/>
    <cellStyle name="Normal 2 2 3 2 2 2 3 2 3" xfId="98"/>
    <cellStyle name="Normal 2 2 3 2 2 2 3 3" xfId="99"/>
    <cellStyle name="Normal 2 2 3 2 2 2 3 3 2" xfId="100"/>
    <cellStyle name="Normal 2 2 3 2 2 2 3 3 2 2" xfId="101"/>
    <cellStyle name="Normal 2 2 3 2 2 2 3 3 3" xfId="102"/>
    <cellStyle name="Normal 2 2 3 2 2 2 3 4" xfId="103"/>
    <cellStyle name="Normal 2 2 3 2 2 2 3 4 2" xfId="104"/>
    <cellStyle name="Normal 2 2 3 2 2 2 3 5" xfId="105"/>
    <cellStyle name="Normal 2 2 3 2 2 2 4" xfId="106"/>
    <cellStyle name="Normal 2 2 3 2 2 2 4 2" xfId="107"/>
    <cellStyle name="Normal 2 2 3 2 2 2 4 2 2" xfId="108"/>
    <cellStyle name="Normal 2 2 3 2 2 2 4 3" xfId="109"/>
    <cellStyle name="Normal 2 2 3 2 2 2 5" xfId="110"/>
    <cellStyle name="Normal 2 2 3 2 2 2 5 2" xfId="111"/>
    <cellStyle name="Normal 2 2 3 2 2 2 5 2 2" xfId="112"/>
    <cellStyle name="Normal 2 2 3 2 2 2 5 3" xfId="113"/>
    <cellStyle name="Normal 2 2 3 2 2 2 6" xfId="114"/>
    <cellStyle name="Normal 2 2 3 2 2 2 6 2" xfId="115"/>
    <cellStyle name="Normal 2 2 3 2 2 2 7" xfId="116"/>
    <cellStyle name="Normal 2 2 3 2 2 3" xfId="29"/>
    <cellStyle name="Normal 2 2 3 2 2 3 2" xfId="117"/>
    <cellStyle name="Normal 2 2 3 2 2 3 2 2" xfId="118"/>
    <cellStyle name="Normal 2 2 3 2 2 3 2 2 2" xfId="119"/>
    <cellStyle name="Normal 2 2 3 2 2 3 2 3" xfId="120"/>
    <cellStyle name="Normal 2 2 3 2 2 3 3" xfId="121"/>
    <cellStyle name="Normal 2 2 3 2 2 3 3 2" xfId="122"/>
    <cellStyle name="Normal 2 2 3 2 2 3 3 2 2" xfId="123"/>
    <cellStyle name="Normal 2 2 3 2 2 3 3 3" xfId="124"/>
    <cellStyle name="Normal 2 2 3 2 2 3 4" xfId="125"/>
    <cellStyle name="Normal 2 2 3 2 2 3 4 2" xfId="126"/>
    <cellStyle name="Normal 2 2 3 2 2 3 5" xfId="127"/>
    <cellStyle name="Normal 2 2 3 2 2 4" xfId="128"/>
    <cellStyle name="Normal 2 2 3 2 2 4 2" xfId="129"/>
    <cellStyle name="Normal 2 2 3 2 2 4 2 2" xfId="130"/>
    <cellStyle name="Normal 2 2 3 2 2 4 2 2 2" xfId="131"/>
    <cellStyle name="Normal 2 2 3 2 2 4 2 3" xfId="132"/>
    <cellStyle name="Normal 2 2 3 2 2 4 3" xfId="133"/>
    <cellStyle name="Normal 2 2 3 2 2 4 3 2" xfId="134"/>
    <cellStyle name="Normal 2 2 3 2 2 4 3 2 2" xfId="135"/>
    <cellStyle name="Normal 2 2 3 2 2 4 3 3" xfId="136"/>
    <cellStyle name="Normal 2 2 3 2 2 4 4" xfId="137"/>
    <cellStyle name="Normal 2 2 3 2 2 4 4 2" xfId="138"/>
    <cellStyle name="Normal 2 2 3 2 2 4 5" xfId="139"/>
    <cellStyle name="Normal 2 2 3 2 2 5" xfId="140"/>
    <cellStyle name="Normal 2 2 3 2 2 5 2" xfId="141"/>
    <cellStyle name="Normal 2 2 3 2 2 5 2 2" xfId="142"/>
    <cellStyle name="Normal 2 2 3 2 2 5 3" xfId="143"/>
    <cellStyle name="Normal 2 2 3 2 2 6" xfId="144"/>
    <cellStyle name="Normal 2 2 3 2 2 6 2" xfId="145"/>
    <cellStyle name="Normal 2 2 3 2 2 6 2 2" xfId="146"/>
    <cellStyle name="Normal 2 2 3 2 2 6 3" xfId="147"/>
    <cellStyle name="Normal 2 2 3 2 2 7" xfId="148"/>
    <cellStyle name="Normal 2 2 3 2 2 7 2" xfId="149"/>
    <cellStyle name="Normal 2 2 3 2 2 8" xfId="150"/>
    <cellStyle name="Normal 2 2 3 2 3" xfId="151"/>
    <cellStyle name="Normal 2 2 3 2 3 2" xfId="152"/>
    <cellStyle name="Normal 2 2 3 2 3 2 2" xfId="153"/>
    <cellStyle name="Normal 2 2 3 2 3 3" xfId="154"/>
    <cellStyle name="Normal 2 2 3 2 4" xfId="155"/>
    <cellStyle name="Normal 2 2 3 2 4 2" xfId="156"/>
    <cellStyle name="Normal 2 2 3 2 4 2 2" xfId="157"/>
    <cellStyle name="Normal 2 2 3 2 4 3" xfId="158"/>
    <cellStyle name="Normal 2 2 3 2 5" xfId="159"/>
    <cellStyle name="Normal 2 2 3 2 5 2" xfId="160"/>
    <cellStyle name="Normal 2 2 3 2 6" xfId="161"/>
    <cellStyle name="Normal 2 2 3 3" xfId="30"/>
    <cellStyle name="Normal 2 2 3 3 2" xfId="162"/>
    <cellStyle name="Normal 2 2 3 3 2 2" xfId="163"/>
    <cellStyle name="Normal 2 2 3 3 2 2 2" xfId="164"/>
    <cellStyle name="Normal 2 2 3 3 2 3" xfId="165"/>
    <cellStyle name="Normal 2 2 3 3 3" xfId="166"/>
    <cellStyle name="Normal 2 2 3 3 3 2" xfId="167"/>
    <cellStyle name="Normal 2 2 3 3 3 2 2" xfId="168"/>
    <cellStyle name="Normal 2 2 3 3 3 3" xfId="169"/>
    <cellStyle name="Normal 2 2 3 3 4" xfId="170"/>
    <cellStyle name="Normal 2 2 3 3 4 2" xfId="171"/>
    <cellStyle name="Normal 2 2 3 3 5" xfId="172"/>
    <cellStyle name="Normal 2 2 3 4" xfId="173"/>
    <cellStyle name="Normal 2 2 3 4 2" xfId="174"/>
    <cellStyle name="Normal 2 2 3 4 2 2" xfId="175"/>
    <cellStyle name="Normal 2 2 3 4 3" xfId="176"/>
    <cellStyle name="Normal 2 2 3 5" xfId="177"/>
    <cellStyle name="Normal 2 2 3 5 2" xfId="178"/>
    <cellStyle name="Normal 2 2 3 5 2 2" xfId="179"/>
    <cellStyle name="Normal 2 2 3 5 3" xfId="180"/>
    <cellStyle name="Normal 2 2 3 6" xfId="181"/>
    <cellStyle name="Normal 2 2 3 6 2" xfId="182"/>
    <cellStyle name="Normal 2 2 3 7" xfId="183"/>
    <cellStyle name="Normal 2 2 4" xfId="31"/>
    <cellStyle name="Normal 2 3" xfId="14"/>
    <cellStyle name="Normal 2 3 2" xfId="185"/>
    <cellStyle name="Normal 2 3 2 2" xfId="186"/>
    <cellStyle name="Normal 2 3 2 2 2" xfId="187"/>
    <cellStyle name="Normal 2 3 2 3" xfId="188"/>
    <cellStyle name="Normal 2 3 2 4" xfId="189"/>
    <cellStyle name="Normal 2 3 3" xfId="190"/>
    <cellStyle name="Normal 2 3 3 2" xfId="191"/>
    <cellStyle name="Normal 2 3 3 2 2" xfId="192"/>
    <cellStyle name="Normal 2 3 3 3" xfId="193"/>
    <cellStyle name="Normal 2 3 4" xfId="194"/>
    <cellStyle name="Normal 2 3 4 2" xfId="195"/>
    <cellStyle name="Normal 2 3 5" xfId="196"/>
    <cellStyle name="Normal 2 3 6" xfId="184"/>
    <cellStyle name="Normal 2 4" xfId="15"/>
    <cellStyle name="Normal 2 4 2" xfId="198"/>
    <cellStyle name="Normal 2 4 2 2" xfId="199"/>
    <cellStyle name="Normal 2 4 2 2 2" xfId="200"/>
    <cellStyle name="Normal 2 4 2 3" xfId="201"/>
    <cellStyle name="Normal 2 4 3" xfId="202"/>
    <cellStyle name="Normal 2 4 3 2" xfId="203"/>
    <cellStyle name="Normal 2 4 3 2 2" xfId="204"/>
    <cellStyle name="Normal 2 4 3 3" xfId="205"/>
    <cellStyle name="Normal 2 4 4" xfId="206"/>
    <cellStyle name="Normal 2 4 4 2" xfId="207"/>
    <cellStyle name="Normal 2 4 5" xfId="208"/>
    <cellStyle name="Normal 2 4 6" xfId="197"/>
    <cellStyle name="Normal 2 5" xfId="26"/>
    <cellStyle name="Normal 2 5 2" xfId="209"/>
    <cellStyle name="Normal 2 5 2 2" xfId="210"/>
    <cellStyle name="Normal 2 5 3" xfId="211"/>
    <cellStyle name="Normal 2 6" xfId="212"/>
    <cellStyle name="Normal 2 6 2" xfId="213"/>
    <cellStyle name="Normal 2 6 2 2" xfId="214"/>
    <cellStyle name="Normal 2 6 3" xfId="215"/>
    <cellStyle name="Normal 2 7" xfId="216"/>
    <cellStyle name="Normal 2 7 2" xfId="217"/>
    <cellStyle name="Normal 2 8" xfId="218"/>
    <cellStyle name="Normal 3" xfId="16"/>
    <cellStyle name="Normal 3 2" xfId="17"/>
    <cellStyle name="Normal 3 2 2" xfId="220"/>
    <cellStyle name="Normal 3 2 2 2" xfId="221"/>
    <cellStyle name="Normal 3 2 2 2 2" xfId="222"/>
    <cellStyle name="Normal 3 2 2 3" xfId="223"/>
    <cellStyle name="Normal 3 2 2 4" xfId="224"/>
    <cellStyle name="Normal 3 2 3" xfId="225"/>
    <cellStyle name="Normal 3 2 3 2" xfId="226"/>
    <cellStyle name="Normal 3 2 3 2 2" xfId="227"/>
    <cellStyle name="Normal 3 2 3 3" xfId="228"/>
    <cellStyle name="Normal 3 2 4" xfId="229"/>
    <cellStyle name="Normal 3 2 4 2" xfId="230"/>
    <cellStyle name="Normal 3 2 5" xfId="231"/>
    <cellStyle name="Normal 3 2 6" xfId="219"/>
    <cellStyle name="Normal 3 3" xfId="34"/>
    <cellStyle name="Normal 3 3 2" xfId="232"/>
    <cellStyle name="Normal 3 3 2 2" xfId="233"/>
    <cellStyle name="Normal 3 3 2 2 2" xfId="234"/>
    <cellStyle name="Normal 3 3 2 3" xfId="235"/>
    <cellStyle name="Normal 3 3 3" xfId="236"/>
    <cellStyle name="Normal 3 3 3 2" xfId="237"/>
    <cellStyle name="Normal 3 3 3 2 2" xfId="238"/>
    <cellStyle name="Normal 3 3 3 3" xfId="239"/>
    <cellStyle name="Normal 3 3 4" xfId="240"/>
    <cellStyle name="Normal 3 3 4 2" xfId="241"/>
    <cellStyle name="Normal 3 3 5" xfId="242"/>
    <cellStyle name="Normal 3 4" xfId="243"/>
    <cellStyle name="Normal 3 4 2" xfId="244"/>
    <cellStyle name="Normal 3 4 2 2" xfId="245"/>
    <cellStyle name="Normal 3 4 3" xfId="246"/>
    <cellStyle name="Normal 3 5" xfId="247"/>
    <cellStyle name="Normal 3 5 2" xfId="248"/>
    <cellStyle name="Normal 3 5 2 2" xfId="249"/>
    <cellStyle name="Normal 3 5 3" xfId="250"/>
    <cellStyle name="Normal 3 6" xfId="251"/>
    <cellStyle name="Normal 3 6 2" xfId="252"/>
    <cellStyle name="Normal 3 7" xfId="253"/>
    <cellStyle name="Normal 4" xfId="18"/>
    <cellStyle name="Normal 4 2" xfId="19"/>
    <cellStyle name="Normal 4 2 2" xfId="255"/>
    <cellStyle name="Normal 4 2 2 2" xfId="256"/>
    <cellStyle name="Normal 4 2 2 2 2" xfId="257"/>
    <cellStyle name="Normal 4 2 2 3" xfId="258"/>
    <cellStyle name="Normal 4 2 2 4" xfId="259"/>
    <cellStyle name="Normal 4 2 3" xfId="260"/>
    <cellStyle name="Normal 4 2 3 2" xfId="261"/>
    <cellStyle name="Normal 4 2 3 2 2" xfId="262"/>
    <cellStyle name="Normal 4 2 3 3" xfId="263"/>
    <cellStyle name="Normal 4 2 4" xfId="264"/>
    <cellStyle name="Normal 4 2 4 2" xfId="265"/>
    <cellStyle name="Normal 4 2 5" xfId="266"/>
    <cellStyle name="Normal 4 2 6" xfId="254"/>
    <cellStyle name="Normal 4 3" xfId="20"/>
    <cellStyle name="Normal 4 3 2" xfId="268"/>
    <cellStyle name="Normal 4 3 2 2" xfId="269"/>
    <cellStyle name="Normal 4 3 2 2 2" xfId="270"/>
    <cellStyle name="Normal 4 3 2 3" xfId="271"/>
    <cellStyle name="Normal 4 3 3" xfId="272"/>
    <cellStyle name="Normal 4 3 3 2" xfId="273"/>
    <cellStyle name="Normal 4 3 3 2 2" xfId="274"/>
    <cellStyle name="Normal 4 3 3 3" xfId="275"/>
    <cellStyle name="Normal 4 3 4" xfId="276"/>
    <cellStyle name="Normal 4 3 4 2" xfId="277"/>
    <cellStyle name="Normal 4 3 5" xfId="278"/>
    <cellStyle name="Normal 4 3 6" xfId="267"/>
    <cellStyle name="Normal 4 4" xfId="35"/>
    <cellStyle name="Normal 4 4 2" xfId="279"/>
    <cellStyle name="Normal 4 4 2 2" xfId="280"/>
    <cellStyle name="Normal 4 4 3" xfId="281"/>
    <cellStyle name="Normal 4 5" xfId="282"/>
    <cellStyle name="Normal 4 5 2" xfId="283"/>
    <cellStyle name="Normal 4 5 2 2" xfId="284"/>
    <cellStyle name="Normal 4 5 3" xfId="285"/>
    <cellStyle name="Normal 4 6" xfId="286"/>
    <cellStyle name="Normal 4 6 2" xfId="287"/>
    <cellStyle name="Normal 4 7" xfId="288"/>
    <cellStyle name="Normal 5" xfId="21"/>
    <cellStyle name="Normal 5 2" xfId="290"/>
    <cellStyle name="Normal 5 3" xfId="291"/>
    <cellStyle name="Normal 5 4" xfId="289"/>
    <cellStyle name="Normal 5 5" xfId="362"/>
    <cellStyle name="Normal 6" xfId="23"/>
    <cellStyle name="Normal 6 2" xfId="292"/>
    <cellStyle name="Normal 7" xfId="293"/>
    <cellStyle name="Normal 7 2" xfId="294"/>
    <cellStyle name="Normal 7 2 2" xfId="295"/>
    <cellStyle name="Normal 7 2 2 2" xfId="296"/>
    <cellStyle name="Normal 7 2 2 2 2" xfId="297"/>
    <cellStyle name="Normal 7 2 2 3" xfId="298"/>
    <cellStyle name="Normal 7 2 3" xfId="299"/>
    <cellStyle name="Normal 7 2 3 2" xfId="300"/>
    <cellStyle name="Normal 7 2 3 2 2" xfId="301"/>
    <cellStyle name="Normal 7 2 3 3" xfId="302"/>
    <cellStyle name="Normal 7 2 4" xfId="303"/>
    <cellStyle name="Normal 7 2 4 2" xfId="304"/>
    <cellStyle name="Normal 7 2 5" xfId="305"/>
    <cellStyle name="Normal 7 2 6" xfId="306"/>
    <cellStyle name="Normal 7 3" xfId="307"/>
    <cellStyle name="Normal 7 3 2" xfId="308"/>
    <cellStyle name="Normal 7 3 2 2" xfId="309"/>
    <cellStyle name="Normal 7 3 3" xfId="310"/>
    <cellStyle name="Normal 7 3 4" xfId="311"/>
    <cellStyle name="Normal 7 4" xfId="312"/>
    <cellStyle name="Normal 7 4 2" xfId="313"/>
    <cellStyle name="Normal 7 4 2 2" xfId="314"/>
    <cellStyle name="Normal 7 4 3" xfId="315"/>
    <cellStyle name="Normal 7 4 4" xfId="316"/>
    <cellStyle name="Normal 7 5" xfId="317"/>
    <cellStyle name="Normal 7 5 2" xfId="318"/>
    <cellStyle name="Normal 7 6" xfId="319"/>
    <cellStyle name="Normal 8" xfId="320"/>
    <cellStyle name="Normal 8 2" xfId="321"/>
    <cellStyle name="Normal 8 2 2" xfId="322"/>
    <cellStyle name="Normal 8 2 2 2" xfId="323"/>
    <cellStyle name="Normal 8 2 2 2 2" xfId="324"/>
    <cellStyle name="Normal 8 2 2 3" xfId="325"/>
    <cellStyle name="Normal 8 2 3" xfId="326"/>
    <cellStyle name="Normal 8 2 3 2" xfId="327"/>
    <cellStyle name="Normal 8 2 3 2 2" xfId="328"/>
    <cellStyle name="Normal 8 2 3 3" xfId="329"/>
    <cellStyle name="Normal 8 2 4" xfId="330"/>
    <cellStyle name="Normal 8 2 4 2" xfId="331"/>
    <cellStyle name="Normal 8 2 5" xfId="332"/>
    <cellStyle name="Normal 8 3" xfId="333"/>
    <cellStyle name="Normal 8 3 2" xfId="334"/>
    <cellStyle name="Normal 8 3 2 2" xfId="335"/>
    <cellStyle name="Normal 8 3 2 2 2" xfId="336"/>
    <cellStyle name="Normal 8 3 2 3" xfId="337"/>
    <cellStyle name="Normal 8 3 3" xfId="338"/>
    <cellStyle name="Normal 8 3 3 2" xfId="339"/>
    <cellStyle name="Normal 8 3 3 2 2" xfId="340"/>
    <cellStyle name="Normal 8 3 3 3" xfId="341"/>
    <cellStyle name="Normal 8 3 4" xfId="342"/>
    <cellStyle name="Normal 8 3 4 2" xfId="343"/>
    <cellStyle name="Normal 8 3 5" xfId="344"/>
    <cellStyle name="Normal 8 4" xfId="345"/>
    <cellStyle name="Normal 8 4 2" xfId="346"/>
    <cellStyle name="Normal 8 4 2 2" xfId="347"/>
    <cellStyle name="Normal 8 4 3" xfId="348"/>
    <cellStyle name="Normal 8 5" xfId="349"/>
    <cellStyle name="Normal 8 5 2" xfId="350"/>
    <cellStyle name="Normal 8 5 2 2" xfId="351"/>
    <cellStyle name="Normal 8 5 3" xfId="352"/>
    <cellStyle name="Normal 8 6" xfId="353"/>
    <cellStyle name="Normal 8 6 2" xfId="354"/>
    <cellStyle name="Normal 8 7" xfId="355"/>
    <cellStyle name="Normal 9" xfId="356"/>
    <cellStyle name="Percent 2" xfId="357"/>
    <cellStyle name="Result 1" xfId="358"/>
    <cellStyle name="Result2 1" xfId="359"/>
    <cellStyle name="Style 1" xfId="22"/>
    <cellStyle name="TableStyleLight1" xfId="24"/>
    <cellStyle name="TableStyleLight1 2" xfId="33"/>
    <cellStyle name="Total 2" xfId="360"/>
  </cellStyles>
  <dxfs count="1018">
    <dxf>
      <font>
        <b/>
        <i val="0"/>
        <condense val="0"/>
        <extend val="0"/>
        <color indexed="54"/>
      </font>
      <fill>
        <patternFill patternType="solid">
          <fgColor indexed="22"/>
          <bgColor indexed="44"/>
        </patternFill>
      </fill>
    </dxf>
    <dxf>
      <font>
        <b/>
        <i val="0"/>
        <condense val="0"/>
        <extend val="0"/>
        <color indexed="9"/>
      </font>
      <fill>
        <patternFill patternType="solid">
          <fgColor indexed="34"/>
          <bgColor indexed="51"/>
        </patternFill>
      </fill>
    </dxf>
    <dxf>
      <font>
        <b/>
        <i val="0"/>
        <condense val="0"/>
        <extend val="0"/>
        <color indexed="54"/>
      </font>
      <fill>
        <patternFill patternType="solid">
          <fgColor indexed="43"/>
          <bgColor indexed="47"/>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condense val="0"/>
        <extend val="0"/>
        <color rgb="FF9C0006"/>
      </font>
      <fill>
        <patternFill>
          <bgColor rgb="FFFFC7CE"/>
        </patternFill>
      </fill>
    </dxf>
    <dxf>
      <fill>
        <patternFill>
          <bgColor theme="4" tint="0.59996337778862885"/>
        </patternFill>
      </fill>
    </dxf>
    <dxf>
      <font>
        <color theme="0"/>
      </font>
      <fill>
        <patternFill>
          <bgColor rgb="FFFF0000"/>
        </patternFill>
      </fill>
    </dxf>
    <dxf>
      <fill>
        <patternFill>
          <bgColor rgb="FFFFC000"/>
        </patternFill>
      </fill>
    </dxf>
    <dxf>
      <font>
        <color theme="0"/>
      </font>
      <fill>
        <patternFill>
          <bgColor rgb="FF92D050"/>
        </patternFill>
      </fill>
    </dxf>
    <dxf>
      <font>
        <color theme="0"/>
      </font>
      <fill>
        <patternFill>
          <bgColor rgb="FFFF0000"/>
        </patternFill>
      </fill>
    </dxf>
    <dxf>
      <font>
        <color theme="0"/>
      </font>
      <fill>
        <patternFill>
          <bgColor rgb="FFFF0000"/>
        </patternFill>
      </fill>
    </dxf>
    <dxf>
      <font>
        <color theme="0"/>
      </font>
      <fill>
        <patternFill>
          <bgColor rgb="FF92D050"/>
        </patternFill>
      </fill>
    </dxf>
    <dxf>
      <fill>
        <patternFill>
          <bgColor theme="4" tint="0.59996337778862885"/>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color theme="0"/>
      </font>
      <fill>
        <patternFill>
          <bgColor rgb="FFFF0000"/>
        </patternFill>
      </fill>
    </dxf>
    <dxf>
      <font>
        <b/>
        <i val="0"/>
        <color theme="0"/>
      </font>
      <fill>
        <patternFill>
          <bgColor rgb="FF92D050"/>
        </patternFill>
      </fill>
    </dxf>
    <dxf>
      <font>
        <b/>
        <i val="0"/>
        <condense val="0"/>
        <extend val="0"/>
        <color indexed="43"/>
      </font>
      <fill>
        <patternFill patternType="solid">
          <fgColor indexed="41"/>
          <bgColor indexed="42"/>
        </patternFill>
      </fill>
    </dxf>
    <dxf>
      <font>
        <b/>
        <i val="0"/>
        <condense val="0"/>
        <extend val="0"/>
        <color indexed="9"/>
      </font>
      <fill>
        <patternFill patternType="solid">
          <fgColor indexed="43"/>
          <bgColor indexed="47"/>
        </patternFill>
      </fill>
    </dxf>
    <dxf>
      <font>
        <b/>
        <i val="0"/>
        <condense val="0"/>
        <extend val="0"/>
        <color indexed="43"/>
      </font>
      <fill>
        <patternFill patternType="solid">
          <fgColor indexed="44"/>
          <bgColor indexed="51"/>
        </patternFill>
      </fill>
    </dxf>
    <dxf>
      <font>
        <b/>
        <i val="0"/>
        <condense val="0"/>
        <extend val="0"/>
        <color indexed="54"/>
      </font>
      <fill>
        <patternFill patternType="solid">
          <fgColor indexed="22"/>
          <bgColor indexed="44"/>
        </patternFill>
      </fill>
    </dxf>
    <dxf>
      <font>
        <b/>
        <i val="0"/>
        <condense val="0"/>
        <extend val="0"/>
        <color indexed="9"/>
      </font>
      <fill>
        <patternFill patternType="solid">
          <fgColor indexed="51"/>
          <bgColor indexed="55"/>
        </patternFill>
      </fill>
    </dxf>
    <dxf>
      <font>
        <b/>
        <i val="0"/>
        <condense val="0"/>
        <extend val="0"/>
        <color indexed="54"/>
      </font>
      <fill>
        <patternFill patternType="solid">
          <fgColor indexed="43"/>
          <bgColor indexed="47"/>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val="0"/>
        <i val="0"/>
        <color theme="0"/>
      </font>
      <fill>
        <patternFill>
          <bgColor rgb="FF92D050"/>
        </patternFill>
      </fill>
    </dxf>
    <dxf>
      <font>
        <color theme="0"/>
      </font>
      <fill>
        <patternFill>
          <bgColor rgb="FFFF0000"/>
        </patternFill>
      </fill>
    </dxf>
    <dxf>
      <font>
        <color theme="0"/>
      </font>
      <fill>
        <patternFill>
          <bgColor rgb="FFFF0000"/>
        </patternFill>
      </fill>
    </dxf>
    <dxf>
      <font>
        <b/>
        <i val="0"/>
        <color theme="0"/>
      </font>
      <fill>
        <patternFill>
          <bgColor rgb="FF92D050"/>
        </patternFill>
      </fill>
    </dxf>
    <dxf>
      <font>
        <b/>
        <i val="0"/>
        <condense val="0"/>
        <extend val="0"/>
        <color indexed="8"/>
      </font>
      <fill>
        <patternFill patternType="solid">
          <fgColor indexed="24"/>
          <bgColor indexed="29"/>
        </patternFill>
      </fill>
    </dxf>
    <dxf>
      <font>
        <b/>
        <i val="0"/>
        <condense val="0"/>
        <extend val="0"/>
        <color indexed="9"/>
      </font>
      <fill>
        <patternFill patternType="solid">
          <fgColor indexed="24"/>
          <bgColor indexed="52"/>
        </patternFill>
      </fill>
    </dxf>
    <dxf>
      <font>
        <b/>
        <i val="0"/>
        <condense val="0"/>
        <extend val="0"/>
        <color indexed="8"/>
      </font>
      <fill>
        <patternFill patternType="solid">
          <fgColor indexed="23"/>
          <bgColor indexed="55"/>
        </patternFill>
      </fill>
    </dxf>
    <dxf>
      <font>
        <b/>
        <i val="0"/>
        <condense val="0"/>
        <extend val="0"/>
        <color indexed="54"/>
      </font>
      <fill>
        <patternFill patternType="solid">
          <fgColor indexed="22"/>
          <bgColor indexed="44"/>
        </patternFill>
      </fill>
    </dxf>
    <dxf>
      <font>
        <b/>
        <i val="0"/>
        <condense val="0"/>
        <extend val="0"/>
        <color indexed="9"/>
      </font>
      <fill>
        <patternFill patternType="solid">
          <fgColor indexed="51"/>
          <bgColor indexed="55"/>
        </patternFill>
      </fill>
    </dxf>
    <dxf>
      <font>
        <b/>
        <i val="0"/>
        <condense val="0"/>
        <extend val="0"/>
        <color indexed="54"/>
      </font>
      <fill>
        <patternFill patternType="solid">
          <fgColor indexed="43"/>
          <bgColor indexed="47"/>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i val="0"/>
        <condense val="0"/>
        <extend val="0"/>
        <color indexed="48"/>
      </font>
      <fill>
        <patternFill>
          <bgColor indexed="46"/>
        </patternFill>
      </fill>
    </dxf>
    <dxf>
      <font>
        <b/>
        <i val="0"/>
        <condense val="0"/>
        <extend val="0"/>
        <color indexed="9"/>
      </font>
      <fill>
        <patternFill>
          <bgColor indexed="50"/>
        </patternFill>
      </fill>
    </dxf>
    <dxf>
      <font>
        <b/>
        <i val="0"/>
        <condense val="0"/>
        <extend val="0"/>
        <color indexed="48"/>
      </font>
      <fill>
        <patternFill>
          <bgColor indexed="53"/>
        </patternFill>
      </fill>
    </dxf>
    <dxf>
      <font>
        <b/>
        <i val="0"/>
        <condense val="0"/>
        <extend val="0"/>
        <color indexed="54"/>
      </font>
      <fill>
        <patternFill patternType="solid">
          <fgColor indexed="22"/>
          <bgColor indexed="44"/>
        </patternFill>
      </fill>
    </dxf>
    <dxf>
      <font>
        <b/>
        <i val="0"/>
        <condense val="0"/>
        <extend val="0"/>
        <color indexed="9"/>
      </font>
      <fill>
        <patternFill patternType="solid">
          <fgColor indexed="34"/>
          <bgColor indexed="51"/>
        </patternFill>
      </fill>
    </dxf>
    <dxf>
      <font>
        <b/>
        <i val="0"/>
        <condense val="0"/>
        <extend val="0"/>
        <color indexed="54"/>
      </font>
      <fill>
        <patternFill patternType="solid">
          <fgColor indexed="43"/>
          <bgColor indexed="47"/>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51"/>
      </font>
      <fill>
        <patternFill>
          <bgColor indexed="15"/>
        </patternFill>
      </fill>
    </dxf>
    <dxf>
      <font>
        <b/>
        <i val="0"/>
        <condense val="0"/>
        <extend val="0"/>
        <color indexed="9"/>
      </font>
      <fill>
        <patternFill>
          <bgColor indexed="53"/>
        </patternFill>
      </fill>
    </dxf>
    <dxf>
      <font>
        <b/>
        <i val="0"/>
        <condense val="0"/>
        <extend val="0"/>
        <color indexed="51"/>
      </font>
      <fill>
        <patternFill>
          <bgColor indexed="34"/>
        </patternFill>
      </fill>
    </dxf>
    <dxf>
      <font>
        <b/>
        <i val="0"/>
        <condense val="0"/>
        <extend val="0"/>
        <color indexed="48"/>
      </font>
      <fill>
        <patternFill patternType="solid">
          <fgColor indexed="22"/>
          <bgColor indexed="46"/>
        </patternFill>
      </fill>
    </dxf>
    <dxf>
      <font>
        <b/>
        <i val="0"/>
        <condense val="0"/>
        <extend val="0"/>
        <color indexed="9"/>
      </font>
      <fill>
        <patternFill patternType="solid">
          <fgColor indexed="34"/>
          <bgColor indexed="50"/>
        </patternFill>
      </fill>
    </dxf>
    <dxf>
      <font>
        <b/>
        <i val="0"/>
        <condense val="0"/>
        <extend val="0"/>
        <color indexed="48"/>
      </font>
      <fill>
        <patternFill patternType="solid">
          <fgColor indexed="57"/>
          <bgColor indexed="53"/>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strike/>
        <color rgb="FFFF0000"/>
      </font>
      <fill>
        <patternFill patternType="none">
          <fgColor auto="1"/>
          <bgColor auto="1"/>
        </patternFill>
      </fill>
    </dxf>
    <dxf>
      <font>
        <strike/>
        <color rgb="FFFF0000"/>
      </font>
      <fill>
        <patternFill patternType="none">
          <fgColor auto="1"/>
          <bgColor auto="1"/>
        </patternFill>
      </fill>
    </dxf>
    <dxf>
      <font>
        <strike/>
        <color rgb="FFFF0000"/>
      </font>
      <fill>
        <patternFill patternType="none">
          <fgColor auto="1"/>
          <bgColor auto="1"/>
        </patternFill>
      </fill>
    </dxf>
    <dxf>
      <font>
        <strike/>
        <color rgb="FFFF0000"/>
      </font>
    </dxf>
    <dxf>
      <font>
        <strike/>
        <color rgb="FFFF0000"/>
      </font>
      <fill>
        <patternFill patternType="none">
          <fgColor auto="1"/>
          <bgColor auto="1"/>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color theme="0"/>
      </font>
      <fill>
        <patternFill>
          <bgColor theme="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color theme="0"/>
      </font>
      <fill>
        <patternFill>
          <bgColor theme="0"/>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color theme="0"/>
      </font>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FFFF00"/>
        </patternFill>
      </fill>
    </dxf>
    <dxf>
      <fill>
        <patternFill>
          <bgColor rgb="FF00FF00"/>
        </patternFill>
      </fill>
    </dxf>
    <dxf>
      <fill>
        <patternFill>
          <bgColor rgb="FF92D050"/>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FFFF00"/>
        </patternFill>
      </fill>
    </dxf>
    <dxf>
      <fill>
        <patternFill>
          <bgColor rgb="FF00FF00"/>
        </patternFill>
      </fill>
    </dxf>
    <dxf>
      <fill>
        <patternFill>
          <bgColor rgb="FF92D050"/>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patternType="lightGrid">
          <fgColor theme="3"/>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5" tint="0.39994506668294322"/>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bgColor auto="1"/>
        </patternFill>
      </fill>
    </dxf>
    <dxf>
      <fill>
        <patternFill patternType="lightGrid">
          <fgColor theme="5" tint="0.39994506668294322"/>
          <bgColor auto="1"/>
        </patternFill>
      </fill>
    </dxf>
    <dxf>
      <fill>
        <patternFill patternType="lightGrid">
          <fgColor theme="5" tint="0.39994506668294322"/>
          <bgColor auto="1"/>
        </patternFill>
      </fill>
    </dxf>
    <dxf>
      <font>
        <strike val="0"/>
        <color rgb="FFFF0000"/>
      </font>
      <fill>
        <patternFill patternType="none">
          <fgColor auto="1"/>
          <bgColor auto="1"/>
        </patternFill>
      </fill>
    </dxf>
    <dxf>
      <font>
        <color rgb="FFFF0000"/>
      </font>
    </dxf>
    <dxf>
      <font>
        <strike val="0"/>
        <color rgb="FFFF0000"/>
      </font>
      <fill>
        <patternFill patternType="none">
          <fgColor auto="1"/>
          <bgColor auto="1"/>
        </patternFill>
      </fill>
    </dxf>
    <dxf>
      <font>
        <color rgb="FFFF0000"/>
      </font>
    </dxf>
    <dxf>
      <font>
        <strike val="0"/>
        <color rgb="FFFF0000"/>
      </font>
      <fill>
        <patternFill patternType="none">
          <fgColor auto="1"/>
          <bgColor auto="1"/>
        </patternFill>
      </fill>
    </dxf>
    <dxf>
      <fill>
        <patternFill patternType="lightGrid">
          <fgColor theme="5" tint="0.39994506668294322"/>
        </patternFill>
      </fill>
    </dxf>
    <dxf>
      <font>
        <color rgb="FFFF0000"/>
      </font>
    </dxf>
    <dxf>
      <fill>
        <patternFill patternType="lightGrid">
          <fgColor theme="5" tint="0.39994506668294322"/>
          <bgColor auto="1"/>
        </patternFill>
      </fill>
    </dxf>
    <dxf>
      <fill>
        <patternFill patternType="lightGrid">
          <fgColor theme="5" tint="0.39994506668294322"/>
          <bgColor auto="1"/>
        </patternFill>
      </fill>
    </dxf>
    <dxf>
      <fill>
        <patternFill patternType="lightGrid">
          <fgColor theme="5" tint="0.39994506668294322"/>
          <bgColor auto="1"/>
        </patternFill>
      </fill>
    </dxf>
    <dxf>
      <fill>
        <patternFill patternType="lightGrid">
          <fgColor theme="5" tint="0.39994506668294322"/>
          <bgColor auto="1"/>
        </patternFill>
      </fill>
    </dxf>
    <dxf>
      <fill>
        <patternFill patternType="lightGrid">
          <fgColor theme="3"/>
          <bgColor auto="1"/>
        </patternFill>
      </fill>
    </dxf>
    <dxf>
      <fill>
        <patternFill patternType="lightGrid">
          <fgColor theme="3"/>
          <bgColor auto="1"/>
        </patternFill>
      </fill>
    </dxf>
    <dxf>
      <fill>
        <patternFill patternType="lightGrid">
          <fgColor theme="5" tint="0.39994506668294322"/>
          <bgColor auto="1"/>
        </patternFill>
      </fill>
    </dxf>
    <dxf>
      <fill>
        <patternFill patternType="lightGrid">
          <fgColor theme="5" tint="0.39994506668294322"/>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ont>
        <strike val="0"/>
        <color rgb="FFFF0000"/>
      </font>
      <fill>
        <patternFill patternType="none">
          <fgColor auto="1"/>
          <bgColor auto="1"/>
        </patternFill>
      </fill>
    </dxf>
    <dxf>
      <font>
        <strike val="0"/>
        <color rgb="FFFF0000"/>
      </font>
      <fill>
        <patternFill patternType="none">
          <fgColor auto="1"/>
          <bgColor auto="1"/>
        </patternFill>
      </fill>
    </dxf>
    <dxf>
      <font>
        <strike val="0"/>
        <color rgb="FFFF0000"/>
      </font>
      <fill>
        <patternFill patternType="none">
          <fgColor auto="1"/>
          <bgColor auto="1"/>
        </patternFill>
      </fill>
    </dxf>
    <dxf>
      <fill>
        <patternFill patternType="lightGrid">
          <fgColor theme="5" tint="0.39994506668294322"/>
        </patternFill>
      </fill>
    </dxf>
    <dxf>
      <font>
        <strike val="0"/>
        <color rgb="FFFF0000"/>
      </font>
      <fill>
        <patternFill patternType="none">
          <fgColor auto="1"/>
          <bgColor auto="1"/>
        </patternFill>
      </fill>
    </dxf>
    <dxf>
      <font>
        <strike val="0"/>
        <color rgb="FFFF0000"/>
      </font>
    </dxf>
  </dxfs>
  <tableStyles count="0" defaultTableStyle="TableStyleMedium2" defaultPivotStyle="PivotStyleLight16"/>
  <colors>
    <mruColors>
      <color rgb="FF72AF2F"/>
      <color rgb="FF00FF00"/>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6181725</xdr:colOff>
      <xdr:row>0</xdr:row>
      <xdr:rowOff>0</xdr:rowOff>
    </xdr:from>
    <xdr:to>
      <xdr:col>2</xdr:col>
      <xdr:colOff>8813805</xdr:colOff>
      <xdr:row>0</xdr:row>
      <xdr:rowOff>38100</xdr:rowOff>
    </xdr:to>
    <xdr:pic>
      <xdr:nvPicPr>
        <xdr:cNvPr id="3" name="Imagen 4" descr="Descripción: Descripción: cid:image003.jpg@01CDEE56.8784D5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00" y="0"/>
          <a:ext cx="3180" cy="38100"/>
        </a:xfrm>
        <a:prstGeom prst="rect">
          <a:avLst/>
        </a:prstGeom>
        <a:noFill/>
        <a:ln>
          <a:noFill/>
        </a:ln>
        <a:scene3d>
          <a:camera prst="orthographicFront"/>
          <a:lightRig rig="threePt" dir="t"/>
        </a:scene3d>
        <a:sp3d>
          <a:bevelB/>
        </a:sp3d>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6181725</xdr:colOff>
      <xdr:row>0</xdr:row>
      <xdr:rowOff>0</xdr:rowOff>
    </xdr:from>
    <xdr:to>
      <xdr:col>2</xdr:col>
      <xdr:colOff>8813805</xdr:colOff>
      <xdr:row>0</xdr:row>
      <xdr:rowOff>38100</xdr:rowOff>
    </xdr:to>
    <xdr:pic>
      <xdr:nvPicPr>
        <xdr:cNvPr id="8" name="Imagen 4" descr="Descripción: Descripción: cid:image003.jpg@01CDEE56.8784D5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848475" y="0"/>
          <a:ext cx="3180" cy="38100"/>
        </a:xfrm>
        <a:prstGeom prst="rect">
          <a:avLst/>
        </a:prstGeom>
        <a:noFill/>
        <a:ln>
          <a:noFill/>
        </a:ln>
        <a:scene3d>
          <a:camera prst="orthographicFront"/>
          <a:lightRig rig="threePt" dir="t"/>
        </a:scene3d>
        <a:sp3d>
          <a:bevelB/>
        </a:sp3d>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354805</xdr:colOff>
      <xdr:row>1</xdr:row>
      <xdr:rowOff>228600</xdr:rowOff>
    </xdr:from>
    <xdr:to>
      <xdr:col>6</xdr:col>
      <xdr:colOff>595312</xdr:colOff>
      <xdr:row>4</xdr:row>
      <xdr:rowOff>166687</xdr:rowOff>
    </xdr:to>
    <xdr:grpSp>
      <xdr:nvGrpSpPr>
        <xdr:cNvPr id="9" name="8 Grupo"/>
        <xdr:cNvGrpSpPr/>
      </xdr:nvGrpSpPr>
      <xdr:grpSpPr>
        <a:xfrm>
          <a:off x="11832430" y="383381"/>
          <a:ext cx="1193007" cy="759619"/>
          <a:chOff x="10125075" y="209550"/>
          <a:chExt cx="1257300" cy="542925"/>
        </a:xfrm>
      </xdr:grpSpPr>
      <xdr:sp macro="[0]!Limpiar" textlink="">
        <xdr:nvSpPr>
          <xdr:cNvPr id="10" name="9 Rectángulo redondeado"/>
          <xdr:cNvSpPr/>
        </xdr:nvSpPr>
        <xdr:spPr>
          <a:xfrm>
            <a:off x="10125075" y="209550"/>
            <a:ext cx="1257300" cy="542925"/>
          </a:xfrm>
          <a:prstGeom prst="roundRect">
            <a:avLst/>
          </a:prstGeom>
          <a:solidFill>
            <a:schemeClr val="tx2"/>
          </a:solidFill>
          <a:scene3d>
            <a:camera prst="orthographicFront"/>
            <a:lightRig rig="threePt" dir="t"/>
          </a:scene3d>
          <a:sp3d>
            <a:bevelT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es-MX" sz="1000"/>
          </a:p>
          <a:p>
            <a:pPr algn="ctr"/>
            <a:r>
              <a:rPr lang="es-MX" sz="1000"/>
              <a:t>Limpiar</a:t>
            </a:r>
            <a:r>
              <a:rPr lang="es-MX" sz="1000" baseline="0"/>
              <a:t> Formato</a:t>
            </a:r>
            <a:endParaRPr lang="es-MX" sz="1000"/>
          </a:p>
        </xdr:txBody>
      </xdr:sp>
      <xdr:pic macro="[0]!Limpiar">
        <xdr:nvPicPr>
          <xdr:cNvPr id="11" name="10 Imagen"/>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591801" y="285751"/>
            <a:ext cx="228599" cy="228599"/>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4</xdr:col>
      <xdr:colOff>47624</xdr:colOff>
      <xdr:row>1</xdr:row>
      <xdr:rowOff>35720</xdr:rowOff>
    </xdr:from>
    <xdr:to>
      <xdr:col>4</xdr:col>
      <xdr:colOff>2369341</xdr:colOff>
      <xdr:row>1</xdr:row>
      <xdr:rowOff>559594</xdr:rowOff>
    </xdr:to>
    <xdr:pic>
      <xdr:nvPicPr>
        <xdr:cNvPr id="12" name="Imagen 1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0187" y="190501"/>
          <a:ext cx="2321717" cy="5238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cuetlac/AppData/Local/Microsoft/Windows/Temporary%20Internet%20Files/Content.Outlook/SYR988ZD/FUC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uia de llenado (2)"/>
      <sheetName val="IGC"/>
      <sheetName val="CIs"/>
      <sheetName val="Plan"/>
      <sheetName val="Matriz de comunicación"/>
      <sheetName val="BACMB"/>
      <sheetName val="Guia de llenado"/>
    </sheetNames>
    <sheetDataSet>
      <sheetData sheetId="0"/>
      <sheetData sheetId="1"/>
      <sheetData sheetId="2"/>
      <sheetData sheetId="3">
        <row r="4">
          <cell r="Q4" t="str">
            <v>T-ACOST</v>
          </cell>
          <cell r="R4">
            <v>0</v>
          </cell>
          <cell r="S4" t="str">
            <v>0;</v>
          </cell>
        </row>
        <row r="5">
          <cell r="Q5" t="str">
            <v>T-AT&amp;T</v>
          </cell>
          <cell r="R5">
            <v>0</v>
          </cell>
          <cell r="S5" t="str">
            <v>0;</v>
          </cell>
        </row>
        <row r="6">
          <cell r="Q6" t="str">
            <v>T-AVL</v>
          </cell>
          <cell r="R6">
            <v>0</v>
          </cell>
          <cell r="S6" t="str">
            <v>0;</v>
          </cell>
        </row>
        <row r="7">
          <cell r="Q7" t="str">
            <v>CCN</v>
          </cell>
          <cell r="R7">
            <v>0</v>
          </cell>
          <cell r="S7" t="str">
            <v>0;</v>
          </cell>
        </row>
        <row r="8">
          <cell r="Q8" t="str">
            <v>T-COM-SAC</v>
          </cell>
          <cell r="R8">
            <v>0</v>
          </cell>
          <cell r="S8" t="str">
            <v>0;</v>
          </cell>
        </row>
        <row r="9">
          <cell r="Q9" t="str">
            <v>T-DESARROLLO</v>
          </cell>
          <cell r="R9">
            <v>0</v>
          </cell>
          <cell r="S9" t="str">
            <v>0;</v>
          </cell>
        </row>
        <row r="10">
          <cell r="Q10" t="str">
            <v>T-EMC</v>
          </cell>
          <cell r="R10">
            <v>0</v>
          </cell>
          <cell r="S10" t="str">
            <v>0;</v>
          </cell>
        </row>
        <row r="11">
          <cell r="Q11" t="str">
            <v>T-GSR</v>
          </cell>
          <cell r="R11">
            <v>0</v>
          </cell>
          <cell r="S11" t="str">
            <v>0;</v>
          </cell>
        </row>
        <row r="12">
          <cell r="Q12" t="str">
            <v>T-HP</v>
          </cell>
          <cell r="R12">
            <v>0</v>
          </cell>
          <cell r="S12" t="str">
            <v>0;</v>
          </cell>
        </row>
        <row r="13">
          <cell r="Q13" t="str">
            <v>T-IBM</v>
          </cell>
          <cell r="R13">
            <v>0</v>
          </cell>
          <cell r="S13" t="str">
            <v>0;</v>
          </cell>
        </row>
        <row r="14">
          <cell r="Q14" t="str">
            <v>T-IBM-MTSI</v>
          </cell>
          <cell r="R14">
            <v>0</v>
          </cell>
          <cell r="S14" t="str">
            <v>0;</v>
          </cell>
        </row>
        <row r="15">
          <cell r="Q15" t="str">
            <v>T-MICRONET</v>
          </cell>
          <cell r="R15">
            <v>0</v>
          </cell>
          <cell r="S15" t="str">
            <v>0;</v>
          </cell>
        </row>
        <row r="16">
          <cell r="Q16" t="str">
            <v>T-MICROSOFT</v>
          </cell>
          <cell r="R16">
            <v>0</v>
          </cell>
          <cell r="S16" t="str">
            <v>0;</v>
          </cell>
        </row>
        <row r="17">
          <cell r="Q17" t="str">
            <v>T-MICROSOFT-PREMIER</v>
          </cell>
          <cell r="R17">
            <v>0</v>
          </cell>
          <cell r="S17" t="str">
            <v>0;</v>
          </cell>
        </row>
        <row r="18">
          <cell r="Q18" t="str">
            <v>T-NOVELL</v>
          </cell>
          <cell r="R18">
            <v>0</v>
          </cell>
          <cell r="S18" t="str">
            <v>0;</v>
          </cell>
        </row>
        <row r="19">
          <cell r="Q19" t="str">
            <v>T-OPERACIONES</v>
          </cell>
          <cell r="R19">
            <v>0</v>
          </cell>
          <cell r="S19" t="str">
            <v>0;</v>
          </cell>
        </row>
        <row r="20">
          <cell r="Q20" t="str">
            <v>T-RESPALDOS SAT</v>
          </cell>
          <cell r="R20">
            <v>0</v>
          </cell>
          <cell r="S20" t="str">
            <v>0;</v>
          </cell>
        </row>
        <row r="21">
          <cell r="Q21" t="str">
            <v>T-REMEDY</v>
          </cell>
          <cell r="R21">
            <v>0</v>
          </cell>
          <cell r="S21" t="str">
            <v>0;</v>
          </cell>
        </row>
        <row r="22">
          <cell r="Q22" t="str">
            <v>T-SCITUM</v>
          </cell>
          <cell r="R22">
            <v>0</v>
          </cell>
          <cell r="S22" t="str">
            <v>0;</v>
          </cell>
        </row>
        <row r="23">
          <cell r="Q23" t="str">
            <v>T-SAS</v>
          </cell>
          <cell r="R23">
            <v>0</v>
          </cell>
          <cell r="S23" t="str">
            <v>0;</v>
          </cell>
        </row>
        <row r="24">
          <cell r="Q24" t="str">
            <v>T-SCS</v>
          </cell>
          <cell r="R24">
            <v>0</v>
          </cell>
          <cell r="S24" t="str">
            <v>0;</v>
          </cell>
        </row>
        <row r="25">
          <cell r="Q25" t="str">
            <v>T-SYSTEMS</v>
          </cell>
          <cell r="R25">
            <v>0</v>
          </cell>
          <cell r="S25" t="str">
            <v>0;</v>
          </cell>
        </row>
        <row r="26">
          <cell r="Q26">
            <v>0</v>
          </cell>
          <cell r="R26">
            <v>0</v>
          </cell>
          <cell r="S26" t="str">
            <v>0;</v>
          </cell>
        </row>
        <row r="27">
          <cell r="Q27">
            <v>0</v>
          </cell>
          <cell r="R27">
            <v>0</v>
          </cell>
          <cell r="S27" t="str">
            <v>0;</v>
          </cell>
        </row>
        <row r="28">
          <cell r="Q28">
            <v>0</v>
          </cell>
          <cell r="R28">
            <v>0</v>
          </cell>
          <cell r="S28" t="str">
            <v>0;</v>
          </cell>
        </row>
        <row r="29">
          <cell r="Q29">
            <v>0</v>
          </cell>
          <cell r="R29">
            <v>0</v>
          </cell>
          <cell r="S29" t="str">
            <v>0;</v>
          </cell>
        </row>
        <row r="30">
          <cell r="Q30">
            <v>0</v>
          </cell>
          <cell r="R30">
            <v>0</v>
          </cell>
          <cell r="S30" t="str">
            <v>0;</v>
          </cell>
        </row>
        <row r="31">
          <cell r="Q31">
            <v>0</v>
          </cell>
          <cell r="R31">
            <v>0</v>
          </cell>
          <cell r="S31" t="str">
            <v>0;</v>
          </cell>
        </row>
        <row r="32">
          <cell r="Q32">
            <v>0</v>
          </cell>
          <cell r="R32">
            <v>0</v>
          </cell>
          <cell r="S32" t="str">
            <v>0;</v>
          </cell>
        </row>
        <row r="33">
          <cell r="Q33">
            <v>0</v>
          </cell>
          <cell r="R33">
            <v>0</v>
          </cell>
          <cell r="S33" t="str">
            <v>0;</v>
          </cell>
        </row>
        <row r="34">
          <cell r="Q34">
            <v>0</v>
          </cell>
          <cell r="R34">
            <v>0</v>
          </cell>
          <cell r="S34" t="str">
            <v>0;</v>
          </cell>
        </row>
        <row r="35">
          <cell r="Q35">
            <v>0</v>
          </cell>
          <cell r="R35">
            <v>0</v>
          </cell>
          <cell r="S35" t="str">
            <v>0;</v>
          </cell>
        </row>
        <row r="36">
          <cell r="Q36">
            <v>0</v>
          </cell>
          <cell r="R36">
            <v>0</v>
          </cell>
          <cell r="S36" t="str">
            <v>0;</v>
          </cell>
        </row>
        <row r="37">
          <cell r="Q37">
            <v>0</v>
          </cell>
          <cell r="R37">
            <v>0</v>
          </cell>
          <cell r="S37" t="str">
            <v>0;</v>
          </cell>
        </row>
        <row r="38">
          <cell r="Q38">
            <v>0</v>
          </cell>
          <cell r="R38">
            <v>0</v>
          </cell>
          <cell r="S38" t="str">
            <v>0;</v>
          </cell>
        </row>
        <row r="39">
          <cell r="Q39">
            <v>0</v>
          </cell>
          <cell r="R39">
            <v>0</v>
          </cell>
          <cell r="S39" t="str">
            <v>0;</v>
          </cell>
        </row>
        <row r="40">
          <cell r="Q40">
            <v>0</v>
          </cell>
          <cell r="R40">
            <v>0</v>
          </cell>
          <cell r="S40" t="str">
            <v>0;</v>
          </cell>
        </row>
        <row r="41">
          <cell r="Q41">
            <v>0</v>
          </cell>
          <cell r="R41">
            <v>0</v>
          </cell>
          <cell r="S41" t="str">
            <v>0;</v>
          </cell>
        </row>
        <row r="42">
          <cell r="Q42">
            <v>0</v>
          </cell>
          <cell r="R42">
            <v>0</v>
          </cell>
          <cell r="S42" t="str">
            <v>0;</v>
          </cell>
        </row>
        <row r="43">
          <cell r="Q43">
            <v>0</v>
          </cell>
          <cell r="R43">
            <v>0</v>
          </cell>
          <cell r="S43" t="str">
            <v>0;</v>
          </cell>
        </row>
        <row r="44">
          <cell r="Q44">
            <v>0</v>
          </cell>
          <cell r="R44">
            <v>0</v>
          </cell>
          <cell r="S44" t="str">
            <v>0;</v>
          </cell>
        </row>
        <row r="45">
          <cell r="Q45">
            <v>0</v>
          </cell>
          <cell r="R45">
            <v>0</v>
          </cell>
          <cell r="S45" t="str">
            <v>0;</v>
          </cell>
        </row>
        <row r="46">
          <cell r="Q46">
            <v>0</v>
          </cell>
          <cell r="R46">
            <v>0</v>
          </cell>
          <cell r="S46" t="str">
            <v>0;</v>
          </cell>
        </row>
        <row r="47">
          <cell r="Q47">
            <v>0</v>
          </cell>
          <cell r="R47">
            <v>0</v>
          </cell>
          <cell r="S47" t="str">
            <v>0;</v>
          </cell>
        </row>
        <row r="48">
          <cell r="Q48">
            <v>0</v>
          </cell>
          <cell r="R48">
            <v>0</v>
          </cell>
          <cell r="S48" t="str">
            <v>0;</v>
          </cell>
        </row>
        <row r="49">
          <cell r="Q49">
            <v>0</v>
          </cell>
          <cell r="R49">
            <v>0</v>
          </cell>
          <cell r="S49" t="str">
            <v>0;</v>
          </cell>
        </row>
        <row r="50">
          <cell r="Q50">
            <v>0</v>
          </cell>
          <cell r="R50">
            <v>0</v>
          </cell>
          <cell r="S50" t="str">
            <v>0;</v>
          </cell>
        </row>
        <row r="51">
          <cell r="R51">
            <v>0</v>
          </cell>
          <cell r="S51" t="str">
            <v>0;</v>
          </cell>
        </row>
        <row r="52">
          <cell r="R52">
            <v>0</v>
          </cell>
          <cell r="S52" t="str">
            <v>0;</v>
          </cell>
        </row>
        <row r="53">
          <cell r="R53">
            <v>0</v>
          </cell>
          <cell r="S53" t="str">
            <v>0;</v>
          </cell>
        </row>
        <row r="54">
          <cell r="R54">
            <v>0</v>
          </cell>
          <cell r="S54" t="str">
            <v>0;</v>
          </cell>
        </row>
        <row r="55">
          <cell r="R55">
            <v>0</v>
          </cell>
          <cell r="S55" t="str">
            <v>0;</v>
          </cell>
        </row>
        <row r="56">
          <cell r="R56">
            <v>0</v>
          </cell>
          <cell r="S56" t="str">
            <v>0;</v>
          </cell>
        </row>
        <row r="57">
          <cell r="R57">
            <v>0</v>
          </cell>
          <cell r="S57" t="str">
            <v>0;</v>
          </cell>
        </row>
        <row r="58">
          <cell r="R58">
            <v>0</v>
          </cell>
          <cell r="S58" t="str">
            <v>0;</v>
          </cell>
        </row>
        <row r="59">
          <cell r="R59">
            <v>0</v>
          </cell>
          <cell r="S59" t="str">
            <v>0;</v>
          </cell>
        </row>
        <row r="60">
          <cell r="R60">
            <v>0</v>
          </cell>
          <cell r="S60" t="str">
            <v>0;</v>
          </cell>
        </row>
        <row r="61">
          <cell r="R61">
            <v>0</v>
          </cell>
          <cell r="S61" t="str">
            <v>0;</v>
          </cell>
        </row>
        <row r="62">
          <cell r="R62">
            <v>0</v>
          </cell>
          <cell r="S62" t="str">
            <v>0;</v>
          </cell>
        </row>
        <row r="63">
          <cell r="R63">
            <v>0</v>
          </cell>
          <cell r="S63" t="str">
            <v>0;</v>
          </cell>
        </row>
        <row r="64">
          <cell r="R64">
            <v>0</v>
          </cell>
          <cell r="S64" t="str">
            <v>0;</v>
          </cell>
        </row>
        <row r="65">
          <cell r="R65">
            <v>0</v>
          </cell>
          <cell r="S65" t="str">
            <v>0;</v>
          </cell>
        </row>
        <row r="66">
          <cell r="R66">
            <v>0</v>
          </cell>
          <cell r="S66" t="str">
            <v>0;</v>
          </cell>
        </row>
        <row r="67">
          <cell r="R67">
            <v>0</v>
          </cell>
          <cell r="S67" t="str">
            <v>0;</v>
          </cell>
        </row>
        <row r="68">
          <cell r="R68">
            <v>0</v>
          </cell>
          <cell r="S68" t="str">
            <v>0;</v>
          </cell>
        </row>
        <row r="69">
          <cell r="R69">
            <v>0</v>
          </cell>
          <cell r="S69" t="str">
            <v>0;</v>
          </cell>
        </row>
        <row r="70">
          <cell r="R70">
            <v>0</v>
          </cell>
          <cell r="S70" t="str">
            <v>0;</v>
          </cell>
        </row>
        <row r="71">
          <cell r="R71">
            <v>0</v>
          </cell>
          <cell r="S71" t="str">
            <v>0;</v>
          </cell>
        </row>
        <row r="72">
          <cell r="R72">
            <v>0</v>
          </cell>
          <cell r="S72" t="str">
            <v>0;</v>
          </cell>
        </row>
        <row r="73">
          <cell r="R73">
            <v>0</v>
          </cell>
          <cell r="S73" t="str">
            <v>0;</v>
          </cell>
        </row>
        <row r="74">
          <cell r="R74">
            <v>0</v>
          </cell>
          <cell r="S74" t="str">
            <v>0;</v>
          </cell>
        </row>
        <row r="75">
          <cell r="R75">
            <v>0</v>
          </cell>
          <cell r="S75" t="str">
            <v>0;</v>
          </cell>
        </row>
        <row r="76">
          <cell r="R76">
            <v>0</v>
          </cell>
          <cell r="S76" t="str">
            <v>0;</v>
          </cell>
        </row>
        <row r="77">
          <cell r="R77">
            <v>0</v>
          </cell>
          <cell r="S77" t="str">
            <v>0;</v>
          </cell>
        </row>
        <row r="78">
          <cell r="R78">
            <v>0</v>
          </cell>
          <cell r="S78" t="str">
            <v>0;</v>
          </cell>
        </row>
        <row r="79">
          <cell r="R79">
            <v>0</v>
          </cell>
          <cell r="S79" t="str">
            <v>0;</v>
          </cell>
        </row>
        <row r="80">
          <cell r="R80">
            <v>0</v>
          </cell>
          <cell r="S80" t="str">
            <v>0;</v>
          </cell>
        </row>
        <row r="81">
          <cell r="R81">
            <v>0</v>
          </cell>
          <cell r="S81" t="str">
            <v>0;</v>
          </cell>
        </row>
        <row r="82">
          <cell r="R82">
            <v>0</v>
          </cell>
          <cell r="S82" t="str">
            <v>0;</v>
          </cell>
        </row>
        <row r="83">
          <cell r="R83">
            <v>0</v>
          </cell>
          <cell r="S83" t="str">
            <v>0;</v>
          </cell>
        </row>
        <row r="84">
          <cell r="R84">
            <v>0</v>
          </cell>
          <cell r="S84" t="str">
            <v>0;</v>
          </cell>
        </row>
        <row r="85">
          <cell r="R85">
            <v>0</v>
          </cell>
          <cell r="S85" t="str">
            <v>0;</v>
          </cell>
        </row>
        <row r="86">
          <cell r="R86">
            <v>0</v>
          </cell>
          <cell r="S86" t="str">
            <v>0;</v>
          </cell>
        </row>
        <row r="87">
          <cell r="R87">
            <v>0</v>
          </cell>
          <cell r="S87" t="str">
            <v>0;</v>
          </cell>
        </row>
        <row r="88">
          <cell r="R88">
            <v>0</v>
          </cell>
          <cell r="S88" t="str">
            <v>0;</v>
          </cell>
        </row>
        <row r="89">
          <cell r="R89">
            <v>0</v>
          </cell>
          <cell r="S89" t="str">
            <v>0;</v>
          </cell>
        </row>
        <row r="90">
          <cell r="R90">
            <v>0</v>
          </cell>
          <cell r="S90" t="str">
            <v>0;</v>
          </cell>
        </row>
        <row r="91">
          <cell r="R91">
            <v>0</v>
          </cell>
          <cell r="S91" t="str">
            <v>0;</v>
          </cell>
        </row>
        <row r="92">
          <cell r="R92">
            <v>0</v>
          </cell>
          <cell r="S92" t="str">
            <v>0;</v>
          </cell>
        </row>
        <row r="93">
          <cell r="R93">
            <v>0</v>
          </cell>
          <cell r="S93" t="str">
            <v>0;</v>
          </cell>
        </row>
        <row r="94">
          <cell r="R94">
            <v>0</v>
          </cell>
          <cell r="S94" t="str">
            <v>0;</v>
          </cell>
        </row>
        <row r="95">
          <cell r="R95">
            <v>0</v>
          </cell>
          <cell r="S95" t="str">
            <v>0;</v>
          </cell>
        </row>
        <row r="96">
          <cell r="R96">
            <v>0</v>
          </cell>
          <cell r="S96" t="str">
            <v>0;</v>
          </cell>
        </row>
        <row r="97">
          <cell r="R97">
            <v>0</v>
          </cell>
          <cell r="S97" t="str">
            <v>0;</v>
          </cell>
        </row>
        <row r="98">
          <cell r="R98">
            <v>0</v>
          </cell>
          <cell r="S98" t="str">
            <v>0;</v>
          </cell>
        </row>
        <row r="99">
          <cell r="R99">
            <v>0</v>
          </cell>
          <cell r="S99" t="str">
            <v>0;</v>
          </cell>
        </row>
        <row r="100">
          <cell r="R100">
            <v>0</v>
          </cell>
          <cell r="S100" t="str">
            <v>0;</v>
          </cell>
        </row>
        <row r="101">
          <cell r="R101">
            <v>0</v>
          </cell>
          <cell r="S101" t="str">
            <v>0;</v>
          </cell>
        </row>
        <row r="102">
          <cell r="R102">
            <v>0</v>
          </cell>
          <cell r="S102" t="str">
            <v>0;</v>
          </cell>
        </row>
        <row r="103">
          <cell r="R103">
            <v>0</v>
          </cell>
          <cell r="S103" t="str">
            <v>0;</v>
          </cell>
        </row>
        <row r="104">
          <cell r="R104">
            <v>0</v>
          </cell>
          <cell r="S104" t="str">
            <v>0;</v>
          </cell>
        </row>
        <row r="105">
          <cell r="R105">
            <v>0</v>
          </cell>
          <cell r="S105" t="str">
            <v>0;</v>
          </cell>
        </row>
        <row r="106">
          <cell r="R106">
            <v>0</v>
          </cell>
          <cell r="S106" t="str">
            <v>0;</v>
          </cell>
        </row>
        <row r="107">
          <cell r="R107">
            <v>0</v>
          </cell>
          <cell r="S107" t="str">
            <v>0;</v>
          </cell>
        </row>
        <row r="108">
          <cell r="R108">
            <v>0</v>
          </cell>
          <cell r="S108" t="str">
            <v>0;</v>
          </cell>
        </row>
        <row r="109">
          <cell r="R109">
            <v>0</v>
          </cell>
          <cell r="S109" t="str">
            <v>0;</v>
          </cell>
        </row>
        <row r="110">
          <cell r="R110">
            <v>0</v>
          </cell>
          <cell r="S110" t="str">
            <v>0;</v>
          </cell>
        </row>
        <row r="111">
          <cell r="R111">
            <v>0</v>
          </cell>
          <cell r="S111" t="str">
            <v>0;</v>
          </cell>
        </row>
        <row r="112">
          <cell r="R112">
            <v>0</v>
          </cell>
          <cell r="S112" t="str">
            <v>0;</v>
          </cell>
        </row>
        <row r="113">
          <cell r="R113">
            <v>0</v>
          </cell>
          <cell r="S113" t="str">
            <v>0;</v>
          </cell>
        </row>
        <row r="114">
          <cell r="R114">
            <v>0</v>
          </cell>
          <cell r="S114" t="str">
            <v>0;</v>
          </cell>
        </row>
        <row r="115">
          <cell r="R115">
            <v>0</v>
          </cell>
          <cell r="S115" t="str">
            <v>0;</v>
          </cell>
        </row>
        <row r="116">
          <cell r="R116">
            <v>0</v>
          </cell>
          <cell r="S116" t="str">
            <v>0;</v>
          </cell>
        </row>
        <row r="117">
          <cell r="R117">
            <v>0</v>
          </cell>
          <cell r="S117" t="str">
            <v>0;</v>
          </cell>
        </row>
        <row r="118">
          <cell r="R118">
            <v>0</v>
          </cell>
          <cell r="S118" t="str">
            <v>0;</v>
          </cell>
        </row>
        <row r="119">
          <cell r="R119">
            <v>0</v>
          </cell>
          <cell r="S119" t="str">
            <v>0;</v>
          </cell>
        </row>
        <row r="120">
          <cell r="R120">
            <v>0</v>
          </cell>
          <cell r="S120" t="str">
            <v>0;</v>
          </cell>
        </row>
        <row r="121">
          <cell r="R121">
            <v>0</v>
          </cell>
          <cell r="S121" t="str">
            <v>0;</v>
          </cell>
        </row>
        <row r="122">
          <cell r="R122">
            <v>0</v>
          </cell>
          <cell r="S122" t="str">
            <v>0;</v>
          </cell>
        </row>
        <row r="123">
          <cell r="R123">
            <v>0</v>
          </cell>
          <cell r="S123" t="str">
            <v>0;</v>
          </cell>
        </row>
        <row r="124">
          <cell r="R124">
            <v>0</v>
          </cell>
          <cell r="S124" t="str">
            <v>0;</v>
          </cell>
        </row>
        <row r="125">
          <cell r="R125">
            <v>0</v>
          </cell>
          <cell r="S125" t="str">
            <v>0;</v>
          </cell>
        </row>
        <row r="126">
          <cell r="R126">
            <v>0</v>
          </cell>
          <cell r="S126" t="str">
            <v>0;</v>
          </cell>
        </row>
        <row r="127">
          <cell r="R127">
            <v>0</v>
          </cell>
          <cell r="S127" t="str">
            <v>0;</v>
          </cell>
        </row>
        <row r="128">
          <cell r="R128">
            <v>0</v>
          </cell>
          <cell r="S128" t="str">
            <v>0;</v>
          </cell>
        </row>
        <row r="129">
          <cell r="R129">
            <v>0</v>
          </cell>
          <cell r="S129" t="str">
            <v>0;</v>
          </cell>
        </row>
        <row r="130">
          <cell r="R130">
            <v>0</v>
          </cell>
          <cell r="S130" t="str">
            <v>0;</v>
          </cell>
        </row>
        <row r="131">
          <cell r="R131">
            <v>0</v>
          </cell>
          <cell r="S131" t="str">
            <v>0;</v>
          </cell>
        </row>
        <row r="132">
          <cell r="R132">
            <v>0</v>
          </cell>
          <cell r="S132" t="str">
            <v>0;</v>
          </cell>
        </row>
        <row r="133">
          <cell r="R133">
            <v>0</v>
          </cell>
          <cell r="S133" t="str">
            <v>0;</v>
          </cell>
        </row>
        <row r="134">
          <cell r="R134">
            <v>0</v>
          </cell>
          <cell r="S134" t="str">
            <v>0;</v>
          </cell>
        </row>
        <row r="135">
          <cell r="R135">
            <v>0</v>
          </cell>
          <cell r="S135" t="str">
            <v>0;</v>
          </cell>
        </row>
        <row r="136">
          <cell r="R136">
            <v>0</v>
          </cell>
          <cell r="S136" t="str">
            <v>0;</v>
          </cell>
        </row>
        <row r="137">
          <cell r="R137">
            <v>0</v>
          </cell>
          <cell r="S137" t="str">
            <v>0;</v>
          </cell>
        </row>
        <row r="138">
          <cell r="R138">
            <v>0</v>
          </cell>
          <cell r="S138" t="str">
            <v>0;</v>
          </cell>
        </row>
        <row r="139">
          <cell r="R139">
            <v>0</v>
          </cell>
          <cell r="S139" t="str">
            <v>0;</v>
          </cell>
        </row>
        <row r="140">
          <cell r="R140">
            <v>0</v>
          </cell>
          <cell r="S140" t="str">
            <v>0;</v>
          </cell>
        </row>
        <row r="141">
          <cell r="R141">
            <v>0</v>
          </cell>
          <cell r="S141" t="str">
            <v>0;</v>
          </cell>
        </row>
        <row r="142">
          <cell r="R142">
            <v>0</v>
          </cell>
          <cell r="S142" t="str">
            <v>0;</v>
          </cell>
        </row>
        <row r="143">
          <cell r="R143">
            <v>0</v>
          </cell>
          <cell r="S143" t="str">
            <v>0;</v>
          </cell>
        </row>
        <row r="144">
          <cell r="R144">
            <v>0</v>
          </cell>
          <cell r="S144" t="str">
            <v>0;</v>
          </cell>
        </row>
        <row r="145">
          <cell r="R145">
            <v>0</v>
          </cell>
          <cell r="S145" t="str">
            <v>0;</v>
          </cell>
        </row>
        <row r="146">
          <cell r="R146">
            <v>0</v>
          </cell>
          <cell r="S146" t="str">
            <v>0;</v>
          </cell>
        </row>
        <row r="147">
          <cell r="R147">
            <v>0</v>
          </cell>
          <cell r="S147" t="str">
            <v>0;</v>
          </cell>
        </row>
        <row r="148">
          <cell r="R148">
            <v>0</v>
          </cell>
          <cell r="S148" t="str">
            <v>0;</v>
          </cell>
        </row>
        <row r="149">
          <cell r="R149">
            <v>0</v>
          </cell>
          <cell r="S149" t="str">
            <v>0;</v>
          </cell>
        </row>
        <row r="150">
          <cell r="R150">
            <v>0</v>
          </cell>
          <cell r="S150" t="str">
            <v>0;</v>
          </cell>
        </row>
        <row r="151">
          <cell r="R151">
            <v>0</v>
          </cell>
          <cell r="S151" t="str">
            <v>0;</v>
          </cell>
        </row>
        <row r="152">
          <cell r="R152">
            <v>0</v>
          </cell>
          <cell r="S152" t="str">
            <v>0;</v>
          </cell>
        </row>
        <row r="153">
          <cell r="R153">
            <v>0</v>
          </cell>
          <cell r="S153" t="str">
            <v>0;</v>
          </cell>
        </row>
        <row r="154">
          <cell r="R154">
            <v>0</v>
          </cell>
          <cell r="S154" t="str">
            <v>0;</v>
          </cell>
        </row>
        <row r="155">
          <cell r="R155">
            <v>0</v>
          </cell>
          <cell r="S155" t="str">
            <v>0;</v>
          </cell>
        </row>
        <row r="156">
          <cell r="R156">
            <v>0</v>
          </cell>
          <cell r="S156" t="str">
            <v>0;</v>
          </cell>
        </row>
        <row r="157">
          <cell r="R157">
            <v>0</v>
          </cell>
          <cell r="S157" t="str">
            <v>0;</v>
          </cell>
        </row>
        <row r="158">
          <cell r="R158">
            <v>0</v>
          </cell>
          <cell r="S158" t="str">
            <v>0;</v>
          </cell>
        </row>
        <row r="159">
          <cell r="R159">
            <v>0</v>
          </cell>
          <cell r="S159" t="str">
            <v>0;</v>
          </cell>
        </row>
        <row r="160">
          <cell r="R160">
            <v>0</v>
          </cell>
          <cell r="S160" t="str">
            <v>0;</v>
          </cell>
        </row>
        <row r="161">
          <cell r="R161">
            <v>0</v>
          </cell>
          <cell r="S161" t="str">
            <v>0;</v>
          </cell>
        </row>
        <row r="162">
          <cell r="R162">
            <v>0</v>
          </cell>
          <cell r="S162" t="str">
            <v>0;</v>
          </cell>
        </row>
        <row r="163">
          <cell r="R163">
            <v>0</v>
          </cell>
          <cell r="S163" t="str">
            <v>0;</v>
          </cell>
        </row>
        <row r="164">
          <cell r="R164">
            <v>0</v>
          </cell>
          <cell r="S164" t="str">
            <v>0;</v>
          </cell>
        </row>
        <row r="165">
          <cell r="R165">
            <v>0</v>
          </cell>
          <cell r="S165" t="str">
            <v>0;</v>
          </cell>
        </row>
        <row r="166">
          <cell r="R166">
            <v>0</v>
          </cell>
          <cell r="S166" t="str">
            <v>0;</v>
          </cell>
        </row>
        <row r="167">
          <cell r="R167">
            <v>0</v>
          </cell>
          <cell r="S167" t="str">
            <v>0;</v>
          </cell>
        </row>
        <row r="168">
          <cell r="R168">
            <v>0</v>
          </cell>
          <cell r="S168" t="str">
            <v>0;</v>
          </cell>
        </row>
        <row r="169">
          <cell r="R169">
            <v>0</v>
          </cell>
          <cell r="S169" t="str">
            <v>0;</v>
          </cell>
        </row>
        <row r="170">
          <cell r="R170">
            <v>0</v>
          </cell>
          <cell r="S170" t="str">
            <v>0;</v>
          </cell>
        </row>
        <row r="171">
          <cell r="R171">
            <v>0</v>
          </cell>
          <cell r="S171" t="str">
            <v>0;</v>
          </cell>
        </row>
        <row r="172">
          <cell r="R172">
            <v>0</v>
          </cell>
          <cell r="S172" t="str">
            <v>0;</v>
          </cell>
        </row>
        <row r="173">
          <cell r="R173">
            <v>0</v>
          </cell>
          <cell r="S173" t="str">
            <v>0;</v>
          </cell>
        </row>
        <row r="174">
          <cell r="R174">
            <v>0</v>
          </cell>
          <cell r="S174" t="str">
            <v>0;</v>
          </cell>
        </row>
        <row r="175">
          <cell r="R175">
            <v>0</v>
          </cell>
          <cell r="S175" t="str">
            <v>0;</v>
          </cell>
        </row>
        <row r="176">
          <cell r="R176">
            <v>0</v>
          </cell>
          <cell r="S176" t="str">
            <v>0;</v>
          </cell>
        </row>
        <row r="177">
          <cell r="R177">
            <v>0</v>
          </cell>
          <cell r="S177" t="str">
            <v>0;</v>
          </cell>
        </row>
        <row r="178">
          <cell r="R178">
            <v>0</v>
          </cell>
          <cell r="S178" t="str">
            <v>0;</v>
          </cell>
        </row>
        <row r="179">
          <cell r="R179">
            <v>0</v>
          </cell>
          <cell r="S179" t="str">
            <v>0;</v>
          </cell>
        </row>
        <row r="180">
          <cell r="R180">
            <v>0</v>
          </cell>
          <cell r="S180" t="str">
            <v>0;</v>
          </cell>
        </row>
        <row r="181">
          <cell r="R181">
            <v>0</v>
          </cell>
          <cell r="S181" t="str">
            <v>0;</v>
          </cell>
        </row>
        <row r="182">
          <cell r="R182">
            <v>0</v>
          </cell>
          <cell r="S182" t="str">
            <v>0;</v>
          </cell>
        </row>
        <row r="183">
          <cell r="R183">
            <v>0</v>
          </cell>
          <cell r="S183" t="str">
            <v>0;</v>
          </cell>
        </row>
        <row r="184">
          <cell r="R184">
            <v>0</v>
          </cell>
          <cell r="S184" t="str">
            <v>0;</v>
          </cell>
        </row>
        <row r="185">
          <cell r="R185">
            <v>0</v>
          </cell>
          <cell r="S185" t="str">
            <v>0;</v>
          </cell>
        </row>
        <row r="186">
          <cell r="R186">
            <v>0</v>
          </cell>
          <cell r="S186" t="str">
            <v>0;</v>
          </cell>
        </row>
        <row r="187">
          <cell r="R187">
            <v>0</v>
          </cell>
          <cell r="S187" t="str">
            <v>0;</v>
          </cell>
        </row>
        <row r="188">
          <cell r="R188">
            <v>0</v>
          </cell>
          <cell r="S188" t="str">
            <v>0;</v>
          </cell>
        </row>
        <row r="189">
          <cell r="R189">
            <v>0</v>
          </cell>
          <cell r="S189" t="str">
            <v>0;</v>
          </cell>
        </row>
        <row r="190">
          <cell r="R190">
            <v>0</v>
          </cell>
          <cell r="S190" t="str">
            <v>0;</v>
          </cell>
        </row>
        <row r="191">
          <cell r="R191">
            <v>0</v>
          </cell>
          <cell r="S191" t="str">
            <v>0;</v>
          </cell>
        </row>
        <row r="192">
          <cell r="R192">
            <v>0</v>
          </cell>
          <cell r="S192" t="str">
            <v>0;</v>
          </cell>
        </row>
        <row r="193">
          <cell r="R193">
            <v>0</v>
          </cell>
          <cell r="S193" t="str">
            <v>0;</v>
          </cell>
        </row>
        <row r="194">
          <cell r="R194">
            <v>0</v>
          </cell>
          <cell r="S194" t="str">
            <v>0;</v>
          </cell>
        </row>
        <row r="195">
          <cell r="R195">
            <v>0</v>
          </cell>
          <cell r="S195" t="str">
            <v>0;</v>
          </cell>
        </row>
        <row r="196">
          <cell r="R196">
            <v>0</v>
          </cell>
          <cell r="S196" t="str">
            <v>0;</v>
          </cell>
        </row>
        <row r="197">
          <cell r="R197">
            <v>0</v>
          </cell>
          <cell r="S197" t="str">
            <v>0;</v>
          </cell>
        </row>
        <row r="198">
          <cell r="R198">
            <v>0</v>
          </cell>
          <cell r="S198" t="str">
            <v>0;</v>
          </cell>
        </row>
        <row r="199">
          <cell r="R199">
            <v>0</v>
          </cell>
          <cell r="S199" t="str">
            <v>0;</v>
          </cell>
        </row>
        <row r="200">
          <cell r="R200">
            <v>0</v>
          </cell>
          <cell r="S200" t="str">
            <v>0;</v>
          </cell>
        </row>
        <row r="201">
          <cell r="R201">
            <v>0</v>
          </cell>
          <cell r="S201" t="str">
            <v>0;</v>
          </cell>
        </row>
      </sheetData>
      <sheetData sheetId="4">
        <row r="17">
          <cell r="K17" t="str">
            <v>GACOST</v>
          </cell>
        </row>
        <row r="18">
          <cell r="K18" t="str">
            <v>GAVL</v>
          </cell>
        </row>
        <row r="19">
          <cell r="K19" t="str">
            <v>CCN</v>
          </cell>
        </row>
        <row r="20">
          <cell r="K20" t="str">
            <v>GCOMUNICACIONESSAC</v>
          </cell>
        </row>
        <row r="21">
          <cell r="K21" t="str">
            <v>GDESARROLLO</v>
          </cell>
        </row>
        <row r="22">
          <cell r="K22" t="str">
            <v>GEMC</v>
          </cell>
        </row>
        <row r="23">
          <cell r="K23" t="str">
            <v>GGSR</v>
          </cell>
        </row>
        <row r="24">
          <cell r="K24" t="str">
            <v>GHP</v>
          </cell>
        </row>
        <row r="25">
          <cell r="K25" t="str">
            <v>GIBM</v>
          </cell>
        </row>
        <row r="26">
          <cell r="K26" t="str">
            <v>GIBM_MTSI</v>
          </cell>
        </row>
        <row r="27">
          <cell r="K27" t="str">
            <v>GMICRONET</v>
          </cell>
        </row>
        <row r="28">
          <cell r="K28" t="str">
            <v>GMICROSOFT</v>
          </cell>
        </row>
        <row r="29">
          <cell r="K29" t="str">
            <v>GMICROSOFT-PREMIER</v>
          </cell>
        </row>
        <row r="30">
          <cell r="K30" t="str">
            <v>GNOVELL</v>
          </cell>
        </row>
        <row r="31">
          <cell r="K31" t="str">
            <v>NEGOCIO</v>
          </cell>
        </row>
        <row r="32">
          <cell r="K32" t="str">
            <v>GRESPALDOS SAT</v>
          </cell>
        </row>
        <row r="33">
          <cell r="K33" t="str">
            <v>GREMEDY</v>
          </cell>
        </row>
        <row r="34">
          <cell r="K34" t="str">
            <v>GSEGURIDAD</v>
          </cell>
        </row>
        <row r="35">
          <cell r="K35" t="str">
            <v>GSCITUM</v>
          </cell>
        </row>
        <row r="36">
          <cell r="K36" t="str">
            <v>GSCS</v>
          </cell>
        </row>
        <row r="37">
          <cell r="K37" t="str">
            <v>GSSO3</v>
          </cell>
        </row>
        <row r="38">
          <cell r="K38" t="str">
            <v>MCCTI</v>
          </cell>
        </row>
        <row r="39">
          <cell r="K39">
            <v>0</v>
          </cell>
        </row>
        <row r="40">
          <cell r="K40">
            <v>0</v>
          </cell>
        </row>
      </sheetData>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S55"/>
  <sheetViews>
    <sheetView zoomScale="80" zoomScaleNormal="80" zoomScaleSheetLayoutView="100" workbookViewId="0">
      <selection activeCell="E12" sqref="E12"/>
    </sheetView>
  </sheetViews>
  <sheetFormatPr defaultColWidth="11.42578125" defaultRowHeight="12"/>
  <cols>
    <col min="1" max="1" width="5.140625" style="98" customWidth="1"/>
    <col min="2" max="2" width="44.7109375" style="145" customWidth="1"/>
    <col min="3" max="3" width="48.85546875" style="98" customWidth="1"/>
    <col min="4" max="4" width="37.28515625" style="98" customWidth="1"/>
    <col min="5" max="5" width="36.140625" style="98" customWidth="1"/>
    <col min="6" max="6" width="14.28515625" style="98" customWidth="1"/>
    <col min="7" max="7" width="10.28515625" style="98" customWidth="1"/>
    <col min="8" max="8" width="36.140625" style="98" customWidth="1"/>
    <col min="9" max="9" width="11.42578125" style="98" customWidth="1"/>
    <col min="10" max="16384" width="11.42578125" style="98"/>
  </cols>
  <sheetData>
    <row r="1" spans="1:19" s="91" customFormat="1" ht="12" customHeight="1">
      <c r="B1" s="107"/>
    </row>
    <row r="2" spans="1:19" ht="45" customHeight="1">
      <c r="A2" s="96"/>
      <c r="B2" s="195" t="s">
        <v>209</v>
      </c>
      <c r="C2" s="195"/>
      <c r="D2" s="195"/>
      <c r="E2" s="108"/>
      <c r="F2" s="96"/>
      <c r="G2" s="96"/>
      <c r="H2" s="96"/>
      <c r="I2" s="109"/>
    </row>
    <row r="3" spans="1:19" ht="3" customHeight="1">
      <c r="A3" s="96"/>
      <c r="B3" s="110"/>
      <c r="C3" s="111"/>
      <c r="D3" s="112"/>
      <c r="E3" s="112"/>
      <c r="F3" s="96"/>
      <c r="G3" s="96"/>
      <c r="H3" s="96"/>
      <c r="I3" s="109"/>
    </row>
    <row r="4" spans="1:19" ht="17.25" customHeight="1">
      <c r="A4" s="96"/>
      <c r="B4" s="172" t="s">
        <v>301</v>
      </c>
      <c r="C4" s="173"/>
      <c r="D4" s="173"/>
      <c r="E4" s="175" t="s">
        <v>302</v>
      </c>
      <c r="F4" s="96"/>
      <c r="G4" s="96"/>
      <c r="H4" s="96"/>
      <c r="I4" s="109"/>
    </row>
    <row r="5" spans="1:19" ht="30" customHeight="1">
      <c r="A5" s="113"/>
      <c r="B5" s="106" t="s">
        <v>187</v>
      </c>
      <c r="C5" s="114"/>
      <c r="D5" s="106" t="s">
        <v>194</v>
      </c>
      <c r="E5" s="115" t="s">
        <v>304</v>
      </c>
      <c r="F5" s="91"/>
      <c r="G5" s="91"/>
      <c r="H5" s="91"/>
      <c r="I5" s="116"/>
      <c r="S5" s="169"/>
    </row>
    <row r="6" spans="1:19" ht="42" customHeight="1">
      <c r="A6" s="113"/>
      <c r="B6" s="117" t="s">
        <v>207</v>
      </c>
      <c r="C6" s="118" t="s">
        <v>303</v>
      </c>
      <c r="D6" s="117" t="s">
        <v>210</v>
      </c>
      <c r="E6" s="118"/>
      <c r="F6" s="91"/>
      <c r="G6" s="119"/>
      <c r="H6" s="91"/>
      <c r="S6" s="169"/>
    </row>
    <row r="7" spans="1:19" ht="53.25" customHeight="1">
      <c r="A7" s="113"/>
      <c r="B7" s="106" t="s">
        <v>195</v>
      </c>
      <c r="C7" s="114" t="s">
        <v>305</v>
      </c>
      <c r="D7" s="106" t="s">
        <v>183</v>
      </c>
      <c r="E7" s="114" t="s">
        <v>306</v>
      </c>
      <c r="F7" s="91"/>
      <c r="G7" s="118"/>
      <c r="H7" s="120" t="s">
        <v>73</v>
      </c>
      <c r="S7" s="169"/>
    </row>
    <row r="8" spans="1:19" ht="60.75" customHeight="1">
      <c r="A8" s="113"/>
      <c r="B8" s="121" t="s">
        <v>181</v>
      </c>
      <c r="C8" s="118" t="s">
        <v>307</v>
      </c>
      <c r="D8" s="121" t="s">
        <v>184</v>
      </c>
      <c r="E8" s="171" t="s">
        <v>296</v>
      </c>
      <c r="F8" s="91"/>
      <c r="G8" s="170" t="s">
        <v>297</v>
      </c>
      <c r="H8" s="122" t="s">
        <v>295</v>
      </c>
      <c r="I8" s="116"/>
      <c r="S8" s="169"/>
    </row>
    <row r="9" spans="1:19" ht="50.25" customHeight="1">
      <c r="A9" s="113"/>
      <c r="B9" s="106" t="s">
        <v>179</v>
      </c>
      <c r="C9" s="196" t="s">
        <v>308</v>
      </c>
      <c r="D9" s="197"/>
      <c r="E9" s="198"/>
      <c r="F9" s="91"/>
      <c r="G9" s="170" t="s">
        <v>295</v>
      </c>
      <c r="H9" s="91"/>
      <c r="I9" s="116"/>
      <c r="S9" s="169"/>
    </row>
    <row r="10" spans="1:19" ht="63.75" customHeight="1">
      <c r="A10" s="113"/>
      <c r="B10" s="121" t="s">
        <v>180</v>
      </c>
      <c r="C10" s="196" t="s">
        <v>309</v>
      </c>
      <c r="D10" s="197"/>
      <c r="E10" s="198"/>
      <c r="F10" s="91"/>
      <c r="G10" s="170" t="s">
        <v>296</v>
      </c>
      <c r="H10" s="91"/>
      <c r="I10" s="123"/>
      <c r="S10" s="169"/>
    </row>
    <row r="11" spans="1:19" ht="45.75" customHeight="1">
      <c r="A11" s="113"/>
      <c r="B11" s="121" t="s">
        <v>182</v>
      </c>
      <c r="C11" s="114" t="s">
        <v>310</v>
      </c>
      <c r="D11" s="199" t="str">
        <f>IF(C11="Estándar","Deberás adjuntar el documento acuerdo y criterios para aceptación de cambio Estándar refiriendolo en el campo Documentos Adjuntos celda C14 ",IF(C11="Emergente","Deberás capturar el número de incidente en celda C6  o en su caso adjuntar el correo del Administrador del área que aprueba la actividad, deberás hacer referencia del documento en el campo Documentos Adjuntos celda C14",""))</f>
        <v/>
      </c>
      <c r="E11" s="200"/>
      <c r="F11" s="91"/>
      <c r="G11" s="170" t="s">
        <v>298</v>
      </c>
      <c r="H11" s="91"/>
      <c r="I11" s="123"/>
      <c r="S11" s="169"/>
    </row>
    <row r="12" spans="1:19" ht="66.75" customHeight="1">
      <c r="A12" s="113"/>
      <c r="B12" s="106" t="s">
        <v>272</v>
      </c>
      <c r="C12" s="118" t="s">
        <v>311</v>
      </c>
      <c r="D12" s="106" t="s">
        <v>196</v>
      </c>
      <c r="E12" s="115" t="s">
        <v>313</v>
      </c>
      <c r="F12" s="91"/>
      <c r="G12" s="170" t="s">
        <v>68</v>
      </c>
      <c r="H12" s="91"/>
      <c r="I12" s="123"/>
      <c r="S12" s="169"/>
    </row>
    <row r="13" spans="1:19" ht="49.5" customHeight="1">
      <c r="A13" s="113"/>
      <c r="B13" s="106" t="s">
        <v>197</v>
      </c>
      <c r="C13" s="114" t="s">
        <v>312</v>
      </c>
      <c r="D13" s="124" t="s">
        <v>199</v>
      </c>
      <c r="E13" s="114"/>
      <c r="F13" s="91"/>
      <c r="G13" s="170" t="s">
        <v>299</v>
      </c>
      <c r="H13" s="91"/>
    </row>
    <row r="14" spans="1:19" ht="27.75" customHeight="1">
      <c r="A14" s="113"/>
      <c r="B14" s="121" t="s">
        <v>212</v>
      </c>
      <c r="C14" s="196" t="s">
        <v>305</v>
      </c>
      <c r="D14" s="197"/>
      <c r="E14" s="198"/>
      <c r="F14" s="91"/>
      <c r="G14" s="170" t="s">
        <v>300</v>
      </c>
      <c r="H14" s="91"/>
    </row>
    <row r="15" spans="1:19" ht="47.25" customHeight="1">
      <c r="A15" s="113"/>
      <c r="B15" s="106" t="s">
        <v>198</v>
      </c>
      <c r="C15" s="196" t="s">
        <v>305</v>
      </c>
      <c r="D15" s="197"/>
      <c r="E15" s="198"/>
      <c r="F15" s="91"/>
      <c r="G15" s="91"/>
      <c r="H15" s="91"/>
    </row>
    <row r="16" spans="1:19" ht="21" customHeight="1">
      <c r="A16" s="113"/>
      <c r="B16" s="192" t="s">
        <v>148</v>
      </c>
      <c r="C16" s="193"/>
      <c r="D16" s="193"/>
      <c r="E16" s="194"/>
      <c r="F16" s="91"/>
      <c r="G16" s="91"/>
      <c r="H16" s="91"/>
    </row>
    <row r="17" spans="1:8" ht="57" customHeight="1">
      <c r="A17" s="113"/>
      <c r="B17" s="125" t="s">
        <v>200</v>
      </c>
      <c r="C17" s="182"/>
      <c r="D17" s="183"/>
      <c r="E17" s="184"/>
      <c r="F17" s="91"/>
      <c r="G17" s="126"/>
      <c r="H17" s="127"/>
    </row>
    <row r="18" spans="1:8" ht="58.5" customHeight="1">
      <c r="A18" s="113"/>
      <c r="B18" s="128" t="s">
        <v>214</v>
      </c>
      <c r="C18" s="114"/>
      <c r="D18" s="188" t="str">
        <f>IF(C18="Nulo","No se tendrá Afectación al Servicio o Componentes",IF(C18="Parcial","Se presentará Intermitencia o Degradación en el Servicio",IF(C18="Total","Se presentará Afectación del Servicio o Componentes durante la Ventana de Tiempo","")))</f>
        <v/>
      </c>
      <c r="E18" s="189"/>
      <c r="F18" s="91"/>
      <c r="G18" s="129"/>
      <c r="H18" s="120" t="s">
        <v>72</v>
      </c>
    </row>
    <row r="19" spans="1:8" ht="51" customHeight="1">
      <c r="A19" s="113"/>
      <c r="B19" s="128" t="s">
        <v>215</v>
      </c>
      <c r="C19" s="185"/>
      <c r="D19" s="186"/>
      <c r="E19" s="187"/>
      <c r="F19" s="91"/>
      <c r="G19" s="91"/>
      <c r="H19" s="91"/>
    </row>
    <row r="20" spans="1:8" ht="51" customHeight="1">
      <c r="A20" s="113"/>
      <c r="B20" s="128" t="s">
        <v>201</v>
      </c>
      <c r="C20" s="130"/>
      <c r="D20" s="190"/>
      <c r="E20" s="191"/>
      <c r="F20" s="91"/>
      <c r="G20" s="91"/>
      <c r="H20" s="91"/>
    </row>
    <row r="21" spans="1:8" ht="60.75" customHeight="1">
      <c r="A21" s="113"/>
      <c r="B21" s="125" t="s">
        <v>273</v>
      </c>
      <c r="C21" s="131"/>
      <c r="D21" s="125" t="s">
        <v>274</v>
      </c>
      <c r="E21" s="129"/>
      <c r="F21" s="91"/>
      <c r="G21" s="91"/>
      <c r="H21" s="91"/>
    </row>
    <row r="22" spans="1:8" ht="36" customHeight="1">
      <c r="A22" s="113"/>
      <c r="B22" s="128" t="s">
        <v>275</v>
      </c>
      <c r="C22" s="131"/>
      <c r="D22" s="128" t="s">
        <v>202</v>
      </c>
      <c r="E22" s="129"/>
      <c r="F22" s="91"/>
      <c r="G22" s="91"/>
      <c r="H22" s="91"/>
    </row>
    <row r="23" spans="1:8" ht="25.5" customHeight="1">
      <c r="A23" s="113"/>
      <c r="B23" s="125" t="s">
        <v>216</v>
      </c>
      <c r="C23" s="132">
        <f>Plan!E5</f>
        <v>44025.708333333336</v>
      </c>
      <c r="D23" s="125" t="s">
        <v>217</v>
      </c>
      <c r="E23" s="132" t="str">
        <f>Plan!F5</f>
        <v>Captura Actividad Macro FIN en pestaña Plan</v>
      </c>
      <c r="F23" s="91"/>
      <c r="G23" s="91"/>
      <c r="H23" s="91"/>
    </row>
    <row r="24" spans="1:8" ht="36" customHeight="1">
      <c r="A24" s="113"/>
      <c r="B24" s="128" t="s">
        <v>219</v>
      </c>
      <c r="C24" s="132" t="str">
        <f>IF(Plan!D4=0,"Selecciona VT Actividad en Pestaña Plan celda D4",Plan!D4)</f>
        <v>Selecciona VT Actividad en Pestaña Plan celda D4</v>
      </c>
      <c r="D24" s="180" t="str">
        <f>IF(C24="Si Requiere VT","En las Actividades del Plan deberá haber al menos una actividad documentada con una Disruptiva Total ",IF(C24="VT Informativa","Si requieres una VT Informativa  En las Actividades del Plan deberá haber solo Atividades Documentadas con una Disruptiva Parcial ",IF(C24="No Requiere VT","Si No Requiere VT  En las Actividades del Plan NO deberá haber Actividades Documentadas con una Disruptiva Parcial o una Disruptiva Total ","")))</f>
        <v/>
      </c>
      <c r="E24" s="181"/>
      <c r="F24" s="91"/>
      <c r="G24" s="91"/>
      <c r="H24" s="91"/>
    </row>
    <row r="25" spans="1:8" ht="27.75" customHeight="1">
      <c r="A25" s="113"/>
      <c r="B25" s="125" t="s">
        <v>218</v>
      </c>
      <c r="C25" s="132" t="str">
        <f>Plan!E4</f>
        <v>Captura Actividad Macro VTI pestaña PIan</v>
      </c>
      <c r="D25" s="125" t="s">
        <v>220</v>
      </c>
      <c r="E25" s="132" t="str">
        <f>Plan!F4</f>
        <v>Captura Actividad Macro VTF Pestaña Plan</v>
      </c>
      <c r="F25" s="91"/>
      <c r="G25" s="91"/>
      <c r="H25" s="91"/>
    </row>
    <row r="26" spans="1:8" ht="30.75" customHeight="1">
      <c r="A26" s="113"/>
      <c r="B26" s="133" t="s">
        <v>203</v>
      </c>
      <c r="C26" s="185"/>
      <c r="D26" s="186"/>
      <c r="E26" s="187"/>
      <c r="F26" s="91"/>
      <c r="G26" s="91"/>
      <c r="H26" s="91"/>
    </row>
    <row r="27" spans="1:8" ht="33" customHeight="1">
      <c r="A27" s="113"/>
      <c r="B27" s="125" t="s">
        <v>204</v>
      </c>
      <c r="C27" s="177" t="str">
        <f>CONCATENATE('Matriz de comunicación'!B12,",  ",'Matriz de comunicación'!B13,",  ",'Matriz de comunicación'!B14,",  ",'Matriz de comunicación'!B15,",  ",'Matriz de comunicación'!B16,",  ",'Matriz de comunicación'!B17,",  ",'Matriz de comunicación'!B18,",  ",'Matriz de comunicación'!B19,",  ",'Matriz de comunicación'!B20,",  ",'Matriz de comunicación'!B21,)</f>
        <v xml:space="preserve">,  ,  ,  ,  ,  ,  ,  ,  ,  </v>
      </c>
      <c r="D27" s="178"/>
      <c r="E27" s="179"/>
      <c r="F27" s="91"/>
      <c r="G27" s="91"/>
      <c r="H27" s="91"/>
    </row>
    <row r="28" spans="1:8" ht="16.5" customHeight="1">
      <c r="A28" s="113"/>
      <c r="B28" s="134" t="s">
        <v>149</v>
      </c>
      <c r="C28" s="135"/>
      <c r="D28" s="135"/>
      <c r="E28" s="136"/>
      <c r="F28" s="91"/>
      <c r="G28" s="91"/>
      <c r="H28" s="91"/>
    </row>
    <row r="29" spans="1:8" ht="39" customHeight="1">
      <c r="A29" s="113"/>
      <c r="B29" s="137" t="s">
        <v>276</v>
      </c>
      <c r="C29" s="138"/>
      <c r="D29" s="137" t="s">
        <v>277</v>
      </c>
      <c r="E29" s="138"/>
      <c r="F29" s="91"/>
      <c r="G29" s="139"/>
      <c r="H29" s="120" t="s">
        <v>74</v>
      </c>
    </row>
    <row r="30" spans="1:8" ht="35.25" customHeight="1">
      <c r="A30" s="113"/>
      <c r="B30" s="140" t="s">
        <v>222</v>
      </c>
      <c r="C30" s="141"/>
      <c r="D30" s="140" t="s">
        <v>221</v>
      </c>
      <c r="E30" s="141"/>
      <c r="F30" s="91"/>
      <c r="G30" s="91"/>
      <c r="H30" s="91"/>
    </row>
    <row r="31" spans="1:8" ht="30.75" customHeight="1">
      <c r="A31" s="91"/>
      <c r="B31" s="137" t="s">
        <v>244</v>
      </c>
      <c r="C31" s="141"/>
      <c r="D31" s="137" t="s">
        <v>206</v>
      </c>
      <c r="E31" s="141"/>
      <c r="F31" s="91"/>
      <c r="G31" s="91"/>
      <c r="H31" s="91"/>
    </row>
    <row r="32" spans="1:8" ht="30.75" customHeight="1">
      <c r="A32" s="91"/>
      <c r="B32" s="140" t="s">
        <v>205</v>
      </c>
      <c r="C32" s="141"/>
      <c r="D32" s="140" t="s">
        <v>247</v>
      </c>
      <c r="E32" s="141"/>
      <c r="F32" s="91"/>
      <c r="G32" s="91"/>
      <c r="H32" s="91"/>
    </row>
    <row r="33" spans="1:8" ht="38.25" customHeight="1">
      <c r="A33" s="91"/>
      <c r="B33" s="142" t="s">
        <v>278</v>
      </c>
      <c r="C33" s="143"/>
      <c r="D33" s="142" t="s">
        <v>279</v>
      </c>
      <c r="E33" s="144"/>
      <c r="F33" s="91"/>
      <c r="G33" s="91"/>
      <c r="H33" s="91"/>
    </row>
    <row r="34" spans="1:8" ht="30.75" customHeight="1">
      <c r="A34" s="91"/>
      <c r="B34" s="107"/>
      <c r="C34" s="91"/>
      <c r="D34" s="91"/>
      <c r="E34" s="91"/>
      <c r="F34" s="91"/>
      <c r="G34" s="91"/>
      <c r="H34" s="91"/>
    </row>
    <row r="35" spans="1:8" ht="30.75" customHeight="1">
      <c r="A35" s="91"/>
      <c r="B35" s="107"/>
      <c r="C35" s="91"/>
      <c r="D35" s="91"/>
      <c r="E35" s="91"/>
      <c r="F35" s="91"/>
      <c r="G35" s="91"/>
      <c r="H35" s="91"/>
    </row>
    <row r="36" spans="1:8" ht="30.75" customHeight="1">
      <c r="A36" s="91"/>
      <c r="B36" s="107"/>
      <c r="C36" s="91"/>
      <c r="D36" s="91"/>
      <c r="E36" s="91"/>
      <c r="F36" s="91"/>
      <c r="G36" s="91"/>
      <c r="H36" s="91"/>
    </row>
    <row r="37" spans="1:8" ht="30.75" customHeight="1">
      <c r="A37" s="91"/>
      <c r="B37" s="107"/>
      <c r="C37" s="91"/>
      <c r="D37" s="91"/>
      <c r="E37" s="91"/>
      <c r="F37" s="91"/>
      <c r="G37" s="91"/>
      <c r="H37" s="91"/>
    </row>
    <row r="38" spans="1:8" ht="30.75" customHeight="1">
      <c r="A38" s="91"/>
      <c r="B38" s="107"/>
      <c r="C38" s="91"/>
      <c r="D38" s="91"/>
      <c r="E38" s="91"/>
      <c r="F38" s="91"/>
      <c r="G38" s="91"/>
      <c r="H38" s="91"/>
    </row>
    <row r="39" spans="1:8" ht="30.75" customHeight="1">
      <c r="A39" s="91"/>
      <c r="B39" s="107"/>
      <c r="C39" s="91"/>
      <c r="D39" s="91"/>
      <c r="E39" s="91"/>
      <c r="F39" s="91"/>
      <c r="G39" s="91"/>
      <c r="H39" s="91"/>
    </row>
    <row r="40" spans="1:8" ht="30.75" customHeight="1">
      <c r="A40" s="91"/>
      <c r="B40" s="107"/>
      <c r="C40" s="91"/>
      <c r="D40" s="91"/>
      <c r="E40" s="91"/>
      <c r="F40" s="91"/>
      <c r="G40" s="91"/>
      <c r="H40" s="91"/>
    </row>
    <row r="41" spans="1:8" ht="30.75" customHeight="1">
      <c r="A41" s="91"/>
      <c r="B41" s="107"/>
      <c r="C41" s="91"/>
      <c r="D41" s="91"/>
      <c r="E41" s="91"/>
      <c r="F41" s="91"/>
      <c r="G41" s="91"/>
      <c r="H41" s="91"/>
    </row>
    <row r="42" spans="1:8" ht="30.75" customHeight="1">
      <c r="A42" s="91"/>
      <c r="B42" s="107"/>
      <c r="C42" s="91"/>
      <c r="D42" s="91"/>
      <c r="E42" s="91"/>
      <c r="F42" s="91"/>
      <c r="G42" s="91"/>
      <c r="H42" s="91"/>
    </row>
    <row r="43" spans="1:8" ht="30.75" customHeight="1">
      <c r="A43" s="91"/>
      <c r="B43" s="107"/>
      <c r="C43" s="91"/>
      <c r="D43" s="91"/>
      <c r="E43" s="91"/>
      <c r="F43" s="91"/>
      <c r="G43" s="91"/>
      <c r="H43" s="91"/>
    </row>
    <row r="44" spans="1:8" ht="30.75" customHeight="1">
      <c r="A44" s="91"/>
      <c r="B44" s="107"/>
      <c r="C44" s="91"/>
      <c r="D44" s="91"/>
      <c r="E44" s="91"/>
      <c r="F44" s="91"/>
      <c r="G44" s="91"/>
      <c r="H44" s="91"/>
    </row>
    <row r="45" spans="1:8" ht="30.75" customHeight="1">
      <c r="A45" s="91"/>
      <c r="B45" s="107"/>
      <c r="C45" s="91"/>
      <c r="D45" s="91"/>
      <c r="E45" s="91"/>
      <c r="F45" s="91"/>
      <c r="G45" s="91"/>
      <c r="H45" s="91"/>
    </row>
    <row r="46" spans="1:8" ht="30.75" customHeight="1">
      <c r="A46" s="91"/>
      <c r="B46" s="107"/>
      <c r="C46" s="91"/>
      <c r="D46" s="91"/>
      <c r="E46" s="91"/>
      <c r="F46" s="91"/>
      <c r="G46" s="91"/>
      <c r="H46" s="91"/>
    </row>
    <row r="47" spans="1:8" ht="30.75" customHeight="1">
      <c r="A47" s="91"/>
      <c r="B47" s="107"/>
      <c r="C47" s="91"/>
      <c r="D47" s="91"/>
      <c r="E47" s="91"/>
      <c r="F47" s="91"/>
      <c r="G47" s="91"/>
      <c r="H47" s="91"/>
    </row>
    <row r="48" spans="1:8" ht="30.75" customHeight="1">
      <c r="A48" s="91"/>
      <c r="B48" s="107"/>
      <c r="C48" s="91"/>
      <c r="D48" s="91"/>
      <c r="E48" s="91"/>
      <c r="F48" s="91"/>
      <c r="G48" s="91"/>
      <c r="H48" s="91"/>
    </row>
    <row r="49" spans="1:8" ht="30.75" customHeight="1">
      <c r="A49" s="91"/>
      <c r="B49" s="107"/>
      <c r="C49" s="91"/>
      <c r="D49" s="91"/>
      <c r="E49" s="91"/>
      <c r="F49" s="91"/>
      <c r="G49" s="91"/>
      <c r="H49" s="91"/>
    </row>
    <row r="50" spans="1:8" ht="30.75" customHeight="1">
      <c r="A50" s="91"/>
      <c r="B50" s="107"/>
      <c r="C50" s="91"/>
      <c r="D50" s="91"/>
      <c r="E50" s="91"/>
      <c r="F50" s="91"/>
      <c r="G50" s="91"/>
      <c r="H50" s="91"/>
    </row>
    <row r="51" spans="1:8" ht="30.75" customHeight="1">
      <c r="A51" s="91"/>
      <c r="B51" s="107"/>
      <c r="C51" s="91"/>
      <c r="D51" s="91"/>
      <c r="E51" s="91"/>
      <c r="F51" s="91"/>
      <c r="G51" s="91"/>
      <c r="H51" s="91"/>
    </row>
    <row r="52" spans="1:8" ht="30.75" customHeight="1">
      <c r="A52" s="91"/>
      <c r="B52" s="107"/>
      <c r="C52" s="91"/>
      <c r="D52" s="91"/>
      <c r="E52" s="91"/>
      <c r="F52" s="91"/>
      <c r="G52" s="91"/>
      <c r="H52" s="91"/>
    </row>
    <row r="53" spans="1:8" ht="30.75" customHeight="1">
      <c r="A53" s="91"/>
      <c r="B53" s="107"/>
      <c r="C53" s="91"/>
      <c r="D53" s="91"/>
      <c r="E53" s="91"/>
      <c r="F53" s="91"/>
      <c r="G53" s="91"/>
      <c r="H53" s="91"/>
    </row>
    <row r="54" spans="1:8" ht="30.75" customHeight="1">
      <c r="A54" s="91"/>
      <c r="B54" s="107"/>
      <c r="C54" s="91"/>
      <c r="D54" s="91"/>
      <c r="E54" s="91"/>
      <c r="F54" s="91"/>
      <c r="G54" s="91"/>
      <c r="H54" s="91"/>
    </row>
    <row r="55" spans="1:8" ht="30.75" customHeight="1">
      <c r="A55" s="91"/>
      <c r="B55" s="107"/>
      <c r="C55" s="91"/>
      <c r="D55" s="91"/>
      <c r="E55" s="91"/>
      <c r="F55" s="91"/>
      <c r="G55" s="91"/>
      <c r="H55" s="91"/>
    </row>
  </sheetData>
  <sheetProtection algorithmName="SHA-512" hashValue="iKjatmPEkNsQYxrlEY0WmCTY+kjS4Cc9HdAOjy5jr+VpZIDcgjPQ3OQsFWTvh4dMB8iJMHV4oPXY33RpZIJTvQ==" saltValue="qY5+o/MCZoeWUcw7aQMGGw==" spinCount="100000" sheet="1" formatRows="0"/>
  <customSheetViews>
    <customSheetView guid="{77A8CDE7-0C4B-4AA6-8C4B-62BFC960DC0D}" scale="80" showPageBreaks="1" printArea="1">
      <selection activeCell="C5" sqref="C5"/>
      <pageMargins left="0.19685039370078741" right="0.19685039370078741" top="0.39370078740157483" bottom="0.74803149606299213" header="0.31496062992125984" footer="0.31496062992125984"/>
      <pageSetup scale="61" orientation="portrait" r:id="rId1"/>
      <headerFooter>
        <oddFooter>&amp;C&amp;P de&amp;N</oddFooter>
      </headerFooter>
    </customSheetView>
  </customSheetViews>
  <mergeCells count="14">
    <mergeCell ref="B16:E16"/>
    <mergeCell ref="B2:D2"/>
    <mergeCell ref="C9:E9"/>
    <mergeCell ref="C10:E10"/>
    <mergeCell ref="C14:E14"/>
    <mergeCell ref="C15:E15"/>
    <mergeCell ref="D11:E11"/>
    <mergeCell ref="C27:E27"/>
    <mergeCell ref="D24:E24"/>
    <mergeCell ref="C17:E17"/>
    <mergeCell ref="C26:E26"/>
    <mergeCell ref="C19:E19"/>
    <mergeCell ref="D18:E18"/>
    <mergeCell ref="D20:E20"/>
  </mergeCells>
  <conditionalFormatting sqref="C27:E27">
    <cfRule type="containsText" dxfId="1017" priority="127" operator="containsText" text="Captura los Aprobadores en la Pestaña Matriz de Comunicación">
      <formula>NOT(ISERROR(SEARCH("Captura los Aprobadores en la Pestaña Matriz de Comunicación",C27)))</formula>
    </cfRule>
    <cfRule type="containsText" dxfId="1016" priority="175" operator="containsText" text="Captura Aprobadores en la pestaña Matriz de comunicación">
      <formula>NOT(ISERROR(SEARCH("Captura Aprobadores en la pestaña Matriz de comunicación",C27)))</formula>
    </cfRule>
  </conditionalFormatting>
  <conditionalFormatting sqref="C23">
    <cfRule type="containsBlanks" dxfId="1015" priority="61">
      <formula>LEN(TRIM(C23))=0</formula>
    </cfRule>
    <cfRule type="containsText" dxfId="1014" priority="173" operator="containsText" text="Captura F/H Primer Actividad pestaña Plan">
      <formula>NOT(ISERROR(SEARCH("Captura F/H Primer Actividad pestaña Plan",C23)))</formula>
    </cfRule>
  </conditionalFormatting>
  <conditionalFormatting sqref="E23">
    <cfRule type="containsText" dxfId="1013" priority="172" operator="containsText" text="Captura Actividad Macro FIN en Pestaña Plan">
      <formula>NOT(ISERROR(SEARCH("Captura Actividad Macro FIN en Pestaña Plan",E23)))</formula>
    </cfRule>
  </conditionalFormatting>
  <conditionalFormatting sqref="D24:E24">
    <cfRule type="containsText" dxfId="1012" priority="170" operator="containsText" text="Selecciona en la pestaña Plan la opción en la Celda D4">
      <formula>NOT(ISERROR(SEARCH("Selecciona en la pestaña Plan la opción en la Celda D4",D24)))</formula>
    </cfRule>
  </conditionalFormatting>
  <conditionalFormatting sqref="C6">
    <cfRule type="containsBlanks" dxfId="1011" priority="190">
      <formula>LEN(TRIM(C6))=0</formula>
    </cfRule>
  </conditionalFormatting>
  <conditionalFormatting sqref="E6">
    <cfRule type="containsBlanks" dxfId="1010" priority="191">
      <formula>LEN(TRIM(E6))=0</formula>
    </cfRule>
  </conditionalFormatting>
  <conditionalFormatting sqref="C8">
    <cfRule type="containsBlanks" dxfId="1009" priority="195">
      <formula>LEN(TRIM(C8))=0</formula>
    </cfRule>
  </conditionalFormatting>
  <conditionalFormatting sqref="C9">
    <cfRule type="containsBlanks" dxfId="1008" priority="196">
      <formula>LEN(TRIM(C9))=0</formula>
    </cfRule>
  </conditionalFormatting>
  <conditionalFormatting sqref="C10">
    <cfRule type="containsBlanks" dxfId="1007" priority="197">
      <formula>LEN(TRIM(C10))=0</formula>
    </cfRule>
  </conditionalFormatting>
  <conditionalFormatting sqref="C12">
    <cfRule type="containsBlanks" dxfId="1006" priority="198">
      <formula>LEN(TRIM(C12))=0</formula>
    </cfRule>
  </conditionalFormatting>
  <conditionalFormatting sqref="C11">
    <cfRule type="containsBlanks" dxfId="1005" priority="199">
      <formula>LEN(TRIM(C11))=0</formula>
    </cfRule>
  </conditionalFormatting>
  <conditionalFormatting sqref="C13">
    <cfRule type="containsBlanks" dxfId="1004" priority="200">
      <formula>LEN(TRIM(C13))=0</formula>
    </cfRule>
  </conditionalFormatting>
  <conditionalFormatting sqref="E13">
    <cfRule type="containsBlanks" dxfId="1003" priority="201">
      <formula>LEN(TRIM(E13))=0</formula>
    </cfRule>
  </conditionalFormatting>
  <conditionalFormatting sqref="C14">
    <cfRule type="containsBlanks" dxfId="1002" priority="202">
      <formula>LEN(TRIM(C14))=0</formula>
    </cfRule>
  </conditionalFormatting>
  <conditionalFormatting sqref="C15">
    <cfRule type="containsBlanks" dxfId="1001" priority="203">
      <formula>LEN(TRIM(C15))=0</formula>
    </cfRule>
  </conditionalFormatting>
  <conditionalFormatting sqref="E5">
    <cfRule type="containsBlanks" dxfId="1000" priority="194">
      <formula>LEN(TRIM(E5))=0</formula>
    </cfRule>
  </conditionalFormatting>
  <conditionalFormatting sqref="C17">
    <cfRule type="containsBlanks" dxfId="999" priority="189">
      <formula>LEN(TRIM(C17))=0</formula>
    </cfRule>
  </conditionalFormatting>
  <conditionalFormatting sqref="C18">
    <cfRule type="containsBlanks" dxfId="998" priority="188">
      <formula>LEN(TRIM(C18))=0</formula>
    </cfRule>
  </conditionalFormatting>
  <conditionalFormatting sqref="E7">
    <cfRule type="containsBlanks" dxfId="997" priority="77">
      <formula>LEN(TRIM(E7))=0</formula>
    </cfRule>
  </conditionalFormatting>
  <conditionalFormatting sqref="C7">
    <cfRule type="containsBlanks" dxfId="996" priority="75">
      <formula>LEN(TRIM(C7))=0</formula>
    </cfRule>
  </conditionalFormatting>
  <conditionalFormatting sqref="C19:C20">
    <cfRule type="containsBlanks" dxfId="995" priority="71">
      <formula>LEN(TRIM(C19))=0</formula>
    </cfRule>
  </conditionalFormatting>
  <conditionalFormatting sqref="C21">
    <cfRule type="containsBlanks" dxfId="994" priority="69">
      <formula>LEN(TRIM(C21))=0</formula>
    </cfRule>
  </conditionalFormatting>
  <conditionalFormatting sqref="E21">
    <cfRule type="containsBlanks" dxfId="993" priority="67">
      <formula>LEN(TRIM(E21))=0</formula>
    </cfRule>
  </conditionalFormatting>
  <conditionalFormatting sqref="E22">
    <cfRule type="containsBlanks" dxfId="992" priority="63">
      <formula>LEN(TRIM(E22))=0</formula>
    </cfRule>
  </conditionalFormatting>
  <conditionalFormatting sqref="C24">
    <cfRule type="containsText" dxfId="991" priority="14" operator="containsText" text="Selecciona VT Actividad en Pestaña Plan celda D4">
      <formula>NOT(ISERROR(SEARCH("Selecciona VT Actividad en Pestaña Plan celda D4",C24)))</formula>
    </cfRule>
    <cfRule type="containsBlanks" dxfId="990" priority="59">
      <formula>LEN(TRIM(C24))=0</formula>
    </cfRule>
    <cfRule type="containsText" dxfId="989" priority="60" operator="containsText" text="Captura F/H Primer Actividad pestaña Plan">
      <formula>NOT(ISERROR(SEARCH("Captura F/H Primer Actividad pestaña Plan",C24)))</formula>
    </cfRule>
  </conditionalFormatting>
  <conditionalFormatting sqref="C25">
    <cfRule type="containsText" dxfId="988" priority="13" operator="containsText" text="Captura Actividad Macro VTI pestaña PIan">
      <formula>NOT(ISERROR(SEARCH("Captura Actividad Macro VTI pestaña PIan",C25)))</formula>
    </cfRule>
    <cfRule type="containsText" dxfId="987" priority="58" operator="containsText" text="Captura F/H Primer Actividad pestaña Plan">
      <formula>NOT(ISERROR(SEARCH("Captura F/H Primer Actividad pestaña Plan",C25)))</formula>
    </cfRule>
  </conditionalFormatting>
  <conditionalFormatting sqref="E25">
    <cfRule type="containsText" dxfId="986" priority="12" operator="containsText" text="Captura Actividad Macro VTF Pestaña Plan">
      <formula>NOT(ISERROR(SEARCH("Captura Actividad Macro VTF Pestaña Plan",E25)))</formula>
    </cfRule>
    <cfRule type="containsText" dxfId="985" priority="56" operator="containsText" text="Captura F/H Primer Actividad pestaña Plan">
      <formula>NOT(ISERROR(SEARCH("Captura F/H Primer Actividad pestaña Plan",E25)))</formula>
    </cfRule>
  </conditionalFormatting>
  <conditionalFormatting sqref="C26">
    <cfRule type="containsBlanks" dxfId="984" priority="54">
      <formula>LEN(TRIM(C26))=0</formula>
    </cfRule>
  </conditionalFormatting>
  <conditionalFormatting sqref="C22">
    <cfRule type="containsBlanks" dxfId="983" priority="52">
      <formula>LEN(TRIM(C22))=0</formula>
    </cfRule>
  </conditionalFormatting>
  <conditionalFormatting sqref="G29">
    <cfRule type="containsBlanks" dxfId="982" priority="192">
      <formula>LEN(TRIM(G29))=0</formula>
    </cfRule>
  </conditionalFormatting>
  <conditionalFormatting sqref="C29">
    <cfRule type="containsText" dxfId="981" priority="46" operator="containsText" text="Captura F/H Primer Actividad pestaña Plan">
      <formula>NOT(ISERROR(SEARCH("Captura F/H Primer Actividad pestaña Plan",C29)))</formula>
    </cfRule>
    <cfRule type="containsBlanks" dxfId="980" priority="193">
      <formula>LEN(TRIM(C29))=0</formula>
    </cfRule>
  </conditionalFormatting>
  <conditionalFormatting sqref="E29">
    <cfRule type="containsText" dxfId="979" priority="43" operator="containsText" text="Captura F/H Primer Actividad pestaña Plan">
      <formula>NOT(ISERROR(SEARCH("Captura F/H Primer Actividad pestaña Plan",E29)))</formula>
    </cfRule>
    <cfRule type="containsBlanks" dxfId="978" priority="44">
      <formula>LEN(TRIM(E29))=0</formula>
    </cfRule>
  </conditionalFormatting>
  <conditionalFormatting sqref="C31">
    <cfRule type="containsText" dxfId="977" priority="37" operator="containsText" text="Captura F/H Primer Actividad pestaña Plan">
      <formula>NOT(ISERROR(SEARCH("Captura F/H Primer Actividad pestaña Plan",C31)))</formula>
    </cfRule>
    <cfRule type="containsBlanks" dxfId="976" priority="38">
      <formula>LEN(TRIM(C31))=0</formula>
    </cfRule>
  </conditionalFormatting>
  <conditionalFormatting sqref="E31">
    <cfRule type="containsText" dxfId="975" priority="35" operator="containsText" text="Captura F/H Primer Actividad pestaña Plan">
      <formula>NOT(ISERROR(SEARCH("Captura F/H Primer Actividad pestaña Plan",E31)))</formula>
    </cfRule>
    <cfRule type="containsBlanks" dxfId="974" priority="36">
      <formula>LEN(TRIM(E31))=0</formula>
    </cfRule>
  </conditionalFormatting>
  <conditionalFormatting sqref="C32">
    <cfRule type="containsText" dxfId="973" priority="33" operator="containsText" text="Captura F/H Primer Actividad pestaña Plan">
      <formula>NOT(ISERROR(SEARCH("Captura F/H Primer Actividad pestaña Plan",C32)))</formula>
    </cfRule>
    <cfRule type="containsBlanks" dxfId="972" priority="34">
      <formula>LEN(TRIM(C32))=0</formula>
    </cfRule>
  </conditionalFormatting>
  <conditionalFormatting sqref="E32">
    <cfRule type="containsText" dxfId="971" priority="31" operator="containsText" text="Captura F/H Primer Actividad pestaña Plan">
      <formula>NOT(ISERROR(SEARCH("Captura F/H Primer Actividad pestaña Plan",E32)))</formula>
    </cfRule>
    <cfRule type="containsBlanks" dxfId="970" priority="32">
      <formula>LEN(TRIM(E32))=0</formula>
    </cfRule>
  </conditionalFormatting>
  <conditionalFormatting sqref="G18">
    <cfRule type="containsBlanks" dxfId="969" priority="30">
      <formula>LEN(TRIM(G18))=0</formula>
    </cfRule>
  </conditionalFormatting>
  <conditionalFormatting sqref="G7">
    <cfRule type="containsBlanks" dxfId="968" priority="28">
      <formula>LEN(TRIM(G7))=0</formula>
    </cfRule>
  </conditionalFormatting>
  <conditionalFormatting sqref="C33">
    <cfRule type="containsBlanks" dxfId="967" priority="22">
      <formula>LEN(TRIM(C33))=0</formula>
    </cfRule>
  </conditionalFormatting>
  <conditionalFormatting sqref="E33">
    <cfRule type="containsBlanks" dxfId="966" priority="20">
      <formula>LEN(TRIM(E33))=0</formula>
    </cfRule>
  </conditionalFormatting>
  <conditionalFormatting sqref="E12">
    <cfRule type="containsBlanks" dxfId="965" priority="18">
      <formula>LEN(TRIM(E12))=0</formula>
    </cfRule>
  </conditionalFormatting>
  <conditionalFormatting sqref="E8">
    <cfRule type="containsBlanks" dxfId="964" priority="16">
      <formula>LEN(TRIM(E8))=0</formula>
    </cfRule>
  </conditionalFormatting>
  <conditionalFormatting sqref="E30">
    <cfRule type="containsText" dxfId="963" priority="8" operator="containsText" text="Captura F/H Primer Actividad pestaña Plan">
      <formula>NOT(ISERROR(SEARCH("Captura F/H Primer Actividad pestaña Plan",E30)))</formula>
    </cfRule>
    <cfRule type="containsBlanks" dxfId="962" priority="9">
      <formula>LEN(TRIM(E30))=0</formula>
    </cfRule>
  </conditionalFormatting>
  <conditionalFormatting sqref="C30">
    <cfRule type="containsText" dxfId="961" priority="2" operator="containsText" text="Captura F/H Primer Actividad pestaña Plan">
      <formula>NOT(ISERROR(SEARCH("Captura F/H Primer Actividad pestaña Plan",C30)))</formula>
    </cfRule>
    <cfRule type="containsBlanks" dxfId="960" priority="3">
      <formula>LEN(TRIM(C30))=0</formula>
    </cfRule>
  </conditionalFormatting>
  <conditionalFormatting sqref="C5">
    <cfRule type="containsBlanks" dxfId="959" priority="1">
      <formula>LEN(TRIM(C5))=0</formula>
    </cfRule>
  </conditionalFormatting>
  <dataValidations xWindow="992" yWindow="369" count="20">
    <dataValidation allowBlank="1" showInputMessage="1" showErrorMessage="1" promptTitle="Objetivo" prompt="Qué vas hacer? Qué se pretende hacer con el cambio. _x000a_Debe describir de manera concreta lo que se hará en la ventana iniciando con un verbo en infinitivo (instalar, copiar, elimianar, etc), qué, dónde, a quién." sqref="B8"/>
    <dataValidation allowBlank="1" showInputMessage="1" showErrorMessage="1" promptTitle="Indetificador de el SAT" prompt="Mensaje" sqref="B5"/>
    <dataValidation type="list" allowBlank="1" showInputMessage="1" showErrorMessage="1" error="Debe Capturar Información de la Lista Desplgable" prompt="Selecciona el Ambiente donde se pretende realizar el Cambio" sqref="E8">
      <formula1>$G$8:$G$14</formula1>
    </dataValidation>
    <dataValidation type="list" allowBlank="1" showInputMessage="1" showErrorMessage="1" error="Debe Capturar Información de la Lista Desplgable" prompt="Selecciona Opción de Lista" sqref="C7">
      <formula1>"Contribuyentes, Empleados, Locales, Aduanas, N/A"</formula1>
    </dataValidation>
    <dataValidation type="list" allowBlank="1" showInputMessage="1" showErrorMessage="1" error="Debe Capturar Información de la Lista Desplgable" prompt="Selecciona Opción de Lista" sqref="C13">
      <formula1>"Si, No"</formula1>
    </dataValidation>
    <dataValidation type="list" allowBlank="1" showInputMessage="1" showErrorMessage="1" error="Debe Capturar Información de la Lista Desplgable" prompt="Selecciona Opción de Lista" sqref="C22">
      <formula1>"Viable, No Viable, Otras alternativas"</formula1>
    </dataValidation>
    <dataValidation allowBlank="1" showInputMessage="1" prompt="Campo depende de Info de Pestaña Plan en la Actividad Macro VTF" sqref="E25"/>
    <dataValidation type="textLength" operator="lessThan" allowBlank="1" showInputMessage="1" showErrorMessage="1" prompt="Breve explicación del Objetivo_x000a_maximo 6 renglones" sqref="C8">
      <formula1>355</formula1>
    </dataValidation>
    <dataValidation type="textLength" operator="lessThanOrEqual" allowBlank="1" showInputMessage="1" showErrorMessage="1" prompt="Permite captura de información _x000a_maximo 10 renglones" sqref="C9">
      <formula1>1500</formula1>
    </dataValidation>
    <dataValidation type="textLength" operator="lessThan" allowBlank="1" showInputMessage="1" showErrorMessage="1" error="Permite solo 255 caracteres" prompt="Permite captura de información _x000a_maximo 4 renglones" sqref="C10:E10">
      <formula1>600</formula1>
    </dataValidation>
    <dataValidation type="list" allowBlank="1" showInputMessage="1" showErrorMessage="1" error="Debe Capturar Información de la Lista Desplgable" prompt="Toma en consideración el tiempo de Atención  según prioridad Seleccionada:_x000a__x000a_Estandar &quot;Acorde al Documento o Acuerdo&quot;_x000a_Normal &quot;Sin Afectación minimo 8 hrs&quot;_x000a_Normal &quot;Con Ventana minimo 48 hrs&quot;_x000a_Emergente &quot;Sin Afectacíon  3 hrs&quot;_x000a_Emergente &quot;Con Ventana 6 hrs&quot;" sqref="C11">
      <formula1>"Estándar,Normal,Emergente"</formula1>
    </dataValidation>
    <dataValidation allowBlank="1" showInputMessage="1" prompt="Campo depende de Info de Pestaña Plan en la Actividad Macro FIN" sqref="E23"/>
    <dataValidation allowBlank="1" showInputMessage="1" showErrorMessage="1" prompt="Campo depende de la selecciónde de Info celda D4 de la Pestaña Plan en la Actividad Macro VT" sqref="C24"/>
    <dataValidation allowBlank="1" showInputMessage="1" prompt="Campo depende de Info de Pestaña Plan en la Actividad Macro VTI" sqref="C25"/>
    <dataValidation allowBlank="1" showInputMessage="1" showErrorMessage="1" prompt="Campo depende de Info de Pestaña Matriz de Comunicación Aprobador(es)" sqref="C27:E27"/>
    <dataValidation type="list" allowBlank="1" showInputMessage="1" showErrorMessage="1" prompt="Selecciona Tipo de Impacto de Lista" sqref="C18">
      <formula1>"Nulo,Parcial,Total"</formula1>
    </dataValidation>
    <dataValidation allowBlank="1" showInputMessage="1" showErrorMessage="1" prompt="Campo depende de Info de Pestaña Plan en la Actividad Macro INI" sqref="C23"/>
    <dataValidation type="list" allowBlank="1" showInputMessage="1" showErrorMessage="1" prompt="Selecciona Opción de Lista" sqref="C33 C30">
      <formula1>"Exitoso,No Exitoso"</formula1>
    </dataValidation>
    <dataValidation type="list" allowBlank="1" showInputMessage="1" showErrorMessage="1" prompt="Selecciona Opción de Lista" sqref="C20">
      <formula1>"Si,No"</formula1>
    </dataValidation>
    <dataValidation type="textLength" operator="lessThan" allowBlank="1" showInputMessage="1" showErrorMessage="1" error="Permite solo 255 caracteres" sqref="D11:E11">
      <formula1>600</formula1>
    </dataValidation>
  </dataValidations>
  <pageMargins left="0.19685039370078741" right="0.19685039370078741" top="0.19685039370078741" bottom="0.19685039370078741" header="0.31496062992125984" footer="0.31496062992125984"/>
  <pageSetup scale="61" orientation="portrait" r:id="rId2"/>
  <headerFooter>
    <oddFooter>&amp;C&amp;P de&amp;N</oddFooter>
  </headerFooter>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J294"/>
  <sheetViews>
    <sheetView zoomScale="130" zoomScaleNormal="130" workbookViewId="0">
      <selection activeCell="C11" sqref="C11:D11"/>
    </sheetView>
  </sheetViews>
  <sheetFormatPr defaultColWidth="11.42578125" defaultRowHeight="12.75" customHeight="1"/>
  <cols>
    <col min="1" max="2" width="3.42578125" style="44" customWidth="1"/>
    <col min="3" max="3" width="11.42578125" style="44" customWidth="1"/>
    <col min="4" max="4" width="37.85546875" style="47" customWidth="1"/>
    <col min="5" max="5" width="30.85546875" style="47" customWidth="1"/>
    <col min="6" max="6" width="38" style="47" customWidth="1"/>
    <col min="7" max="7" width="46.140625" style="47" customWidth="1"/>
    <col min="8" max="8" width="21.7109375" style="47" customWidth="1"/>
    <col min="9" max="9" width="16.28515625" style="44" customWidth="1"/>
    <col min="10" max="10" width="15.28515625" style="44" bestFit="1" customWidth="1"/>
    <col min="11" max="16384" width="11.42578125" style="47"/>
  </cols>
  <sheetData>
    <row r="1" spans="3:8" ht="12.75" customHeight="1">
      <c r="D1" s="44"/>
      <c r="E1" s="44"/>
      <c r="F1" s="44"/>
      <c r="G1" s="44"/>
      <c r="H1" s="44"/>
    </row>
    <row r="2" spans="3:8" ht="12.75" customHeight="1">
      <c r="D2" s="44"/>
      <c r="E2" s="44"/>
      <c r="F2" s="74" t="str">
        <f>IGC!E8</f>
        <v>UAT/Pruebas</v>
      </c>
      <c r="G2" s="74" t="s">
        <v>71</v>
      </c>
      <c r="H2" s="74"/>
    </row>
    <row r="3" spans="3:8" ht="15.75" customHeight="1">
      <c r="C3" s="75" t="str">
        <f>CONCATENATE(G2," ",F2)</f>
        <v>Componentes CI's  Afectados del Ambiente de UAT/Pruebas</v>
      </c>
      <c r="E3" s="76"/>
      <c r="F3" s="76"/>
      <c r="G3" s="76"/>
      <c r="H3" s="76"/>
    </row>
    <row r="4" spans="3:8" ht="12.75" customHeight="1">
      <c r="C4" s="201" t="s">
        <v>13</v>
      </c>
      <c r="D4" s="201"/>
      <c r="E4" s="99" t="s">
        <v>14</v>
      </c>
      <c r="F4" s="100" t="s">
        <v>250</v>
      </c>
      <c r="G4" s="100" t="s">
        <v>15</v>
      </c>
      <c r="H4" s="100" t="s">
        <v>16</v>
      </c>
    </row>
    <row r="5" spans="3:8" ht="13.5">
      <c r="C5" s="202" t="s">
        <v>314</v>
      </c>
      <c r="D5" s="202"/>
      <c r="E5" s="101" t="s">
        <v>316</v>
      </c>
      <c r="F5" s="102" t="s">
        <v>319</v>
      </c>
      <c r="G5" s="103"/>
      <c r="H5" s="103"/>
    </row>
    <row r="6" spans="3:8" ht="12.75" customHeight="1">
      <c r="C6" s="202" t="s">
        <v>315</v>
      </c>
      <c r="D6" s="202"/>
      <c r="E6" s="101" t="s">
        <v>317</v>
      </c>
      <c r="F6" s="102" t="s">
        <v>320</v>
      </c>
      <c r="G6" s="103"/>
      <c r="H6" s="103"/>
    </row>
    <row r="7" spans="3:8" ht="12.75" customHeight="1">
      <c r="C7" s="202" t="s">
        <v>323</v>
      </c>
      <c r="D7" s="202"/>
      <c r="E7" s="101" t="s">
        <v>322</v>
      </c>
      <c r="F7" s="104" t="s">
        <v>321</v>
      </c>
      <c r="G7" s="103"/>
      <c r="H7" s="103"/>
    </row>
    <row r="8" spans="3:8" ht="12.75" customHeight="1">
      <c r="C8" s="202"/>
      <c r="D8" s="202"/>
      <c r="E8" s="101"/>
      <c r="F8" s="104"/>
      <c r="G8" s="103"/>
      <c r="H8" s="103"/>
    </row>
    <row r="9" spans="3:8" ht="12.75" customHeight="1">
      <c r="C9" s="202"/>
      <c r="D9" s="202"/>
      <c r="E9" s="101"/>
      <c r="F9" s="101"/>
      <c r="G9" s="103"/>
      <c r="H9" s="103"/>
    </row>
    <row r="10" spans="3:8" ht="12.75" customHeight="1">
      <c r="C10" s="202"/>
      <c r="D10" s="202"/>
      <c r="E10" s="101"/>
      <c r="F10" s="101"/>
      <c r="G10" s="103"/>
      <c r="H10" s="103"/>
    </row>
    <row r="11" spans="3:8" ht="12.75" customHeight="1">
      <c r="C11" s="202"/>
      <c r="D11" s="202"/>
      <c r="E11" s="101"/>
      <c r="F11" s="101"/>
      <c r="G11" s="103"/>
      <c r="H11" s="103"/>
    </row>
    <row r="12" spans="3:8" ht="12.75" customHeight="1">
      <c r="C12" s="202"/>
      <c r="D12" s="202"/>
      <c r="E12" s="101"/>
      <c r="F12" s="101"/>
      <c r="G12" s="103"/>
      <c r="H12" s="103"/>
    </row>
    <row r="13" spans="3:8" ht="12.75" customHeight="1">
      <c r="C13" s="202"/>
      <c r="D13" s="202"/>
      <c r="E13" s="101"/>
      <c r="F13" s="101"/>
      <c r="G13" s="103"/>
      <c r="H13" s="103"/>
    </row>
    <row r="14" spans="3:8" ht="12.75" customHeight="1">
      <c r="C14" s="202"/>
      <c r="D14" s="202"/>
      <c r="E14" s="101"/>
      <c r="F14" s="101"/>
      <c r="G14" s="103"/>
      <c r="H14" s="103"/>
    </row>
    <row r="15" spans="3:8" ht="12.75" customHeight="1">
      <c r="C15" s="202"/>
      <c r="D15" s="202"/>
      <c r="E15" s="101"/>
      <c r="F15" s="101"/>
      <c r="G15" s="103"/>
      <c r="H15" s="103"/>
    </row>
    <row r="16" spans="3:8" ht="12.75" customHeight="1">
      <c r="C16" s="202"/>
      <c r="D16" s="202"/>
      <c r="E16" s="101"/>
      <c r="F16" s="101"/>
      <c r="G16" s="103"/>
      <c r="H16" s="103"/>
    </row>
    <row r="17" spans="3:8" ht="12.75" customHeight="1">
      <c r="C17" s="202"/>
      <c r="D17" s="202"/>
      <c r="E17" s="101"/>
      <c r="F17" s="105"/>
      <c r="G17" s="103"/>
      <c r="H17" s="103"/>
    </row>
    <row r="18" spans="3:8" ht="12.75" customHeight="1">
      <c r="C18" s="202"/>
      <c r="D18" s="202"/>
      <c r="E18" s="101"/>
      <c r="F18" s="101"/>
      <c r="G18" s="103"/>
      <c r="H18" s="103"/>
    </row>
    <row r="19" spans="3:8" ht="12.75" customHeight="1">
      <c r="C19" s="202"/>
      <c r="D19" s="202"/>
      <c r="E19" s="101"/>
      <c r="F19" s="101"/>
      <c r="G19" s="103"/>
      <c r="H19" s="103"/>
    </row>
    <row r="20" spans="3:8" ht="12.75" customHeight="1">
      <c r="C20" s="202"/>
      <c r="D20" s="202"/>
      <c r="E20" s="101"/>
      <c r="F20" s="101"/>
      <c r="G20" s="103"/>
      <c r="H20" s="103"/>
    </row>
    <row r="21" spans="3:8" ht="12.75" customHeight="1">
      <c r="C21" s="202"/>
      <c r="D21" s="202"/>
      <c r="E21" s="101"/>
      <c r="F21" s="101"/>
      <c r="G21" s="103"/>
      <c r="H21" s="103"/>
    </row>
    <row r="22" spans="3:8" ht="12.75" customHeight="1">
      <c r="C22" s="202"/>
      <c r="D22" s="202"/>
      <c r="E22" s="101"/>
      <c r="F22" s="101"/>
      <c r="G22" s="103"/>
      <c r="H22" s="103"/>
    </row>
    <row r="23" spans="3:8" ht="12.75" customHeight="1">
      <c r="C23" s="202"/>
      <c r="D23" s="202"/>
      <c r="E23" s="101"/>
      <c r="F23" s="101"/>
      <c r="G23" s="103"/>
      <c r="H23" s="103"/>
    </row>
    <row r="24" spans="3:8" ht="12.75" customHeight="1">
      <c r="C24" s="202"/>
      <c r="D24" s="202"/>
      <c r="E24" s="101"/>
      <c r="F24" s="101"/>
      <c r="G24" s="103"/>
      <c r="H24" s="103"/>
    </row>
    <row r="25" spans="3:8" ht="12.75" customHeight="1">
      <c r="C25" s="202"/>
      <c r="D25" s="202"/>
      <c r="E25" s="101"/>
      <c r="F25" s="101"/>
      <c r="G25" s="103"/>
      <c r="H25" s="103"/>
    </row>
    <row r="26" spans="3:8" ht="12.75" customHeight="1">
      <c r="C26" s="202"/>
      <c r="D26" s="202"/>
      <c r="E26" s="101"/>
      <c r="F26" s="101"/>
      <c r="G26" s="103"/>
      <c r="H26" s="103"/>
    </row>
    <row r="27" spans="3:8" ht="12.75" customHeight="1">
      <c r="C27" s="202"/>
      <c r="D27" s="202"/>
      <c r="E27" s="101"/>
      <c r="F27" s="101"/>
      <c r="G27" s="103"/>
      <c r="H27" s="103"/>
    </row>
    <row r="28" spans="3:8" ht="12.75" customHeight="1">
      <c r="C28" s="202"/>
      <c r="D28" s="202"/>
      <c r="E28" s="101"/>
      <c r="F28" s="101"/>
      <c r="G28" s="103"/>
      <c r="H28" s="103"/>
    </row>
    <row r="29" spans="3:8" ht="12.75" customHeight="1">
      <c r="C29" s="202"/>
      <c r="D29" s="202"/>
      <c r="E29" s="101"/>
      <c r="F29" s="101"/>
      <c r="G29" s="103"/>
      <c r="H29" s="103"/>
    </row>
    <row r="30" spans="3:8" ht="12.75" customHeight="1">
      <c r="C30" s="202"/>
      <c r="D30" s="202"/>
      <c r="E30" s="101"/>
      <c r="F30" s="101"/>
      <c r="G30" s="103"/>
      <c r="H30" s="103"/>
    </row>
    <row r="31" spans="3:8" ht="12.75" customHeight="1">
      <c r="C31" s="202"/>
      <c r="D31" s="202"/>
      <c r="E31" s="101"/>
      <c r="F31" s="101"/>
      <c r="G31" s="103"/>
      <c r="H31" s="103"/>
    </row>
    <row r="32" spans="3:8" ht="12.75" customHeight="1">
      <c r="C32" s="202"/>
      <c r="D32" s="202"/>
      <c r="E32" s="101"/>
      <c r="F32" s="101"/>
      <c r="G32" s="103"/>
      <c r="H32" s="103"/>
    </row>
    <row r="33" spans="3:8" ht="12.75" customHeight="1">
      <c r="C33" s="202"/>
      <c r="D33" s="202"/>
      <c r="E33" s="101"/>
      <c r="F33" s="101"/>
      <c r="G33" s="103"/>
      <c r="H33" s="103"/>
    </row>
    <row r="34" spans="3:8" ht="12.75" customHeight="1">
      <c r="C34" s="202"/>
      <c r="D34" s="202"/>
      <c r="E34" s="101"/>
      <c r="F34" s="101"/>
      <c r="G34" s="103"/>
      <c r="H34" s="103"/>
    </row>
    <row r="35" spans="3:8" ht="12.75" customHeight="1">
      <c r="C35" s="202"/>
      <c r="D35" s="202"/>
      <c r="E35" s="101"/>
      <c r="F35" s="101"/>
      <c r="G35" s="103"/>
      <c r="H35" s="103"/>
    </row>
    <row r="36" spans="3:8" ht="12.75" customHeight="1">
      <c r="C36" s="202"/>
      <c r="D36" s="202"/>
      <c r="E36" s="101"/>
      <c r="F36" s="101"/>
      <c r="G36" s="103"/>
      <c r="H36" s="103"/>
    </row>
    <row r="37" spans="3:8" ht="12.75" customHeight="1">
      <c r="C37" s="202"/>
      <c r="D37" s="202"/>
      <c r="E37" s="101"/>
      <c r="F37" s="101"/>
      <c r="G37" s="103"/>
      <c r="H37" s="103"/>
    </row>
    <row r="38" spans="3:8" ht="12.75" customHeight="1">
      <c r="C38" s="202"/>
      <c r="D38" s="202"/>
      <c r="E38" s="101"/>
      <c r="F38" s="101"/>
      <c r="G38" s="103"/>
      <c r="H38" s="103"/>
    </row>
    <row r="39" spans="3:8" ht="12.75" customHeight="1">
      <c r="C39" s="202"/>
      <c r="D39" s="202"/>
      <c r="E39" s="101"/>
      <c r="F39" s="101"/>
      <c r="G39" s="103"/>
      <c r="H39" s="103"/>
    </row>
    <row r="40" spans="3:8" ht="12.75" customHeight="1">
      <c r="C40" s="202"/>
      <c r="D40" s="202"/>
      <c r="E40" s="101"/>
      <c r="F40" s="101"/>
      <c r="G40" s="103"/>
      <c r="H40" s="103"/>
    </row>
    <row r="41" spans="3:8" ht="12.75" customHeight="1">
      <c r="C41" s="202"/>
      <c r="D41" s="202"/>
      <c r="E41" s="101"/>
      <c r="F41" s="101"/>
      <c r="G41" s="103"/>
      <c r="H41" s="103"/>
    </row>
    <row r="42" spans="3:8" ht="12.75" customHeight="1">
      <c r="C42" s="202"/>
      <c r="D42" s="202"/>
      <c r="E42" s="101"/>
      <c r="F42" s="101"/>
      <c r="G42" s="103"/>
      <c r="H42" s="103"/>
    </row>
    <row r="43" spans="3:8" ht="12.75" customHeight="1">
      <c r="C43" s="202"/>
      <c r="D43" s="202"/>
      <c r="E43" s="101"/>
      <c r="F43" s="101"/>
      <c r="G43" s="103"/>
      <c r="H43" s="103"/>
    </row>
    <row r="44" spans="3:8" ht="12.75" customHeight="1">
      <c r="C44" s="202"/>
      <c r="D44" s="202"/>
      <c r="E44" s="101"/>
      <c r="F44" s="101"/>
      <c r="G44" s="103"/>
      <c r="H44" s="103"/>
    </row>
    <row r="45" spans="3:8" ht="12.75" customHeight="1">
      <c r="C45" s="202"/>
      <c r="D45" s="202"/>
      <c r="E45" s="101"/>
      <c r="F45" s="101"/>
      <c r="G45" s="103"/>
      <c r="H45" s="103"/>
    </row>
    <row r="46" spans="3:8" ht="12.75" customHeight="1">
      <c r="C46" s="202"/>
      <c r="D46" s="202"/>
      <c r="E46" s="101"/>
      <c r="F46" s="101"/>
      <c r="G46" s="103"/>
      <c r="H46" s="103"/>
    </row>
    <row r="47" spans="3:8" ht="12.75" customHeight="1">
      <c r="C47" s="202"/>
      <c r="D47" s="202"/>
      <c r="E47" s="101"/>
      <c r="F47" s="101"/>
      <c r="G47" s="103"/>
      <c r="H47" s="103"/>
    </row>
    <row r="48" spans="3:8" ht="12.75" customHeight="1">
      <c r="C48" s="202"/>
      <c r="D48" s="202"/>
      <c r="E48" s="101"/>
      <c r="F48" s="101"/>
      <c r="G48" s="103"/>
      <c r="H48" s="103"/>
    </row>
    <row r="49" spans="3:8" ht="12.75" customHeight="1">
      <c r="C49" s="202"/>
      <c r="D49" s="202"/>
      <c r="E49" s="101"/>
      <c r="F49" s="101"/>
      <c r="G49" s="103"/>
      <c r="H49" s="103"/>
    </row>
    <row r="50" spans="3:8" ht="12.75" customHeight="1">
      <c r="C50" s="202"/>
      <c r="D50" s="202"/>
      <c r="E50" s="101"/>
      <c r="F50" s="101"/>
      <c r="G50" s="103"/>
      <c r="H50" s="103"/>
    </row>
    <row r="51" spans="3:8" ht="12.75" customHeight="1">
      <c r="C51" s="202"/>
      <c r="D51" s="202"/>
      <c r="E51" s="101"/>
      <c r="F51" s="101"/>
      <c r="G51" s="103"/>
      <c r="H51" s="103"/>
    </row>
    <row r="52" spans="3:8" ht="12.75" customHeight="1">
      <c r="C52" s="202"/>
      <c r="D52" s="202"/>
      <c r="E52" s="101"/>
      <c r="F52" s="101"/>
      <c r="G52" s="103"/>
      <c r="H52" s="103"/>
    </row>
    <row r="53" spans="3:8" ht="12.75" customHeight="1">
      <c r="C53" s="202"/>
      <c r="D53" s="202"/>
      <c r="E53" s="101"/>
      <c r="F53" s="101"/>
      <c r="G53" s="103"/>
      <c r="H53" s="103"/>
    </row>
    <row r="54" spans="3:8" ht="12.75" customHeight="1">
      <c r="C54" s="202"/>
      <c r="D54" s="202"/>
      <c r="E54" s="101"/>
      <c r="F54" s="101"/>
      <c r="G54" s="103"/>
      <c r="H54" s="103"/>
    </row>
    <row r="55" spans="3:8" ht="12.75" customHeight="1">
      <c r="C55" s="202"/>
      <c r="D55" s="202"/>
      <c r="E55" s="101"/>
      <c r="F55" s="101"/>
      <c r="G55" s="103"/>
      <c r="H55" s="103"/>
    </row>
    <row r="56" spans="3:8" ht="12.75" customHeight="1">
      <c r="C56" s="202"/>
      <c r="D56" s="202"/>
      <c r="E56" s="101"/>
      <c r="F56" s="101"/>
      <c r="G56" s="103"/>
      <c r="H56" s="103"/>
    </row>
    <row r="57" spans="3:8" ht="12.75" customHeight="1">
      <c r="C57" s="202"/>
      <c r="D57" s="202"/>
      <c r="E57" s="101"/>
      <c r="F57" s="101"/>
      <c r="G57" s="103"/>
      <c r="H57" s="103"/>
    </row>
    <row r="58" spans="3:8" ht="12.75" customHeight="1">
      <c r="C58" s="202"/>
      <c r="D58" s="202"/>
      <c r="E58" s="101"/>
      <c r="F58" s="101"/>
      <c r="G58" s="103"/>
      <c r="H58" s="103"/>
    </row>
    <row r="59" spans="3:8" ht="12.75" customHeight="1">
      <c r="C59" s="202"/>
      <c r="D59" s="202"/>
      <c r="E59" s="101"/>
      <c r="F59" s="101"/>
      <c r="G59" s="103"/>
      <c r="H59" s="103"/>
    </row>
    <row r="60" spans="3:8" ht="12.75" customHeight="1">
      <c r="C60" s="202"/>
      <c r="D60" s="202"/>
      <c r="E60" s="101"/>
      <c r="F60" s="101"/>
      <c r="G60" s="103"/>
      <c r="H60" s="103"/>
    </row>
    <row r="61" spans="3:8" ht="12.75" customHeight="1">
      <c r="C61" s="202"/>
      <c r="D61" s="202"/>
      <c r="E61" s="101"/>
      <c r="F61" s="101"/>
      <c r="G61" s="103"/>
      <c r="H61" s="103"/>
    </row>
    <row r="62" spans="3:8" ht="12.75" customHeight="1">
      <c r="C62" s="202"/>
      <c r="D62" s="202"/>
      <c r="E62" s="101"/>
      <c r="F62" s="101"/>
      <c r="G62" s="103"/>
      <c r="H62" s="103"/>
    </row>
    <row r="63" spans="3:8" ht="12.75" customHeight="1">
      <c r="C63" s="202"/>
      <c r="D63" s="202"/>
      <c r="E63" s="101"/>
      <c r="F63" s="101"/>
      <c r="G63" s="103"/>
      <c r="H63" s="103"/>
    </row>
    <row r="64" spans="3:8" ht="12.75" customHeight="1">
      <c r="C64" s="202"/>
      <c r="D64" s="202"/>
      <c r="E64" s="101"/>
      <c r="F64" s="101"/>
      <c r="G64" s="103"/>
      <c r="H64" s="103"/>
    </row>
    <row r="65" spans="3:8" ht="12.75" customHeight="1">
      <c r="C65" s="202"/>
      <c r="D65" s="202"/>
      <c r="E65" s="101"/>
      <c r="F65" s="101"/>
      <c r="G65" s="103"/>
      <c r="H65" s="103"/>
    </row>
    <row r="66" spans="3:8" ht="12.75" customHeight="1">
      <c r="C66" s="202"/>
      <c r="D66" s="202"/>
      <c r="E66" s="101"/>
      <c r="F66" s="101"/>
      <c r="G66" s="103"/>
      <c r="H66" s="103"/>
    </row>
    <row r="67" spans="3:8" ht="12.75" customHeight="1">
      <c r="C67" s="202"/>
      <c r="D67" s="202"/>
      <c r="E67" s="101"/>
      <c r="F67" s="101"/>
      <c r="G67" s="103"/>
      <c r="H67" s="103"/>
    </row>
    <row r="68" spans="3:8" ht="12.75" customHeight="1">
      <c r="C68" s="202"/>
      <c r="D68" s="202"/>
      <c r="E68" s="101"/>
      <c r="F68" s="101"/>
      <c r="G68" s="103"/>
      <c r="H68" s="103"/>
    </row>
    <row r="69" spans="3:8" ht="12.75" customHeight="1">
      <c r="C69" s="202"/>
      <c r="D69" s="202"/>
      <c r="E69" s="101"/>
      <c r="F69" s="101"/>
      <c r="G69" s="103"/>
      <c r="H69" s="103"/>
    </row>
    <row r="70" spans="3:8" ht="12.75" customHeight="1">
      <c r="C70" s="202"/>
      <c r="D70" s="202"/>
      <c r="E70" s="101"/>
      <c r="F70" s="101"/>
      <c r="G70" s="103"/>
      <c r="H70" s="103"/>
    </row>
    <row r="71" spans="3:8" ht="12.75" customHeight="1">
      <c r="C71" s="202"/>
      <c r="D71" s="202"/>
      <c r="E71" s="101"/>
      <c r="F71" s="101"/>
      <c r="G71" s="103"/>
      <c r="H71" s="103"/>
    </row>
    <row r="72" spans="3:8" ht="12.75" customHeight="1">
      <c r="C72" s="202"/>
      <c r="D72" s="202"/>
      <c r="E72" s="101"/>
      <c r="F72" s="101"/>
      <c r="G72" s="103"/>
      <c r="H72" s="103"/>
    </row>
    <row r="73" spans="3:8" ht="12.75" customHeight="1">
      <c r="C73" s="202"/>
      <c r="D73" s="202"/>
      <c r="E73" s="101"/>
      <c r="F73" s="101"/>
      <c r="G73" s="103"/>
      <c r="H73" s="103"/>
    </row>
    <row r="74" spans="3:8" ht="12.75" customHeight="1">
      <c r="C74" s="202"/>
      <c r="D74" s="202"/>
      <c r="E74" s="101"/>
      <c r="F74" s="101"/>
      <c r="G74" s="103"/>
      <c r="H74" s="103"/>
    </row>
    <row r="75" spans="3:8" ht="12.75" customHeight="1">
      <c r="C75" s="202"/>
      <c r="D75" s="202"/>
      <c r="E75" s="101"/>
      <c r="F75" s="101"/>
      <c r="G75" s="103"/>
      <c r="H75" s="103"/>
    </row>
    <row r="76" spans="3:8" ht="12.75" customHeight="1">
      <c r="C76" s="202"/>
      <c r="D76" s="202"/>
      <c r="E76" s="101"/>
      <c r="F76" s="101"/>
      <c r="G76" s="103"/>
      <c r="H76" s="103"/>
    </row>
    <row r="77" spans="3:8" ht="12.75" customHeight="1">
      <c r="C77" s="202"/>
      <c r="D77" s="202"/>
      <c r="E77" s="101"/>
      <c r="F77" s="101"/>
      <c r="G77" s="103"/>
      <c r="H77" s="103"/>
    </row>
    <row r="78" spans="3:8" ht="12.75" customHeight="1">
      <c r="C78" s="202"/>
      <c r="D78" s="202"/>
      <c r="E78" s="101"/>
      <c r="F78" s="101"/>
      <c r="G78" s="103"/>
      <c r="H78" s="103"/>
    </row>
    <row r="79" spans="3:8" ht="12.75" customHeight="1">
      <c r="C79" s="202"/>
      <c r="D79" s="202"/>
      <c r="E79" s="101"/>
      <c r="F79" s="101"/>
      <c r="G79" s="103"/>
      <c r="H79" s="103"/>
    </row>
    <row r="80" spans="3:8" ht="12.75" customHeight="1">
      <c r="C80" s="202"/>
      <c r="D80" s="202"/>
      <c r="E80" s="101"/>
      <c r="F80" s="101"/>
      <c r="G80" s="103"/>
      <c r="H80" s="103"/>
    </row>
    <row r="81" spans="3:8" ht="12.75" customHeight="1">
      <c r="C81" s="202"/>
      <c r="D81" s="202"/>
      <c r="E81" s="101"/>
      <c r="F81" s="101"/>
      <c r="G81" s="103"/>
      <c r="H81" s="103"/>
    </row>
    <row r="82" spans="3:8" ht="12.75" customHeight="1">
      <c r="C82" s="202"/>
      <c r="D82" s="202"/>
      <c r="E82" s="101"/>
      <c r="F82" s="101"/>
      <c r="G82" s="103"/>
      <c r="H82" s="103"/>
    </row>
    <row r="83" spans="3:8" ht="12.75" customHeight="1">
      <c r="C83" s="202"/>
      <c r="D83" s="202"/>
      <c r="E83" s="101"/>
      <c r="F83" s="101"/>
      <c r="G83" s="103"/>
      <c r="H83" s="103"/>
    </row>
    <row r="84" spans="3:8" ht="12.75" customHeight="1">
      <c r="C84" s="202"/>
      <c r="D84" s="202"/>
      <c r="E84" s="101"/>
      <c r="F84" s="101"/>
      <c r="G84" s="103"/>
      <c r="H84" s="103"/>
    </row>
    <row r="85" spans="3:8" ht="12.75" customHeight="1">
      <c r="C85" s="202"/>
      <c r="D85" s="202"/>
      <c r="E85" s="101"/>
      <c r="F85" s="101"/>
      <c r="G85" s="103"/>
      <c r="H85" s="103"/>
    </row>
    <row r="86" spans="3:8" ht="12.75" customHeight="1">
      <c r="C86" s="202"/>
      <c r="D86" s="202"/>
      <c r="E86" s="101"/>
      <c r="F86" s="101"/>
      <c r="G86" s="103"/>
      <c r="H86" s="103"/>
    </row>
    <row r="87" spans="3:8" ht="12.75" customHeight="1">
      <c r="C87" s="202"/>
      <c r="D87" s="202"/>
      <c r="E87" s="101"/>
      <c r="F87" s="101"/>
      <c r="G87" s="103"/>
      <c r="H87" s="103"/>
    </row>
    <row r="88" spans="3:8" ht="12.75" customHeight="1">
      <c r="C88" s="202"/>
      <c r="D88" s="202"/>
      <c r="E88" s="101"/>
      <c r="F88" s="101"/>
      <c r="G88" s="103"/>
      <c r="H88" s="103"/>
    </row>
    <row r="89" spans="3:8" ht="12.75" customHeight="1">
      <c r="C89" s="202"/>
      <c r="D89" s="202"/>
      <c r="E89" s="101"/>
      <c r="F89" s="101"/>
      <c r="G89" s="103"/>
      <c r="H89" s="103"/>
    </row>
    <row r="90" spans="3:8" ht="12.75" customHeight="1">
      <c r="C90" s="202"/>
      <c r="D90" s="202"/>
      <c r="E90" s="101"/>
      <c r="F90" s="101"/>
      <c r="G90" s="103"/>
      <c r="H90" s="103"/>
    </row>
    <row r="91" spans="3:8" ht="12.75" customHeight="1">
      <c r="C91" s="202"/>
      <c r="D91" s="202"/>
      <c r="E91" s="101"/>
      <c r="F91" s="101"/>
      <c r="G91" s="103"/>
      <c r="H91" s="103"/>
    </row>
    <row r="92" spans="3:8" ht="12.75" customHeight="1">
      <c r="C92" s="202"/>
      <c r="D92" s="202"/>
      <c r="E92" s="101"/>
      <c r="F92" s="101"/>
      <c r="G92" s="103"/>
      <c r="H92" s="103"/>
    </row>
    <row r="93" spans="3:8" ht="12.75" customHeight="1">
      <c r="C93" s="202"/>
      <c r="D93" s="202"/>
      <c r="E93" s="101"/>
      <c r="F93" s="101"/>
      <c r="G93" s="103"/>
      <c r="H93" s="103"/>
    </row>
    <row r="94" spans="3:8" ht="12.75" customHeight="1">
      <c r="C94" s="202"/>
      <c r="D94" s="202"/>
      <c r="E94" s="101"/>
      <c r="F94" s="101"/>
      <c r="G94" s="103"/>
      <c r="H94" s="103"/>
    </row>
    <row r="95" spans="3:8" ht="12.75" customHeight="1">
      <c r="C95" s="202"/>
      <c r="D95" s="202"/>
      <c r="E95" s="101"/>
      <c r="F95" s="101"/>
      <c r="G95" s="103"/>
      <c r="H95" s="103"/>
    </row>
    <row r="96" spans="3:8" ht="12.75" customHeight="1">
      <c r="C96" s="202"/>
      <c r="D96" s="202"/>
      <c r="E96" s="101"/>
      <c r="F96" s="101"/>
      <c r="G96" s="103"/>
      <c r="H96" s="103"/>
    </row>
    <row r="97" spans="3:8" ht="12.75" customHeight="1">
      <c r="C97" s="202"/>
      <c r="D97" s="202"/>
      <c r="E97" s="101"/>
      <c r="F97" s="101"/>
      <c r="G97" s="103"/>
      <c r="H97" s="103"/>
    </row>
    <row r="98" spans="3:8" ht="12.75" customHeight="1">
      <c r="C98" s="202"/>
      <c r="D98" s="202"/>
      <c r="E98" s="101"/>
      <c r="F98" s="101"/>
      <c r="G98" s="103"/>
      <c r="H98" s="103"/>
    </row>
    <row r="99" spans="3:8" ht="12.75" customHeight="1">
      <c r="C99" s="202"/>
      <c r="D99" s="202"/>
      <c r="E99" s="101"/>
      <c r="F99" s="101"/>
      <c r="G99" s="103"/>
      <c r="H99" s="103"/>
    </row>
    <row r="100" spans="3:8" ht="12.75" customHeight="1">
      <c r="C100" s="202"/>
      <c r="D100" s="202"/>
      <c r="E100" s="101"/>
      <c r="F100" s="101"/>
      <c r="G100" s="103"/>
      <c r="H100" s="103"/>
    </row>
    <row r="101" spans="3:8" ht="12.75" customHeight="1">
      <c r="C101" s="202"/>
      <c r="D101" s="202"/>
      <c r="E101" s="101"/>
      <c r="F101" s="101"/>
      <c r="G101" s="103"/>
      <c r="H101" s="103"/>
    </row>
    <row r="102" spans="3:8" ht="12.75" customHeight="1">
      <c r="C102" s="202"/>
      <c r="D102" s="202"/>
      <c r="E102" s="101"/>
      <c r="F102" s="101"/>
      <c r="G102" s="103"/>
      <c r="H102" s="103"/>
    </row>
    <row r="103" spans="3:8" ht="12.75" customHeight="1">
      <c r="C103" s="202"/>
      <c r="D103" s="202"/>
      <c r="E103" s="101"/>
      <c r="F103" s="101"/>
      <c r="G103" s="103"/>
      <c r="H103" s="103"/>
    </row>
    <row r="104" spans="3:8" ht="12.75" customHeight="1">
      <c r="C104" s="202"/>
      <c r="D104" s="202"/>
      <c r="E104" s="101"/>
      <c r="F104" s="101"/>
      <c r="G104" s="103"/>
      <c r="H104" s="103"/>
    </row>
    <row r="105" spans="3:8" ht="12.75" customHeight="1">
      <c r="C105" s="202"/>
      <c r="D105" s="202"/>
      <c r="E105" s="101"/>
      <c r="F105" s="101"/>
      <c r="G105" s="103"/>
      <c r="H105" s="103"/>
    </row>
    <row r="106" spans="3:8" ht="12.75" customHeight="1">
      <c r="C106" s="202"/>
      <c r="D106" s="202"/>
      <c r="E106" s="101"/>
      <c r="F106" s="101"/>
      <c r="G106" s="103"/>
      <c r="H106" s="103"/>
    </row>
    <row r="107" spans="3:8" ht="12.75" customHeight="1">
      <c r="C107" s="202"/>
      <c r="D107" s="202"/>
      <c r="E107" s="101"/>
      <c r="F107" s="101"/>
      <c r="G107" s="103"/>
      <c r="H107" s="103"/>
    </row>
    <row r="108" spans="3:8" ht="12.75" customHeight="1">
      <c r="C108" s="202"/>
      <c r="D108" s="202"/>
      <c r="E108" s="101"/>
      <c r="F108" s="101"/>
      <c r="G108" s="103"/>
      <c r="H108" s="103"/>
    </row>
    <row r="109" spans="3:8" ht="12.75" customHeight="1">
      <c r="C109" s="202"/>
      <c r="D109" s="202"/>
      <c r="E109" s="101"/>
      <c r="F109" s="101"/>
      <c r="G109" s="103"/>
      <c r="H109" s="103"/>
    </row>
    <row r="110" spans="3:8" ht="12.75" customHeight="1">
      <c r="C110" s="202"/>
      <c r="D110" s="202"/>
      <c r="E110" s="101"/>
      <c r="F110" s="101"/>
      <c r="G110" s="103"/>
      <c r="H110" s="103"/>
    </row>
    <row r="111" spans="3:8" ht="12.75" customHeight="1">
      <c r="C111" s="202"/>
      <c r="D111" s="202"/>
      <c r="E111" s="101"/>
      <c r="F111" s="101"/>
      <c r="G111" s="103"/>
      <c r="H111" s="103"/>
    </row>
    <row r="112" spans="3:8" ht="12.75" customHeight="1">
      <c r="C112" s="202"/>
      <c r="D112" s="202"/>
      <c r="E112" s="101"/>
      <c r="F112" s="101"/>
      <c r="G112" s="103"/>
      <c r="H112" s="103"/>
    </row>
    <row r="113" spans="3:8" ht="12.75" customHeight="1">
      <c r="C113" s="202"/>
      <c r="D113" s="202"/>
      <c r="E113" s="101"/>
      <c r="F113" s="101"/>
      <c r="G113" s="103"/>
      <c r="H113" s="103"/>
    </row>
    <row r="114" spans="3:8" ht="12.75" customHeight="1">
      <c r="C114" s="202"/>
      <c r="D114" s="202"/>
      <c r="E114" s="101"/>
      <c r="F114" s="101"/>
      <c r="G114" s="103"/>
      <c r="H114" s="103"/>
    </row>
    <row r="115" spans="3:8" ht="12.75" customHeight="1">
      <c r="C115" s="202"/>
      <c r="D115" s="202"/>
      <c r="E115" s="101"/>
      <c r="F115" s="101"/>
      <c r="G115" s="103"/>
      <c r="H115" s="103"/>
    </row>
    <row r="116" spans="3:8" ht="12.75" customHeight="1">
      <c r="C116" s="202"/>
      <c r="D116" s="202"/>
      <c r="E116" s="101"/>
      <c r="F116" s="101"/>
      <c r="G116" s="103"/>
      <c r="H116" s="103"/>
    </row>
    <row r="117" spans="3:8" ht="12.75" customHeight="1">
      <c r="C117" s="202"/>
      <c r="D117" s="202"/>
      <c r="E117" s="101"/>
      <c r="F117" s="101"/>
      <c r="G117" s="103"/>
      <c r="H117" s="103"/>
    </row>
    <row r="118" spans="3:8" ht="12.75" customHeight="1">
      <c r="C118" s="202"/>
      <c r="D118" s="202"/>
      <c r="E118" s="101"/>
      <c r="F118" s="101"/>
      <c r="G118" s="103"/>
      <c r="H118" s="103"/>
    </row>
    <row r="119" spans="3:8" ht="12.75" customHeight="1">
      <c r="C119" s="202"/>
      <c r="D119" s="202"/>
      <c r="E119" s="101"/>
      <c r="F119" s="101"/>
      <c r="G119" s="103"/>
      <c r="H119" s="103"/>
    </row>
    <row r="120" spans="3:8" ht="12.75" customHeight="1">
      <c r="C120" s="202"/>
      <c r="D120" s="202"/>
      <c r="E120" s="101"/>
      <c r="F120" s="101"/>
      <c r="G120" s="103"/>
      <c r="H120" s="103"/>
    </row>
    <row r="121" spans="3:8" ht="12.75" customHeight="1">
      <c r="C121" s="202"/>
      <c r="D121" s="202"/>
      <c r="E121" s="101"/>
      <c r="F121" s="101"/>
      <c r="G121" s="103"/>
      <c r="H121" s="103"/>
    </row>
    <row r="122" spans="3:8" ht="12.75" customHeight="1">
      <c r="C122" s="202"/>
      <c r="D122" s="202"/>
      <c r="E122" s="101"/>
      <c r="F122" s="101"/>
      <c r="G122" s="103"/>
      <c r="H122" s="103"/>
    </row>
    <row r="123" spans="3:8" ht="12.75" customHeight="1">
      <c r="C123" s="202"/>
      <c r="D123" s="202"/>
      <c r="E123" s="101"/>
      <c r="F123" s="101"/>
      <c r="G123" s="103"/>
      <c r="H123" s="103"/>
    </row>
    <row r="124" spans="3:8" ht="12.75" customHeight="1">
      <c r="C124" s="202"/>
      <c r="D124" s="202"/>
      <c r="E124" s="101"/>
      <c r="F124" s="101"/>
      <c r="G124" s="103"/>
      <c r="H124" s="103"/>
    </row>
    <row r="125" spans="3:8" ht="12.75" customHeight="1">
      <c r="C125" s="202"/>
      <c r="D125" s="202"/>
      <c r="E125" s="101"/>
      <c r="F125" s="101"/>
      <c r="G125" s="103"/>
      <c r="H125" s="103"/>
    </row>
    <row r="126" spans="3:8" ht="12.75" customHeight="1">
      <c r="C126" s="202"/>
      <c r="D126" s="202"/>
      <c r="E126" s="101"/>
      <c r="F126" s="101"/>
      <c r="G126" s="103"/>
      <c r="H126" s="103"/>
    </row>
    <row r="127" spans="3:8" ht="12.75" customHeight="1">
      <c r="C127" s="202"/>
      <c r="D127" s="202"/>
      <c r="E127" s="101"/>
      <c r="F127" s="101"/>
      <c r="G127" s="103"/>
      <c r="H127" s="103"/>
    </row>
    <row r="128" spans="3:8" ht="12.75" customHeight="1">
      <c r="C128" s="202"/>
      <c r="D128" s="202"/>
      <c r="E128" s="101"/>
      <c r="F128" s="101"/>
      <c r="G128" s="103"/>
      <c r="H128" s="103"/>
    </row>
    <row r="129" spans="3:8" ht="12.75" customHeight="1">
      <c r="C129" s="202"/>
      <c r="D129" s="202"/>
      <c r="E129" s="101"/>
      <c r="F129" s="101"/>
      <c r="G129" s="103"/>
      <c r="H129" s="103"/>
    </row>
    <row r="130" spans="3:8" ht="12.75" customHeight="1">
      <c r="C130" s="202"/>
      <c r="D130" s="202"/>
      <c r="E130" s="101"/>
      <c r="F130" s="101"/>
      <c r="G130" s="103"/>
      <c r="H130" s="103"/>
    </row>
    <row r="131" spans="3:8" ht="12.75" customHeight="1">
      <c r="C131" s="202"/>
      <c r="D131" s="202"/>
      <c r="E131" s="101"/>
      <c r="F131" s="101"/>
      <c r="G131" s="103"/>
      <c r="H131" s="103"/>
    </row>
    <row r="132" spans="3:8" ht="12.75" customHeight="1">
      <c r="C132" s="202"/>
      <c r="D132" s="202"/>
      <c r="E132" s="101"/>
      <c r="F132" s="101"/>
      <c r="G132" s="103"/>
      <c r="H132" s="103"/>
    </row>
    <row r="133" spans="3:8" ht="12.75" customHeight="1">
      <c r="C133" s="202"/>
      <c r="D133" s="202"/>
      <c r="E133" s="101"/>
      <c r="F133" s="101"/>
      <c r="G133" s="103"/>
      <c r="H133" s="103"/>
    </row>
    <row r="134" spans="3:8" ht="12.75" customHeight="1">
      <c r="C134" s="202"/>
      <c r="D134" s="202"/>
      <c r="E134" s="101"/>
      <c r="F134" s="101"/>
      <c r="G134" s="103"/>
      <c r="H134" s="103"/>
    </row>
    <row r="135" spans="3:8" ht="12.75" customHeight="1">
      <c r="C135" s="202"/>
      <c r="D135" s="202"/>
      <c r="E135" s="101"/>
      <c r="F135" s="101"/>
      <c r="G135" s="103"/>
      <c r="H135" s="103"/>
    </row>
    <row r="136" spans="3:8" ht="12.75" customHeight="1">
      <c r="C136" s="202"/>
      <c r="D136" s="202"/>
      <c r="E136" s="101"/>
      <c r="F136" s="101"/>
      <c r="G136" s="103"/>
      <c r="H136" s="103"/>
    </row>
    <row r="137" spans="3:8" ht="12.75" customHeight="1">
      <c r="C137" s="202"/>
      <c r="D137" s="202"/>
      <c r="E137" s="101"/>
      <c r="F137" s="101"/>
      <c r="G137" s="103"/>
      <c r="H137" s="103"/>
    </row>
    <row r="138" spans="3:8" ht="12.75" customHeight="1">
      <c r="C138" s="202"/>
      <c r="D138" s="202"/>
      <c r="E138" s="101"/>
      <c r="F138" s="101"/>
      <c r="G138" s="103"/>
      <c r="H138" s="103"/>
    </row>
    <row r="139" spans="3:8" ht="12.75" customHeight="1">
      <c r="C139" s="202"/>
      <c r="D139" s="202"/>
      <c r="E139" s="101"/>
      <c r="F139" s="101"/>
      <c r="G139" s="103"/>
      <c r="H139" s="103"/>
    </row>
    <row r="140" spans="3:8" ht="12.75" customHeight="1">
      <c r="C140" s="202"/>
      <c r="D140" s="202"/>
      <c r="E140" s="101"/>
      <c r="F140" s="101"/>
      <c r="G140" s="103"/>
      <c r="H140" s="103"/>
    </row>
    <row r="141" spans="3:8" ht="12.75" customHeight="1">
      <c r="C141" s="202"/>
      <c r="D141" s="202"/>
      <c r="E141" s="101"/>
      <c r="F141" s="101"/>
      <c r="G141" s="103"/>
      <c r="H141" s="103"/>
    </row>
    <row r="142" spans="3:8" ht="12.75" customHeight="1">
      <c r="C142" s="202"/>
      <c r="D142" s="202"/>
      <c r="E142" s="101"/>
      <c r="F142" s="101"/>
      <c r="G142" s="103"/>
      <c r="H142" s="103"/>
    </row>
    <row r="143" spans="3:8" ht="12.75" customHeight="1">
      <c r="C143" s="202"/>
      <c r="D143" s="202"/>
      <c r="E143" s="101"/>
      <c r="F143" s="101"/>
      <c r="G143" s="103"/>
      <c r="H143" s="103"/>
    </row>
    <row r="144" spans="3:8" ht="12.75" customHeight="1">
      <c r="C144" s="202"/>
      <c r="D144" s="202"/>
      <c r="E144" s="101"/>
      <c r="F144" s="101"/>
      <c r="G144" s="103"/>
      <c r="H144" s="103"/>
    </row>
    <row r="145" spans="3:8" ht="12.75" customHeight="1">
      <c r="C145" s="202"/>
      <c r="D145" s="202"/>
      <c r="E145" s="101"/>
      <c r="F145" s="101"/>
      <c r="G145" s="103"/>
      <c r="H145" s="103"/>
    </row>
    <row r="146" spans="3:8" ht="12.75" customHeight="1">
      <c r="C146" s="202"/>
      <c r="D146" s="202"/>
      <c r="E146" s="101"/>
      <c r="F146" s="101"/>
      <c r="G146" s="103"/>
      <c r="H146" s="103"/>
    </row>
    <row r="147" spans="3:8" ht="12.75" customHeight="1">
      <c r="C147" s="202"/>
      <c r="D147" s="202"/>
      <c r="E147" s="101"/>
      <c r="F147" s="101"/>
      <c r="G147" s="103"/>
      <c r="H147" s="103"/>
    </row>
    <row r="148" spans="3:8" ht="12.75" customHeight="1">
      <c r="C148" s="202"/>
      <c r="D148" s="202"/>
      <c r="E148" s="101"/>
      <c r="F148" s="101"/>
      <c r="G148" s="103"/>
      <c r="H148" s="103"/>
    </row>
    <row r="149" spans="3:8" ht="12.75" customHeight="1">
      <c r="C149" s="202"/>
      <c r="D149" s="202"/>
      <c r="E149" s="101"/>
      <c r="F149" s="101"/>
      <c r="G149" s="103"/>
      <c r="H149" s="103"/>
    </row>
    <row r="150" spans="3:8" ht="12.75" customHeight="1">
      <c r="C150" s="202"/>
      <c r="D150" s="202"/>
      <c r="E150" s="101"/>
      <c r="F150" s="101"/>
      <c r="G150" s="103"/>
      <c r="H150" s="103"/>
    </row>
    <row r="151" spans="3:8" ht="12.75" customHeight="1">
      <c r="C151" s="202"/>
      <c r="D151" s="202"/>
      <c r="E151" s="101"/>
      <c r="F151" s="101"/>
      <c r="G151" s="103"/>
      <c r="H151" s="103"/>
    </row>
    <row r="152" spans="3:8" ht="12.75" customHeight="1">
      <c r="C152" s="202"/>
      <c r="D152" s="202"/>
      <c r="E152" s="101"/>
      <c r="F152" s="101"/>
      <c r="G152" s="103"/>
      <c r="H152" s="103"/>
    </row>
    <row r="153" spans="3:8" ht="12.75" customHeight="1">
      <c r="C153" s="202"/>
      <c r="D153" s="202"/>
      <c r="E153" s="101"/>
      <c r="F153" s="101"/>
      <c r="G153" s="103"/>
      <c r="H153" s="103"/>
    </row>
    <row r="154" spans="3:8" ht="12.75" customHeight="1">
      <c r="C154" s="202"/>
      <c r="D154" s="202"/>
      <c r="E154" s="101"/>
      <c r="F154" s="101"/>
      <c r="G154" s="103"/>
      <c r="H154" s="103"/>
    </row>
    <row r="155" spans="3:8" ht="12.75" customHeight="1">
      <c r="C155" s="202"/>
      <c r="D155" s="202"/>
      <c r="E155" s="101"/>
      <c r="F155" s="101"/>
      <c r="G155" s="103"/>
      <c r="H155" s="103"/>
    </row>
    <row r="156" spans="3:8" ht="12.75" customHeight="1">
      <c r="C156" s="202"/>
      <c r="D156" s="202"/>
      <c r="E156" s="101"/>
      <c r="F156" s="101"/>
      <c r="G156" s="103"/>
      <c r="H156" s="103"/>
    </row>
    <row r="157" spans="3:8" ht="12.75" customHeight="1">
      <c r="C157" s="202"/>
      <c r="D157" s="202"/>
      <c r="E157" s="101"/>
      <c r="F157" s="101"/>
      <c r="G157" s="103"/>
      <c r="H157" s="103"/>
    </row>
    <row r="158" spans="3:8" ht="12.75" customHeight="1">
      <c r="C158" s="202"/>
      <c r="D158" s="202"/>
      <c r="E158" s="101"/>
      <c r="F158" s="101"/>
      <c r="G158" s="103"/>
      <c r="H158" s="103"/>
    </row>
    <row r="159" spans="3:8" ht="12.75" customHeight="1">
      <c r="C159" s="202"/>
      <c r="D159" s="202"/>
      <c r="E159" s="101"/>
      <c r="F159" s="101"/>
      <c r="G159" s="103"/>
      <c r="H159" s="103"/>
    </row>
    <row r="160" spans="3:8" ht="12.75" customHeight="1">
      <c r="C160" s="202"/>
      <c r="D160" s="202"/>
      <c r="E160" s="101"/>
      <c r="F160" s="101"/>
      <c r="G160" s="103"/>
      <c r="H160" s="103"/>
    </row>
    <row r="161" spans="3:8" ht="12.75" customHeight="1">
      <c r="C161" s="202"/>
      <c r="D161" s="202"/>
      <c r="E161" s="101"/>
      <c r="F161" s="101"/>
      <c r="G161" s="103"/>
      <c r="H161" s="103"/>
    </row>
    <row r="162" spans="3:8" ht="12.75" customHeight="1">
      <c r="C162" s="202"/>
      <c r="D162" s="202"/>
      <c r="E162" s="101"/>
      <c r="F162" s="101"/>
      <c r="G162" s="103"/>
      <c r="H162" s="103"/>
    </row>
    <row r="163" spans="3:8" ht="12.75" customHeight="1">
      <c r="C163" s="202"/>
      <c r="D163" s="202"/>
      <c r="E163" s="101"/>
      <c r="F163" s="101"/>
      <c r="G163" s="103"/>
      <c r="H163" s="103"/>
    </row>
    <row r="164" spans="3:8" ht="12.75" customHeight="1">
      <c r="C164" s="202"/>
      <c r="D164" s="202"/>
      <c r="E164" s="101"/>
      <c r="F164" s="101"/>
      <c r="G164" s="103"/>
      <c r="H164" s="103"/>
    </row>
    <row r="165" spans="3:8" ht="12.75" customHeight="1">
      <c r="C165" s="202"/>
      <c r="D165" s="202"/>
      <c r="E165" s="101"/>
      <c r="F165" s="101"/>
      <c r="G165" s="103"/>
      <c r="H165" s="103"/>
    </row>
    <row r="166" spans="3:8" ht="12.75" customHeight="1">
      <c r="C166" s="202"/>
      <c r="D166" s="202"/>
      <c r="E166" s="101"/>
      <c r="F166" s="101"/>
      <c r="G166" s="103"/>
      <c r="H166" s="103"/>
    </row>
    <row r="167" spans="3:8" ht="12.75" customHeight="1">
      <c r="C167" s="202"/>
      <c r="D167" s="202"/>
      <c r="E167" s="101"/>
      <c r="F167" s="101"/>
      <c r="G167" s="103"/>
      <c r="H167" s="103"/>
    </row>
    <row r="168" spans="3:8" ht="12.75" customHeight="1">
      <c r="C168" s="202"/>
      <c r="D168" s="202"/>
      <c r="E168" s="101"/>
      <c r="F168" s="101"/>
      <c r="G168" s="103"/>
      <c r="H168" s="103"/>
    </row>
    <row r="169" spans="3:8" ht="12.75" customHeight="1">
      <c r="C169" s="202"/>
      <c r="D169" s="202"/>
      <c r="E169" s="101"/>
      <c r="F169" s="101"/>
      <c r="G169" s="103"/>
      <c r="H169" s="103"/>
    </row>
    <row r="170" spans="3:8" ht="12.75" customHeight="1">
      <c r="C170" s="202"/>
      <c r="D170" s="202"/>
      <c r="E170" s="101"/>
      <c r="F170" s="101"/>
      <c r="G170" s="103"/>
      <c r="H170" s="103"/>
    </row>
    <row r="171" spans="3:8" ht="12.75" customHeight="1">
      <c r="C171" s="202"/>
      <c r="D171" s="202"/>
      <c r="E171" s="101"/>
      <c r="F171" s="101"/>
      <c r="G171" s="103"/>
      <c r="H171" s="103"/>
    </row>
    <row r="172" spans="3:8" ht="12.75" customHeight="1">
      <c r="C172" s="202"/>
      <c r="D172" s="202"/>
      <c r="E172" s="101"/>
      <c r="F172" s="101"/>
      <c r="G172" s="103"/>
      <c r="H172" s="103"/>
    </row>
    <row r="173" spans="3:8" ht="12.75" customHeight="1">
      <c r="C173" s="202"/>
      <c r="D173" s="202"/>
      <c r="E173" s="101"/>
      <c r="F173" s="101"/>
      <c r="G173" s="103"/>
      <c r="H173" s="103"/>
    </row>
    <row r="174" spans="3:8" ht="12.75" customHeight="1">
      <c r="C174" s="202"/>
      <c r="D174" s="202"/>
      <c r="E174" s="101"/>
      <c r="F174" s="101"/>
      <c r="G174" s="103"/>
      <c r="H174" s="103"/>
    </row>
    <row r="175" spans="3:8" ht="12.75" customHeight="1">
      <c r="C175" s="202"/>
      <c r="D175" s="202"/>
      <c r="E175" s="101"/>
      <c r="F175" s="101"/>
      <c r="G175" s="103"/>
      <c r="H175" s="103"/>
    </row>
    <row r="176" spans="3:8" ht="12.75" customHeight="1">
      <c r="C176" s="202"/>
      <c r="D176" s="202"/>
      <c r="E176" s="101"/>
      <c r="F176" s="101"/>
      <c r="G176" s="103"/>
      <c r="H176" s="103"/>
    </row>
    <row r="177" spans="3:8" ht="12.75" customHeight="1">
      <c r="C177" s="202"/>
      <c r="D177" s="202"/>
      <c r="E177" s="101"/>
      <c r="F177" s="101"/>
      <c r="G177" s="103"/>
      <c r="H177" s="103"/>
    </row>
    <row r="178" spans="3:8" ht="12.75" customHeight="1">
      <c r="C178" s="202"/>
      <c r="D178" s="202"/>
      <c r="E178" s="101"/>
      <c r="F178" s="101"/>
      <c r="G178" s="103"/>
      <c r="H178" s="103"/>
    </row>
    <row r="179" spans="3:8" ht="12.75" customHeight="1">
      <c r="C179" s="202"/>
      <c r="D179" s="202"/>
      <c r="E179" s="101"/>
      <c r="F179" s="101"/>
      <c r="G179" s="103"/>
      <c r="H179" s="103"/>
    </row>
    <row r="180" spans="3:8" ht="12.75" customHeight="1">
      <c r="C180" s="202"/>
      <c r="D180" s="202"/>
      <c r="E180" s="101"/>
      <c r="F180" s="101"/>
      <c r="G180" s="103"/>
      <c r="H180" s="103"/>
    </row>
    <row r="181" spans="3:8" ht="12.75" customHeight="1">
      <c r="C181" s="202"/>
      <c r="D181" s="202"/>
      <c r="E181" s="101"/>
      <c r="F181" s="101"/>
      <c r="G181" s="103"/>
      <c r="H181" s="103"/>
    </row>
    <row r="182" spans="3:8" ht="12.75" customHeight="1">
      <c r="C182" s="202"/>
      <c r="D182" s="202"/>
      <c r="E182" s="101"/>
      <c r="F182" s="101"/>
      <c r="G182" s="103"/>
      <c r="H182" s="103"/>
    </row>
    <row r="183" spans="3:8" ht="12.75" customHeight="1">
      <c r="C183" s="202"/>
      <c r="D183" s="202"/>
      <c r="E183" s="101"/>
      <c r="F183" s="101"/>
      <c r="G183" s="103"/>
      <c r="H183" s="103"/>
    </row>
    <row r="184" spans="3:8" ht="12.75" customHeight="1">
      <c r="C184" s="202"/>
      <c r="D184" s="202"/>
      <c r="E184" s="101"/>
      <c r="F184" s="101"/>
      <c r="G184" s="103"/>
      <c r="H184" s="103"/>
    </row>
    <row r="185" spans="3:8" ht="12.75" customHeight="1">
      <c r="C185" s="202"/>
      <c r="D185" s="202"/>
      <c r="E185" s="101"/>
      <c r="F185" s="101"/>
      <c r="G185" s="103"/>
      <c r="H185" s="103"/>
    </row>
    <row r="186" spans="3:8" ht="12.75" customHeight="1">
      <c r="C186" s="202"/>
      <c r="D186" s="202"/>
      <c r="E186" s="101"/>
      <c r="F186" s="101"/>
      <c r="G186" s="103"/>
      <c r="H186" s="103"/>
    </row>
    <row r="187" spans="3:8" ht="12.75" customHeight="1">
      <c r="C187" s="202"/>
      <c r="D187" s="202"/>
      <c r="E187" s="101"/>
      <c r="F187" s="101"/>
      <c r="G187" s="103"/>
      <c r="H187" s="103"/>
    </row>
    <row r="188" spans="3:8" ht="12.75" customHeight="1">
      <c r="C188" s="202"/>
      <c r="D188" s="202"/>
      <c r="E188" s="101"/>
      <c r="F188" s="101"/>
      <c r="G188" s="103"/>
      <c r="H188" s="103"/>
    </row>
    <row r="189" spans="3:8" ht="12.75" customHeight="1">
      <c r="C189" s="202"/>
      <c r="D189" s="202"/>
      <c r="E189" s="101"/>
      <c r="F189" s="101"/>
      <c r="G189" s="103"/>
      <c r="H189" s="103"/>
    </row>
    <row r="190" spans="3:8" ht="12.75" customHeight="1">
      <c r="C190" s="202"/>
      <c r="D190" s="202"/>
      <c r="E190" s="101"/>
      <c r="F190" s="101"/>
      <c r="G190" s="103"/>
      <c r="H190" s="103"/>
    </row>
    <row r="191" spans="3:8" ht="12.75" customHeight="1">
      <c r="C191" s="202"/>
      <c r="D191" s="202"/>
      <c r="E191" s="101"/>
      <c r="F191" s="101"/>
      <c r="G191" s="103"/>
      <c r="H191" s="103"/>
    </row>
    <row r="192" spans="3:8" ht="12.75" customHeight="1">
      <c r="C192" s="202"/>
      <c r="D192" s="202"/>
      <c r="E192" s="101"/>
      <c r="F192" s="101"/>
      <c r="G192" s="103"/>
      <c r="H192" s="103"/>
    </row>
    <row r="193" spans="3:8" ht="12.75" customHeight="1">
      <c r="C193" s="202"/>
      <c r="D193" s="202"/>
      <c r="E193" s="101"/>
      <c r="F193" s="101"/>
      <c r="G193" s="103"/>
      <c r="H193" s="103"/>
    </row>
    <row r="194" spans="3:8" ht="12.75" customHeight="1">
      <c r="C194" s="202"/>
      <c r="D194" s="202"/>
      <c r="E194" s="101"/>
      <c r="F194" s="101"/>
      <c r="G194" s="103"/>
      <c r="H194" s="103"/>
    </row>
    <row r="195" spans="3:8" ht="12.75" customHeight="1">
      <c r="C195" s="202"/>
      <c r="D195" s="202"/>
      <c r="E195" s="101"/>
      <c r="F195" s="101"/>
      <c r="G195" s="103"/>
      <c r="H195" s="103"/>
    </row>
    <row r="196" spans="3:8" ht="12.75" customHeight="1">
      <c r="C196" s="202"/>
      <c r="D196" s="202"/>
      <c r="E196" s="101"/>
      <c r="F196" s="101"/>
      <c r="G196" s="103"/>
      <c r="H196" s="103"/>
    </row>
    <row r="197" spans="3:8" ht="12.75" customHeight="1">
      <c r="C197" s="202"/>
      <c r="D197" s="202"/>
      <c r="E197" s="101"/>
      <c r="F197" s="101"/>
      <c r="G197" s="103"/>
      <c r="H197" s="103"/>
    </row>
    <row r="198" spans="3:8" ht="12.75" customHeight="1">
      <c r="C198" s="202"/>
      <c r="D198" s="202"/>
      <c r="E198" s="101"/>
      <c r="F198" s="101"/>
      <c r="G198" s="103"/>
      <c r="H198" s="103"/>
    </row>
    <row r="199" spans="3:8" ht="12.75" customHeight="1">
      <c r="C199" s="202"/>
      <c r="D199" s="202"/>
      <c r="E199" s="101"/>
      <c r="F199" s="101"/>
      <c r="G199" s="103"/>
      <c r="H199" s="103"/>
    </row>
    <row r="200" spans="3:8" ht="12.75" customHeight="1">
      <c r="C200" s="202"/>
      <c r="D200" s="202"/>
      <c r="E200" s="101"/>
      <c r="F200" s="101"/>
      <c r="G200" s="103"/>
      <c r="H200" s="103"/>
    </row>
    <row r="201" spans="3:8" ht="12.75" customHeight="1">
      <c r="C201" s="202"/>
      <c r="D201" s="202"/>
      <c r="E201" s="101"/>
      <c r="F201" s="101"/>
      <c r="G201" s="103"/>
      <c r="H201" s="103"/>
    </row>
    <row r="202" spans="3:8" ht="12.75" customHeight="1">
      <c r="C202" s="202"/>
      <c r="D202" s="202"/>
      <c r="E202" s="101"/>
      <c r="F202" s="101"/>
      <c r="G202" s="103"/>
      <c r="H202" s="103"/>
    </row>
    <row r="203" spans="3:8" ht="12.75" customHeight="1">
      <c r="C203" s="202"/>
      <c r="D203" s="202"/>
      <c r="E203" s="101"/>
      <c r="F203" s="101"/>
      <c r="G203" s="103"/>
      <c r="H203" s="103"/>
    </row>
    <row r="204" spans="3:8" ht="12.75" customHeight="1">
      <c r="C204" s="202"/>
      <c r="D204" s="202"/>
      <c r="E204" s="101"/>
      <c r="F204" s="101"/>
      <c r="G204" s="103"/>
      <c r="H204" s="103"/>
    </row>
    <row r="205" spans="3:8" ht="12.75" customHeight="1">
      <c r="C205" s="202"/>
      <c r="D205" s="202"/>
      <c r="E205" s="101"/>
      <c r="F205" s="101"/>
      <c r="G205" s="103"/>
      <c r="H205" s="103"/>
    </row>
    <row r="206" spans="3:8" ht="12.75" customHeight="1">
      <c r="C206" s="202"/>
      <c r="D206" s="202"/>
      <c r="E206" s="101"/>
      <c r="F206" s="101"/>
      <c r="G206" s="103"/>
      <c r="H206" s="103"/>
    </row>
    <row r="207" spans="3:8" ht="12.75" customHeight="1">
      <c r="C207" s="202"/>
      <c r="D207" s="202"/>
      <c r="E207" s="101"/>
      <c r="F207" s="101"/>
      <c r="G207" s="103"/>
      <c r="H207" s="103"/>
    </row>
    <row r="208" spans="3:8" ht="12.75" customHeight="1">
      <c r="C208" s="202"/>
      <c r="D208" s="202"/>
      <c r="E208" s="101"/>
      <c r="F208" s="101"/>
      <c r="G208" s="103"/>
      <c r="H208" s="103"/>
    </row>
    <row r="209" spans="3:8" ht="12.75" customHeight="1">
      <c r="C209" s="202"/>
      <c r="D209" s="202"/>
      <c r="E209" s="101"/>
      <c r="F209" s="101"/>
      <c r="G209" s="103"/>
      <c r="H209" s="103"/>
    </row>
    <row r="210" spans="3:8" ht="12.75" customHeight="1">
      <c r="C210" s="202"/>
      <c r="D210" s="202"/>
      <c r="E210" s="101"/>
      <c r="F210" s="101"/>
      <c r="G210" s="103"/>
      <c r="H210" s="103"/>
    </row>
    <row r="211" spans="3:8" ht="12.75" customHeight="1">
      <c r="C211" s="202"/>
      <c r="D211" s="202"/>
      <c r="E211" s="101"/>
      <c r="F211" s="101"/>
      <c r="G211" s="103"/>
      <c r="H211" s="103"/>
    </row>
    <row r="212" spans="3:8" ht="12.75" customHeight="1">
      <c r="C212" s="202"/>
      <c r="D212" s="202"/>
      <c r="E212" s="101"/>
      <c r="F212" s="101"/>
      <c r="G212" s="103"/>
      <c r="H212" s="103"/>
    </row>
    <row r="213" spans="3:8" ht="12.75" customHeight="1">
      <c r="C213" s="202"/>
      <c r="D213" s="202"/>
      <c r="E213" s="101"/>
      <c r="F213" s="101"/>
      <c r="G213" s="103"/>
      <c r="H213" s="103"/>
    </row>
    <row r="214" spans="3:8" ht="12.75" customHeight="1">
      <c r="C214" s="202"/>
      <c r="D214" s="202"/>
      <c r="E214" s="101"/>
      <c r="F214" s="101"/>
      <c r="G214" s="103"/>
      <c r="H214" s="103"/>
    </row>
    <row r="215" spans="3:8" ht="12.75" customHeight="1">
      <c r="C215" s="202"/>
      <c r="D215" s="202"/>
      <c r="E215" s="101"/>
      <c r="F215" s="101"/>
      <c r="G215" s="103"/>
      <c r="H215" s="103"/>
    </row>
    <row r="216" spans="3:8" ht="12.75" customHeight="1">
      <c r="C216" s="202"/>
      <c r="D216" s="202"/>
      <c r="E216" s="101"/>
      <c r="F216" s="101"/>
      <c r="G216" s="103"/>
      <c r="H216" s="103"/>
    </row>
    <row r="217" spans="3:8" ht="12.75" customHeight="1">
      <c r="C217" s="202"/>
      <c r="D217" s="202"/>
      <c r="E217" s="101"/>
      <c r="F217" s="101"/>
      <c r="G217" s="103"/>
      <c r="H217" s="103"/>
    </row>
    <row r="218" spans="3:8" ht="12.75" customHeight="1">
      <c r="C218" s="202"/>
      <c r="D218" s="202"/>
      <c r="E218" s="101"/>
      <c r="F218" s="101"/>
      <c r="G218" s="103"/>
      <c r="H218" s="103"/>
    </row>
    <row r="219" spans="3:8" ht="12.75" customHeight="1">
      <c r="C219" s="202"/>
      <c r="D219" s="202"/>
      <c r="E219" s="101"/>
      <c r="F219" s="101"/>
      <c r="G219" s="103"/>
      <c r="H219" s="103"/>
    </row>
    <row r="220" spans="3:8" ht="12.75" customHeight="1">
      <c r="C220" s="202"/>
      <c r="D220" s="202"/>
      <c r="E220" s="101"/>
      <c r="F220" s="101"/>
      <c r="G220" s="103"/>
      <c r="H220" s="103"/>
    </row>
    <row r="221" spans="3:8" ht="12.75" customHeight="1">
      <c r="C221" s="202"/>
      <c r="D221" s="202"/>
      <c r="E221" s="101"/>
      <c r="F221" s="101"/>
      <c r="G221" s="103"/>
      <c r="H221" s="103"/>
    </row>
    <row r="222" spans="3:8" ht="12.75" customHeight="1">
      <c r="C222" s="202"/>
      <c r="D222" s="202"/>
      <c r="E222" s="101"/>
      <c r="F222" s="101"/>
      <c r="G222" s="103"/>
      <c r="H222" s="103"/>
    </row>
    <row r="223" spans="3:8" ht="12.75" customHeight="1">
      <c r="C223" s="202"/>
      <c r="D223" s="202"/>
      <c r="E223" s="101"/>
      <c r="F223" s="101"/>
      <c r="G223" s="103"/>
      <c r="H223" s="103"/>
    </row>
    <row r="224" spans="3:8" ht="12.75" customHeight="1">
      <c r="C224" s="202"/>
      <c r="D224" s="202"/>
      <c r="E224" s="101"/>
      <c r="F224" s="101"/>
      <c r="G224" s="103"/>
      <c r="H224" s="103"/>
    </row>
    <row r="225" spans="3:8" ht="12.75" customHeight="1">
      <c r="C225" s="202"/>
      <c r="D225" s="202"/>
      <c r="E225" s="101"/>
      <c r="F225" s="101"/>
      <c r="G225" s="103"/>
      <c r="H225" s="103"/>
    </row>
    <row r="226" spans="3:8" ht="12.75" customHeight="1">
      <c r="C226" s="202"/>
      <c r="D226" s="202"/>
      <c r="E226" s="101"/>
      <c r="F226" s="101"/>
      <c r="G226" s="103"/>
      <c r="H226" s="103"/>
    </row>
    <row r="227" spans="3:8" ht="12.75" customHeight="1">
      <c r="C227" s="202"/>
      <c r="D227" s="202"/>
      <c r="E227" s="101"/>
      <c r="F227" s="101"/>
      <c r="G227" s="103"/>
      <c r="H227" s="103"/>
    </row>
    <row r="228" spans="3:8" ht="12.75" customHeight="1">
      <c r="C228" s="202"/>
      <c r="D228" s="202"/>
      <c r="E228" s="101"/>
      <c r="F228" s="101"/>
      <c r="G228" s="103"/>
      <c r="H228" s="103"/>
    </row>
    <row r="229" spans="3:8" ht="12.75" customHeight="1">
      <c r="C229" s="202"/>
      <c r="D229" s="202"/>
      <c r="E229" s="101"/>
      <c r="F229" s="101"/>
      <c r="G229" s="103"/>
      <c r="H229" s="103"/>
    </row>
    <row r="230" spans="3:8" ht="12.75" customHeight="1">
      <c r="C230" s="202"/>
      <c r="D230" s="202"/>
      <c r="E230" s="101"/>
      <c r="F230" s="101"/>
      <c r="G230" s="103"/>
      <c r="H230" s="103"/>
    </row>
    <row r="231" spans="3:8" ht="12.75" customHeight="1">
      <c r="C231" s="202"/>
      <c r="D231" s="202"/>
      <c r="E231" s="101"/>
      <c r="F231" s="101"/>
      <c r="G231" s="103"/>
      <c r="H231" s="103"/>
    </row>
    <row r="232" spans="3:8" ht="12.75" customHeight="1">
      <c r="C232" s="202"/>
      <c r="D232" s="202"/>
      <c r="E232" s="101"/>
      <c r="F232" s="101"/>
      <c r="G232" s="103"/>
      <c r="H232" s="103"/>
    </row>
    <row r="233" spans="3:8" ht="12.75" customHeight="1">
      <c r="C233" s="202"/>
      <c r="D233" s="202"/>
      <c r="E233" s="101"/>
      <c r="F233" s="101"/>
      <c r="G233" s="103"/>
      <c r="H233" s="103"/>
    </row>
    <row r="234" spans="3:8" ht="12.75" customHeight="1">
      <c r="C234" s="202"/>
      <c r="D234" s="202"/>
      <c r="E234" s="101"/>
      <c r="F234" s="101"/>
      <c r="G234" s="103"/>
      <c r="H234" s="103"/>
    </row>
    <row r="235" spans="3:8" ht="12.75" customHeight="1">
      <c r="C235" s="202"/>
      <c r="D235" s="202"/>
      <c r="E235" s="101"/>
      <c r="F235" s="101"/>
      <c r="G235" s="103"/>
      <c r="H235" s="103"/>
    </row>
    <row r="236" spans="3:8" ht="12.75" customHeight="1">
      <c r="C236" s="202"/>
      <c r="D236" s="202"/>
      <c r="E236" s="101"/>
      <c r="F236" s="101"/>
      <c r="G236" s="103"/>
      <c r="H236" s="103"/>
    </row>
    <row r="237" spans="3:8" ht="12.75" customHeight="1">
      <c r="C237" s="202"/>
      <c r="D237" s="202"/>
      <c r="E237" s="101"/>
      <c r="F237" s="101"/>
      <c r="G237" s="103"/>
      <c r="H237" s="103"/>
    </row>
    <row r="238" spans="3:8" ht="12.75" customHeight="1">
      <c r="C238" s="202"/>
      <c r="D238" s="202"/>
      <c r="E238" s="101"/>
      <c r="F238" s="101"/>
      <c r="G238" s="103"/>
      <c r="H238" s="103"/>
    </row>
    <row r="239" spans="3:8" ht="12.75" customHeight="1">
      <c r="C239" s="202"/>
      <c r="D239" s="202"/>
      <c r="E239" s="101"/>
      <c r="F239" s="101"/>
      <c r="G239" s="103"/>
      <c r="H239" s="103"/>
    </row>
    <row r="240" spans="3:8" ht="12.75" customHeight="1">
      <c r="C240" s="202"/>
      <c r="D240" s="202"/>
      <c r="E240" s="101"/>
      <c r="F240" s="101"/>
      <c r="G240" s="103"/>
      <c r="H240" s="103"/>
    </row>
    <row r="241" spans="3:8" ht="12.75" customHeight="1">
      <c r="C241" s="202"/>
      <c r="D241" s="202"/>
      <c r="E241" s="101"/>
      <c r="F241" s="101"/>
      <c r="G241" s="103"/>
      <c r="H241" s="103"/>
    </row>
    <row r="242" spans="3:8" ht="12.75" customHeight="1">
      <c r="C242" s="202"/>
      <c r="D242" s="202"/>
      <c r="E242" s="101"/>
      <c r="F242" s="101"/>
      <c r="G242" s="103"/>
      <c r="H242" s="103"/>
    </row>
    <row r="243" spans="3:8" ht="12.75" customHeight="1">
      <c r="C243" s="202"/>
      <c r="D243" s="202"/>
      <c r="E243" s="101"/>
      <c r="F243" s="101"/>
      <c r="G243" s="103"/>
      <c r="H243" s="103"/>
    </row>
    <row r="244" spans="3:8" ht="12.75" customHeight="1">
      <c r="C244" s="202"/>
      <c r="D244" s="202"/>
      <c r="E244" s="101"/>
      <c r="F244" s="101"/>
      <c r="G244" s="103"/>
      <c r="H244" s="103"/>
    </row>
    <row r="245" spans="3:8" ht="12.75" customHeight="1">
      <c r="C245" s="202"/>
      <c r="D245" s="202"/>
      <c r="E245" s="101"/>
      <c r="F245" s="101"/>
      <c r="G245" s="103"/>
      <c r="H245" s="103"/>
    </row>
    <row r="246" spans="3:8" ht="12.75" customHeight="1">
      <c r="C246" s="202"/>
      <c r="D246" s="202"/>
      <c r="E246" s="101"/>
      <c r="F246" s="101"/>
      <c r="G246" s="103"/>
      <c r="H246" s="103"/>
    </row>
    <row r="247" spans="3:8" ht="12.75" customHeight="1">
      <c r="C247" s="202"/>
      <c r="D247" s="202"/>
      <c r="E247" s="101"/>
      <c r="F247" s="101"/>
      <c r="G247" s="103"/>
      <c r="H247" s="103"/>
    </row>
    <row r="248" spans="3:8" ht="12.75" customHeight="1">
      <c r="C248" s="202"/>
      <c r="D248" s="202"/>
      <c r="E248" s="101"/>
      <c r="F248" s="101"/>
      <c r="G248" s="103"/>
      <c r="H248" s="103"/>
    </row>
    <row r="249" spans="3:8" ht="12.75" customHeight="1">
      <c r="C249" s="202"/>
      <c r="D249" s="202"/>
      <c r="E249" s="101"/>
      <c r="F249" s="101"/>
      <c r="G249" s="103"/>
      <c r="H249" s="103"/>
    </row>
    <row r="250" spans="3:8" ht="12.75" customHeight="1">
      <c r="C250" s="202"/>
      <c r="D250" s="202"/>
      <c r="E250" s="101"/>
      <c r="F250" s="101"/>
      <c r="G250" s="103"/>
      <c r="H250" s="103"/>
    </row>
    <row r="251" spans="3:8" s="44" customFormat="1" ht="12.75" customHeight="1"/>
    <row r="252" spans="3:8" s="44" customFormat="1" ht="12.75" customHeight="1"/>
    <row r="253" spans="3:8" s="44" customFormat="1" ht="12.75" customHeight="1"/>
    <row r="254" spans="3:8" s="44" customFormat="1" ht="12.75" customHeight="1"/>
    <row r="255" spans="3:8" s="44" customFormat="1" ht="12.75" customHeight="1"/>
    <row r="256" spans="3:8" s="44" customFormat="1" ht="12.75" customHeight="1"/>
    <row r="257" s="44" customFormat="1" ht="12.75" customHeight="1"/>
    <row r="258" s="44" customFormat="1" ht="12.75" customHeight="1"/>
    <row r="259" s="44" customFormat="1" ht="12.75" customHeight="1"/>
    <row r="260" s="44" customFormat="1" ht="12.75" customHeight="1"/>
    <row r="261" s="44" customFormat="1" ht="12.75" customHeight="1"/>
    <row r="262" s="44" customFormat="1" ht="12.75" customHeight="1"/>
    <row r="263" s="44" customFormat="1" ht="12.75" customHeight="1"/>
    <row r="264" s="44" customFormat="1" ht="12.75" customHeight="1"/>
    <row r="265" s="44" customFormat="1" ht="12.75" customHeight="1"/>
    <row r="266" s="44" customFormat="1" ht="12.75" customHeight="1"/>
    <row r="267" s="44" customFormat="1" ht="12.75" customHeight="1"/>
    <row r="268" s="44" customFormat="1" ht="12.75" customHeight="1"/>
    <row r="269" s="44" customFormat="1" ht="12.75" customHeight="1"/>
    <row r="270" s="44" customFormat="1" ht="12.75" customHeight="1"/>
    <row r="271" s="44" customFormat="1" ht="12.75" customHeight="1"/>
    <row r="272" s="44" customFormat="1" ht="12.75" customHeight="1"/>
    <row r="273" s="44" customFormat="1" ht="12.75" customHeight="1"/>
    <row r="274" s="44" customFormat="1" ht="12.75" customHeight="1"/>
    <row r="275" s="44" customFormat="1" ht="12.75" customHeight="1"/>
    <row r="276" s="44" customFormat="1" ht="12.75" customHeight="1"/>
    <row r="277" s="44" customFormat="1" ht="12.75" customHeight="1"/>
    <row r="278" s="44" customFormat="1" ht="12.75" customHeight="1"/>
    <row r="279" s="44" customFormat="1" ht="12.75" customHeight="1"/>
    <row r="280" s="44" customFormat="1" ht="12.75" customHeight="1"/>
    <row r="281" s="44" customFormat="1" ht="12.75" customHeight="1"/>
    <row r="282" s="44" customFormat="1" ht="12.75" customHeight="1"/>
    <row r="283" s="44" customFormat="1" ht="12.75" customHeight="1"/>
    <row r="284" s="44" customFormat="1" ht="12.75" customHeight="1"/>
    <row r="285" s="44" customFormat="1" ht="12.75" customHeight="1"/>
    <row r="286" s="44" customFormat="1" ht="12.75" customHeight="1"/>
    <row r="287" s="44" customFormat="1" ht="12.75" customHeight="1"/>
    <row r="288" s="44" customFormat="1" ht="12.75" customHeight="1"/>
    <row r="289" s="44" customFormat="1" ht="12.75" customHeight="1"/>
    <row r="290" s="44" customFormat="1" ht="12.75" customHeight="1"/>
    <row r="291" s="44" customFormat="1" ht="12.75" customHeight="1"/>
    <row r="292" s="44" customFormat="1" ht="12.75" customHeight="1"/>
    <row r="293" s="44" customFormat="1" ht="12.75" customHeight="1"/>
    <row r="294" s="44" customFormat="1" ht="12.75" customHeight="1"/>
  </sheetData>
  <sheetProtection algorithmName="SHA-512" hashValue="pQd8v+O/YIAv8U0u7HMHwFetmMkwjLMgr15LPL5A9ujo0g1a2/JEay3lk3lBpimH56Z+tpkPqIWmmTANs0SOBw==" saltValue="eeIGGcXf77DaZj2SnMvScQ==" spinCount="100000" sheet="1" formatRows="0" insertRows="0" selectLockedCells="1"/>
  <customSheetViews>
    <customSheetView guid="{77A8CDE7-0C4B-4AA6-8C4B-62BFC960DC0D}" scale="90" showPageBreaks="1" printArea="1">
      <selection activeCell="C5" sqref="C5:D5"/>
      <pageMargins left="0.19685039370078741" right="0.19685039370078741" top="0.39370078740157483" bottom="0.74803149606299213" header="0.31496062992125984" footer="0.31496062992125984"/>
      <printOptions gridLines="1"/>
      <pageSetup scale="68" orientation="portrait" blackAndWhite="1" r:id="rId1"/>
      <headerFooter>
        <oddFooter>&amp;C&amp;P de &amp;N</oddFooter>
      </headerFooter>
    </customSheetView>
  </customSheetViews>
  <mergeCells count="247">
    <mergeCell ref="C250:D250"/>
    <mergeCell ref="C244:D244"/>
    <mergeCell ref="C245:D245"/>
    <mergeCell ref="C246:D246"/>
    <mergeCell ref="C247:D247"/>
    <mergeCell ref="C248:D248"/>
    <mergeCell ref="C249:D249"/>
    <mergeCell ref="C238:D238"/>
    <mergeCell ref="C239:D239"/>
    <mergeCell ref="C240:D240"/>
    <mergeCell ref="C241:D241"/>
    <mergeCell ref="C242:D242"/>
    <mergeCell ref="C243:D243"/>
    <mergeCell ref="C232:D232"/>
    <mergeCell ref="C233:D233"/>
    <mergeCell ref="C234:D234"/>
    <mergeCell ref="C235:D235"/>
    <mergeCell ref="C236:D236"/>
    <mergeCell ref="C237:D237"/>
    <mergeCell ref="C226:D226"/>
    <mergeCell ref="C227:D227"/>
    <mergeCell ref="C228:D228"/>
    <mergeCell ref="C229:D229"/>
    <mergeCell ref="C230:D230"/>
    <mergeCell ref="C231:D231"/>
    <mergeCell ref="C220:D220"/>
    <mergeCell ref="C221:D221"/>
    <mergeCell ref="C222:D222"/>
    <mergeCell ref="C223:D223"/>
    <mergeCell ref="C224:D224"/>
    <mergeCell ref="C225:D225"/>
    <mergeCell ref="C214:D214"/>
    <mergeCell ref="C215:D215"/>
    <mergeCell ref="C216:D216"/>
    <mergeCell ref="C217:D217"/>
    <mergeCell ref="C218:D218"/>
    <mergeCell ref="C219:D219"/>
    <mergeCell ref="C208:D208"/>
    <mergeCell ref="C209:D209"/>
    <mergeCell ref="C210:D210"/>
    <mergeCell ref="C211:D211"/>
    <mergeCell ref="C212:D212"/>
    <mergeCell ref="C213:D213"/>
    <mergeCell ref="C202:D202"/>
    <mergeCell ref="C203:D203"/>
    <mergeCell ref="C204:D204"/>
    <mergeCell ref="C205:D205"/>
    <mergeCell ref="C206:D206"/>
    <mergeCell ref="C207:D207"/>
    <mergeCell ref="C196:D196"/>
    <mergeCell ref="C197:D197"/>
    <mergeCell ref="C198:D198"/>
    <mergeCell ref="C199:D199"/>
    <mergeCell ref="C200:D200"/>
    <mergeCell ref="C201:D201"/>
    <mergeCell ref="C190:D190"/>
    <mergeCell ref="C191:D191"/>
    <mergeCell ref="C192:D192"/>
    <mergeCell ref="C193:D193"/>
    <mergeCell ref="C194:D194"/>
    <mergeCell ref="C195:D195"/>
    <mergeCell ref="C184:D184"/>
    <mergeCell ref="C185:D185"/>
    <mergeCell ref="C186:D186"/>
    <mergeCell ref="C187:D187"/>
    <mergeCell ref="C188:D188"/>
    <mergeCell ref="C189:D189"/>
    <mergeCell ref="C178:D178"/>
    <mergeCell ref="C179:D179"/>
    <mergeCell ref="C180:D180"/>
    <mergeCell ref="C181:D181"/>
    <mergeCell ref="C182:D182"/>
    <mergeCell ref="C183:D183"/>
    <mergeCell ref="C172:D172"/>
    <mergeCell ref="C173:D173"/>
    <mergeCell ref="C174:D174"/>
    <mergeCell ref="C175:D175"/>
    <mergeCell ref="C176:D176"/>
    <mergeCell ref="C177:D177"/>
    <mergeCell ref="C166:D166"/>
    <mergeCell ref="C167:D167"/>
    <mergeCell ref="C168:D168"/>
    <mergeCell ref="C169:D169"/>
    <mergeCell ref="C170:D170"/>
    <mergeCell ref="C171:D171"/>
    <mergeCell ref="C160:D160"/>
    <mergeCell ref="C161:D161"/>
    <mergeCell ref="C162:D162"/>
    <mergeCell ref="C163:D163"/>
    <mergeCell ref="C164:D164"/>
    <mergeCell ref="C165:D165"/>
    <mergeCell ref="C154:D154"/>
    <mergeCell ref="C155:D155"/>
    <mergeCell ref="C156:D156"/>
    <mergeCell ref="C157:D157"/>
    <mergeCell ref="C158:D158"/>
    <mergeCell ref="C159:D159"/>
    <mergeCell ref="C148:D148"/>
    <mergeCell ref="C149:D149"/>
    <mergeCell ref="C150:D150"/>
    <mergeCell ref="C151:D151"/>
    <mergeCell ref="C152:D152"/>
    <mergeCell ref="C153:D153"/>
    <mergeCell ref="C142:D142"/>
    <mergeCell ref="C143:D143"/>
    <mergeCell ref="C144:D144"/>
    <mergeCell ref="C145:D145"/>
    <mergeCell ref="C146:D146"/>
    <mergeCell ref="C147:D147"/>
    <mergeCell ref="C136:D136"/>
    <mergeCell ref="C137:D137"/>
    <mergeCell ref="C138:D138"/>
    <mergeCell ref="C139:D139"/>
    <mergeCell ref="C140:D140"/>
    <mergeCell ref="C141:D141"/>
    <mergeCell ref="C130:D130"/>
    <mergeCell ref="C131:D131"/>
    <mergeCell ref="C132:D132"/>
    <mergeCell ref="C133:D133"/>
    <mergeCell ref="C134:D134"/>
    <mergeCell ref="C135:D135"/>
    <mergeCell ref="C124:D124"/>
    <mergeCell ref="C125:D125"/>
    <mergeCell ref="C126:D126"/>
    <mergeCell ref="C127:D127"/>
    <mergeCell ref="C128:D128"/>
    <mergeCell ref="C129:D129"/>
    <mergeCell ref="C118:D118"/>
    <mergeCell ref="C119:D119"/>
    <mergeCell ref="C120:D120"/>
    <mergeCell ref="C121:D121"/>
    <mergeCell ref="C122:D122"/>
    <mergeCell ref="C123:D123"/>
    <mergeCell ref="C112:D112"/>
    <mergeCell ref="C113:D113"/>
    <mergeCell ref="C114:D114"/>
    <mergeCell ref="C115:D115"/>
    <mergeCell ref="C116:D116"/>
    <mergeCell ref="C117:D117"/>
    <mergeCell ref="C106:D106"/>
    <mergeCell ref="C107:D107"/>
    <mergeCell ref="C108:D108"/>
    <mergeCell ref="C109:D109"/>
    <mergeCell ref="C110:D110"/>
    <mergeCell ref="C111:D111"/>
    <mergeCell ref="C100:D100"/>
    <mergeCell ref="C101:D101"/>
    <mergeCell ref="C102:D102"/>
    <mergeCell ref="C103:D103"/>
    <mergeCell ref="C104:D104"/>
    <mergeCell ref="C105:D105"/>
    <mergeCell ref="C94:D94"/>
    <mergeCell ref="C95:D95"/>
    <mergeCell ref="C96:D96"/>
    <mergeCell ref="C97:D97"/>
    <mergeCell ref="C98:D98"/>
    <mergeCell ref="C99:D99"/>
    <mergeCell ref="C88:D88"/>
    <mergeCell ref="C89:D89"/>
    <mergeCell ref="C90:D90"/>
    <mergeCell ref="C91:D91"/>
    <mergeCell ref="C92:D92"/>
    <mergeCell ref="C93:D93"/>
    <mergeCell ref="C82:D82"/>
    <mergeCell ref="C83:D83"/>
    <mergeCell ref="C84:D84"/>
    <mergeCell ref="C85:D85"/>
    <mergeCell ref="C86:D86"/>
    <mergeCell ref="C87:D87"/>
    <mergeCell ref="C76:D76"/>
    <mergeCell ref="C77:D77"/>
    <mergeCell ref="C78:D78"/>
    <mergeCell ref="C79:D79"/>
    <mergeCell ref="C80:D80"/>
    <mergeCell ref="C81:D81"/>
    <mergeCell ref="C70:D70"/>
    <mergeCell ref="C71:D71"/>
    <mergeCell ref="C72:D72"/>
    <mergeCell ref="C73:D73"/>
    <mergeCell ref="C74:D74"/>
    <mergeCell ref="C75:D75"/>
    <mergeCell ref="C64:D64"/>
    <mergeCell ref="C65:D65"/>
    <mergeCell ref="C66:D66"/>
    <mergeCell ref="C67:D67"/>
    <mergeCell ref="C68:D68"/>
    <mergeCell ref="C69:D69"/>
    <mergeCell ref="C58:D58"/>
    <mergeCell ref="C59:D59"/>
    <mergeCell ref="C60:D60"/>
    <mergeCell ref="C61:D61"/>
    <mergeCell ref="C62:D62"/>
    <mergeCell ref="C63:D63"/>
    <mergeCell ref="C52:D52"/>
    <mergeCell ref="C53:D53"/>
    <mergeCell ref="C54:D54"/>
    <mergeCell ref="C55:D55"/>
    <mergeCell ref="C56:D56"/>
    <mergeCell ref="C57:D57"/>
    <mergeCell ref="C46:D46"/>
    <mergeCell ref="C47:D47"/>
    <mergeCell ref="C48:D48"/>
    <mergeCell ref="C49:D49"/>
    <mergeCell ref="C50:D50"/>
    <mergeCell ref="C51:D51"/>
    <mergeCell ref="C40:D40"/>
    <mergeCell ref="C41:D41"/>
    <mergeCell ref="C42:D42"/>
    <mergeCell ref="C43:D43"/>
    <mergeCell ref="C44:D44"/>
    <mergeCell ref="C45:D45"/>
    <mergeCell ref="C34:D34"/>
    <mergeCell ref="C35:D35"/>
    <mergeCell ref="C36:D36"/>
    <mergeCell ref="C37:D37"/>
    <mergeCell ref="C38:D38"/>
    <mergeCell ref="C39:D39"/>
    <mergeCell ref="C28:D28"/>
    <mergeCell ref="C29:D29"/>
    <mergeCell ref="C30:D30"/>
    <mergeCell ref="C31:D31"/>
    <mergeCell ref="C32:D32"/>
    <mergeCell ref="C33:D33"/>
    <mergeCell ref="C22:D22"/>
    <mergeCell ref="C23:D23"/>
    <mergeCell ref="C24:D24"/>
    <mergeCell ref="C25:D25"/>
    <mergeCell ref="C26:D26"/>
    <mergeCell ref="C27:D27"/>
    <mergeCell ref="C19:D19"/>
    <mergeCell ref="C20:D20"/>
    <mergeCell ref="C21:D21"/>
    <mergeCell ref="C10:D10"/>
    <mergeCell ref="C11:D11"/>
    <mergeCell ref="C12:D12"/>
    <mergeCell ref="C13:D13"/>
    <mergeCell ref="C14:D14"/>
    <mergeCell ref="C15:D15"/>
    <mergeCell ref="C4:D4"/>
    <mergeCell ref="C5:D5"/>
    <mergeCell ref="C6:D6"/>
    <mergeCell ref="C7:D7"/>
    <mergeCell ref="C8:D8"/>
    <mergeCell ref="C9:D9"/>
    <mergeCell ref="C16:D16"/>
    <mergeCell ref="C17:D17"/>
    <mergeCell ref="C18:D18"/>
  </mergeCells>
  <dataValidations count="1">
    <dataValidation type="list" allowBlank="1" showInputMessage="1" showErrorMessage="1" sqref="H5:H250">
      <formula1>"Si,No"</formula1>
    </dataValidation>
  </dataValidations>
  <printOptions gridLines="1"/>
  <pageMargins left="0.19685039370078741" right="0.19685039370078741" top="0.39370078740157483" bottom="0.74803149606299213" header="0.31496062992125984" footer="0.31496062992125984"/>
  <pageSetup scale="68" orientation="portrait" blackAndWhite="1" r:id="rId2"/>
  <headerFooter>
    <oddFooter>&amp;C&amp;P de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U253"/>
  <sheetViews>
    <sheetView tabSelected="1" zoomScale="85" zoomScaleNormal="85" workbookViewId="0">
      <selection activeCell="D8" sqref="D8"/>
    </sheetView>
  </sheetViews>
  <sheetFormatPr defaultColWidth="11.42578125" defaultRowHeight="13.5"/>
  <cols>
    <col min="1" max="1" width="2.7109375" style="47" customWidth="1"/>
    <col min="2" max="2" width="4.28515625" style="47" customWidth="1"/>
    <col min="3" max="3" width="9.85546875" style="47" customWidth="1"/>
    <col min="4" max="4" width="54.7109375" style="47" customWidth="1"/>
    <col min="5" max="6" width="21.42578125" style="47" customWidth="1"/>
    <col min="7" max="7" width="18.85546875" style="47" customWidth="1"/>
    <col min="8" max="8" width="26.42578125" style="47" customWidth="1"/>
    <col min="9" max="9" width="51.5703125" style="47" customWidth="1"/>
    <col min="10" max="10" width="25.85546875" style="47" customWidth="1"/>
    <col min="11" max="11" width="13.42578125" style="47" bestFit="1" customWidth="1"/>
    <col min="12" max="12" width="10.42578125" style="47" bestFit="1" customWidth="1"/>
    <col min="13" max="13" width="41" style="47" customWidth="1"/>
    <col min="14" max="14" width="26.5703125" style="47" customWidth="1"/>
    <col min="15" max="15" width="47.7109375" style="47" customWidth="1"/>
    <col min="16" max="16" width="22.7109375" style="47" customWidth="1"/>
    <col min="17" max="17" width="29.28515625" style="47" customWidth="1"/>
    <col min="18" max="18" width="15.140625" style="47" customWidth="1"/>
    <col min="19" max="19" width="16.5703125" style="47" customWidth="1"/>
    <col min="20" max="20" width="15.28515625" style="47" customWidth="1"/>
    <col min="21" max="21" width="23.85546875" style="47" customWidth="1"/>
    <col min="22" max="24" width="11.42578125" style="47" customWidth="1"/>
    <col min="25" max="16384" width="11.42578125" style="47"/>
  </cols>
  <sheetData>
    <row r="1" spans="1:21" s="55" customFormat="1">
      <c r="A1" s="52"/>
      <c r="B1" s="52"/>
      <c r="C1" s="52"/>
      <c r="D1" s="53" t="s">
        <v>61</v>
      </c>
      <c r="E1" s="52"/>
      <c r="F1" s="52"/>
      <c r="G1" s="52"/>
      <c r="H1" s="52"/>
      <c r="I1" s="52"/>
      <c r="J1" s="52"/>
      <c r="K1" s="52"/>
      <c r="L1" s="52"/>
      <c r="M1" s="54"/>
      <c r="N1" s="54"/>
    </row>
    <row r="2" spans="1:21" s="55" customFormat="1" ht="16.5">
      <c r="A2" s="54"/>
      <c r="B2" s="54"/>
      <c r="C2" s="56" t="s">
        <v>150</v>
      </c>
      <c r="D2" s="56"/>
      <c r="E2" s="57"/>
      <c r="F2" s="58"/>
      <c r="G2" s="58"/>
      <c r="H2" s="58"/>
      <c r="I2" s="58"/>
      <c r="J2" s="58"/>
      <c r="K2" s="58"/>
      <c r="L2" s="58"/>
      <c r="M2" s="54"/>
      <c r="N2" s="54"/>
    </row>
    <row r="3" spans="1:21" ht="24.75" customHeight="1">
      <c r="A3" s="44"/>
      <c r="B3" s="44"/>
      <c r="C3" s="146" t="s">
        <v>17</v>
      </c>
      <c r="D3" s="146" t="s">
        <v>18</v>
      </c>
      <c r="E3" s="146" t="s">
        <v>19</v>
      </c>
      <c r="F3" s="146" t="s">
        <v>20</v>
      </c>
      <c r="G3" s="146" t="s">
        <v>223</v>
      </c>
      <c r="H3" s="146" t="s">
        <v>60</v>
      </c>
      <c r="I3" s="146" t="s">
        <v>54</v>
      </c>
      <c r="J3" s="146" t="s">
        <v>178</v>
      </c>
      <c r="K3" s="146" t="s">
        <v>224</v>
      </c>
      <c r="L3" s="146" t="s">
        <v>22</v>
      </c>
      <c r="M3" s="77" t="s">
        <v>22</v>
      </c>
      <c r="N3" s="44"/>
      <c r="Q3" s="47" t="s">
        <v>63</v>
      </c>
      <c r="R3" s="47" t="s">
        <v>208</v>
      </c>
    </row>
    <row r="4" spans="1:21" ht="14.25" customHeight="1">
      <c r="A4" s="44"/>
      <c r="B4" s="44">
        <v>1</v>
      </c>
      <c r="C4" s="59" t="s">
        <v>55</v>
      </c>
      <c r="D4" s="78"/>
      <c r="E4" s="60" t="str">
        <f>IF(D4="Pendiente","Captura Actividad Macro VTI pestaña Plan",IFERROR(IF(D4="No Requiere VT","",VLOOKUP(C208,BVT,3,FALSE)),"Captura Actividad Macro VTI pestaña PIan"))</f>
        <v>Captura Actividad Macro VTI pestaña PIan</v>
      </c>
      <c r="F4" s="60" t="str">
        <f>IFERROR(IF(D4="No Requiere VT","",VLOOKUP(C209,BVT,4,FALSE)),"Captura Actividad Macro VTF Pestaña Plan")</f>
        <v>Captura Actividad Macro VTF Pestaña Plan</v>
      </c>
      <c r="G4" s="61" t="str">
        <f>IFERROR(F4-E4,"")</f>
        <v/>
      </c>
      <c r="H4" s="79"/>
      <c r="I4" s="79"/>
      <c r="J4" s="79"/>
      <c r="K4" s="80"/>
      <c r="L4" s="81"/>
      <c r="M4" s="82" t="s">
        <v>23</v>
      </c>
      <c r="N4" s="44"/>
      <c r="O4" s="62"/>
      <c r="P4" s="62"/>
      <c r="Q4" s="47" t="e">
        <f>IF(#REF!="","",#REF!)</f>
        <v>#REF!</v>
      </c>
      <c r="R4" s="47">
        <f>H6</f>
        <v>0</v>
      </c>
      <c r="S4" s="47" t="str">
        <f>CONCATENATE(R4,$R$3)</f>
        <v>0;</v>
      </c>
      <c r="T4" s="47" t="str">
        <f t="shared" ref="T4:T41" si="0">IFERROR(VLOOKUP(Q4,TPARTICIPA,2,0),"")</f>
        <v/>
      </c>
      <c r="U4" s="47" t="str">
        <f>CONCATENATE(T4,T5,T6,T7,T9,T10,T11,T12,T13,T14,T15,T16,T17,T18,T20,T21,T25,T26,T27,T28,T29,T30,T31,T32,T34,T35,T36,T37,T38,T39,T40,T41,T42,T43,T44,T45,T46,T47,T48,T49,T50,T51,T52,T53,T54,T55,T56,T57,T58,T59)</f>
        <v/>
      </c>
    </row>
    <row r="5" spans="1:21">
      <c r="A5" s="44"/>
      <c r="B5" s="44">
        <v>2</v>
      </c>
      <c r="C5" s="59" t="s">
        <v>56</v>
      </c>
      <c r="D5" s="63" t="s">
        <v>62</v>
      </c>
      <c r="E5" s="64">
        <f>IF(E6="","Captura F/H Primer Actividad pestaña Plan",E6)</f>
        <v>44025.708333333336</v>
      </c>
      <c r="F5" s="60" t="str">
        <f>IFERROR(IF(VLOOKUP(C210,BPlan,4,FALSE)="","Captura la F/H FIN de Actividad actividad FIN del Plan",VLOOKUP(C210,BPlan,4,FALSE)),"Captura Actividad Macro FIN en pestaña Plan")</f>
        <v>Captura Actividad Macro FIN en pestaña Plan</v>
      </c>
      <c r="G5" s="61" t="e">
        <f>F5-E5</f>
        <v>#VALUE!</v>
      </c>
      <c r="H5" s="79"/>
      <c r="I5" s="79"/>
      <c r="J5" s="79"/>
      <c r="K5" s="67"/>
      <c r="L5" s="81"/>
      <c r="M5" s="83" t="s">
        <v>261</v>
      </c>
      <c r="N5" s="44"/>
      <c r="O5" s="62"/>
      <c r="P5" s="62"/>
      <c r="Q5" s="47" t="e">
        <f>IF(#REF!="","",#REF!)</f>
        <v>#REF!</v>
      </c>
      <c r="R5" s="47">
        <f t="shared" ref="R5:R74" si="1">H7</f>
        <v>0</v>
      </c>
      <c r="S5" s="47" t="str">
        <f t="shared" ref="S5:S74" si="2">CONCATENATE(R5,$R$3)</f>
        <v>0;</v>
      </c>
      <c r="T5" s="47" t="str">
        <f t="shared" si="0"/>
        <v/>
      </c>
    </row>
    <row r="6" spans="1:21" ht="76.5">
      <c r="A6" s="54"/>
      <c r="B6" s="54">
        <v>3</v>
      </c>
      <c r="C6" s="65" t="s">
        <v>318</v>
      </c>
      <c r="D6" s="176" t="s">
        <v>324</v>
      </c>
      <c r="E6" s="66">
        <v>44025.708333333336</v>
      </c>
      <c r="F6" s="66">
        <v>44025.736111111109</v>
      </c>
      <c r="G6" s="174">
        <f>F6-E6</f>
        <v>2.7777777773735579E-2</v>
      </c>
      <c r="H6" s="84"/>
      <c r="I6" s="79"/>
      <c r="J6" s="79"/>
      <c r="K6" s="67"/>
      <c r="L6" s="81"/>
      <c r="M6" s="85" t="s">
        <v>262</v>
      </c>
      <c r="N6" s="44"/>
      <c r="O6" s="62"/>
      <c r="P6" s="62"/>
      <c r="Q6" s="47" t="e">
        <f>IF(#REF!="","",#REF!)</f>
        <v>#REF!</v>
      </c>
      <c r="R6" s="47">
        <f>H9</f>
        <v>0</v>
      </c>
      <c r="S6" s="47" t="str">
        <f t="shared" si="2"/>
        <v>0;</v>
      </c>
      <c r="T6" s="47" t="str">
        <f t="shared" si="0"/>
        <v/>
      </c>
    </row>
    <row r="7" spans="1:21" ht="63.75">
      <c r="A7" s="54"/>
      <c r="B7" s="54">
        <v>4</v>
      </c>
      <c r="C7" s="65" t="s">
        <v>318</v>
      </c>
      <c r="D7" s="176" t="s">
        <v>326</v>
      </c>
      <c r="E7" s="66">
        <v>44025.736111111109</v>
      </c>
      <c r="F7" s="66" t="s">
        <v>325</v>
      </c>
      <c r="G7" s="174" t="e">
        <f t="shared" ref="G7:G76" si="3">F7-E7</f>
        <v>#VALUE!</v>
      </c>
      <c r="H7" s="84"/>
      <c r="I7" s="79"/>
      <c r="J7" s="79"/>
      <c r="K7" s="67"/>
      <c r="L7" s="81"/>
      <c r="M7" s="86"/>
      <c r="N7" s="44"/>
      <c r="O7" s="62"/>
      <c r="P7" s="62"/>
      <c r="Q7" s="47" t="e">
        <f>IF(#REF!="","",#REF!)</f>
        <v>#REF!</v>
      </c>
      <c r="R7" s="47">
        <f>H10</f>
        <v>0</v>
      </c>
      <c r="S7" s="47" t="str">
        <f t="shared" si="2"/>
        <v>0;</v>
      </c>
      <c r="T7" s="47" t="str">
        <f t="shared" si="0"/>
        <v/>
      </c>
    </row>
    <row r="8" spans="1:21">
      <c r="A8" s="54"/>
      <c r="B8" s="54">
        <v>5</v>
      </c>
      <c r="C8" s="65"/>
      <c r="D8" s="176"/>
      <c r="E8" s="66">
        <v>44025.729166666664</v>
      </c>
      <c r="F8" s="66">
        <v>44025.739583333336</v>
      </c>
      <c r="G8" s="174">
        <v>0</v>
      </c>
      <c r="H8" s="84"/>
      <c r="I8" s="79"/>
      <c r="J8" s="79"/>
      <c r="K8" s="67"/>
      <c r="L8" s="81"/>
      <c r="M8" s="86"/>
      <c r="N8" s="44"/>
      <c r="O8" s="62"/>
      <c r="P8" s="62"/>
    </row>
    <row r="9" spans="1:21">
      <c r="A9" s="54"/>
      <c r="B9" s="54">
        <v>6</v>
      </c>
      <c r="C9" s="65"/>
      <c r="D9" s="66"/>
      <c r="E9" s="66"/>
      <c r="F9" s="66"/>
      <c r="G9" s="174">
        <f t="shared" si="3"/>
        <v>0</v>
      </c>
      <c r="H9" s="84"/>
      <c r="I9" s="79"/>
      <c r="J9" s="79"/>
      <c r="K9" s="67"/>
      <c r="L9" s="81"/>
      <c r="M9" s="87" t="s">
        <v>17</v>
      </c>
      <c r="N9" s="44"/>
      <c r="O9" s="62"/>
      <c r="P9" s="62"/>
      <c r="Q9" s="47" t="e">
        <f>IF(#REF!="","",#REF!)</f>
        <v>#REF!</v>
      </c>
      <c r="R9" s="47">
        <f t="shared" si="1"/>
        <v>0</v>
      </c>
      <c r="S9" s="47" t="str">
        <f t="shared" si="2"/>
        <v>0;</v>
      </c>
      <c r="T9" s="47" t="str">
        <f t="shared" si="0"/>
        <v/>
      </c>
    </row>
    <row r="10" spans="1:21">
      <c r="A10" s="54"/>
      <c r="B10" s="54">
        <v>7</v>
      </c>
      <c r="C10" s="65"/>
      <c r="D10" s="66"/>
      <c r="E10" s="66"/>
      <c r="F10" s="66"/>
      <c r="G10" s="174">
        <f t="shared" si="3"/>
        <v>0</v>
      </c>
      <c r="H10" s="84"/>
      <c r="I10" s="79"/>
      <c r="J10" s="79"/>
      <c r="K10" s="67"/>
      <c r="L10" s="81"/>
      <c r="M10" s="86" t="s">
        <v>257</v>
      </c>
      <c r="N10" s="44"/>
      <c r="O10" s="62"/>
      <c r="P10" s="62"/>
      <c r="Q10" s="47" t="e">
        <f>IF(#REF!="","",#REF!)</f>
        <v>#REF!</v>
      </c>
      <c r="R10" s="47">
        <f t="shared" si="1"/>
        <v>0</v>
      </c>
      <c r="S10" s="47" t="str">
        <f t="shared" si="2"/>
        <v>0;</v>
      </c>
      <c r="T10" s="47" t="str">
        <f t="shared" si="0"/>
        <v/>
      </c>
    </row>
    <row r="11" spans="1:21">
      <c r="A11" s="54"/>
      <c r="B11" s="54">
        <v>8</v>
      </c>
      <c r="C11" s="65"/>
      <c r="D11" s="66"/>
      <c r="E11" s="66"/>
      <c r="F11" s="66"/>
      <c r="G11" s="174">
        <f t="shared" si="3"/>
        <v>0</v>
      </c>
      <c r="H11" s="84"/>
      <c r="I11" s="79"/>
      <c r="J11" s="79"/>
      <c r="K11" s="67"/>
      <c r="L11" s="81"/>
      <c r="M11" s="86" t="s">
        <v>258</v>
      </c>
      <c r="N11" s="44"/>
      <c r="O11" s="62"/>
      <c r="P11" s="62"/>
      <c r="Q11" s="47" t="e">
        <f>IF(#REF!="","",#REF!)</f>
        <v>#REF!</v>
      </c>
      <c r="R11" s="47">
        <f t="shared" si="1"/>
        <v>0</v>
      </c>
      <c r="S11" s="47" t="str">
        <f t="shared" si="2"/>
        <v>0;</v>
      </c>
      <c r="T11" s="47" t="str">
        <f t="shared" si="0"/>
        <v/>
      </c>
    </row>
    <row r="12" spans="1:21">
      <c r="A12" s="54"/>
      <c r="B12" s="54">
        <v>9</v>
      </c>
      <c r="C12" s="65"/>
      <c r="D12" s="66"/>
      <c r="E12" s="66"/>
      <c r="F12" s="66"/>
      <c r="G12" s="174">
        <f t="shared" si="3"/>
        <v>0</v>
      </c>
      <c r="H12" s="84"/>
      <c r="I12" s="79"/>
      <c r="J12" s="79"/>
      <c r="K12" s="67"/>
      <c r="L12" s="81"/>
      <c r="M12" s="86" t="s">
        <v>259</v>
      </c>
      <c r="N12" s="44"/>
      <c r="O12" s="62"/>
      <c r="P12" s="62"/>
      <c r="Q12" s="47" t="e">
        <f>IF(#REF!="","",#REF!)</f>
        <v>#REF!</v>
      </c>
      <c r="R12" s="47">
        <f t="shared" si="1"/>
        <v>0</v>
      </c>
      <c r="S12" s="47" t="str">
        <f t="shared" si="2"/>
        <v>0;</v>
      </c>
      <c r="T12" s="47" t="str">
        <f t="shared" si="0"/>
        <v/>
      </c>
    </row>
    <row r="13" spans="1:21">
      <c r="A13" s="54"/>
      <c r="B13" s="54">
        <v>10</v>
      </c>
      <c r="C13" s="65"/>
      <c r="D13" s="66"/>
      <c r="E13" s="66"/>
      <c r="F13" s="66"/>
      <c r="G13" s="174">
        <f t="shared" si="3"/>
        <v>0</v>
      </c>
      <c r="H13" s="84"/>
      <c r="I13" s="79"/>
      <c r="J13" s="79"/>
      <c r="K13" s="67"/>
      <c r="L13" s="81"/>
      <c r="M13" s="86" t="s">
        <v>260</v>
      </c>
      <c r="N13" s="44"/>
      <c r="O13" s="62"/>
      <c r="P13" s="62"/>
      <c r="Q13" s="47" t="e">
        <f>IF(#REF!="","",#REF!)</f>
        <v>#REF!</v>
      </c>
      <c r="R13" s="47">
        <f t="shared" si="1"/>
        <v>0</v>
      </c>
      <c r="S13" s="47" t="str">
        <f t="shared" si="2"/>
        <v>0;</v>
      </c>
      <c r="T13" s="47" t="str">
        <f t="shared" si="0"/>
        <v/>
      </c>
    </row>
    <row r="14" spans="1:21">
      <c r="A14" s="54"/>
      <c r="B14" s="54">
        <v>11</v>
      </c>
      <c r="C14" s="65"/>
      <c r="D14" s="88"/>
      <c r="E14" s="66"/>
      <c r="F14" s="66"/>
      <c r="G14" s="174">
        <f t="shared" si="3"/>
        <v>0</v>
      </c>
      <c r="H14" s="84"/>
      <c r="I14" s="79"/>
      <c r="J14" s="79"/>
      <c r="K14" s="67"/>
      <c r="L14" s="81"/>
      <c r="M14" s="86" t="s">
        <v>225</v>
      </c>
      <c r="N14" s="44"/>
      <c r="O14" s="62"/>
      <c r="P14" s="62"/>
      <c r="Q14" s="47" t="e">
        <f>IF(#REF!="","",#REF!)</f>
        <v>#REF!</v>
      </c>
      <c r="R14" s="47">
        <f t="shared" si="1"/>
        <v>0</v>
      </c>
      <c r="S14" s="47" t="str">
        <f t="shared" si="2"/>
        <v>0;</v>
      </c>
      <c r="T14" s="47" t="str">
        <f t="shared" si="0"/>
        <v/>
      </c>
    </row>
    <row r="15" spans="1:21">
      <c r="A15" s="54"/>
      <c r="B15" s="54">
        <v>12</v>
      </c>
      <c r="C15" s="65"/>
      <c r="D15" s="89"/>
      <c r="E15" s="66"/>
      <c r="F15" s="66"/>
      <c r="G15" s="174">
        <f t="shared" si="3"/>
        <v>0</v>
      </c>
      <c r="H15" s="84"/>
      <c r="I15" s="79"/>
      <c r="J15" s="79"/>
      <c r="K15" s="67"/>
      <c r="L15" s="81"/>
      <c r="M15" s="86" t="s">
        <v>226</v>
      </c>
      <c r="N15" s="44"/>
      <c r="O15" s="62"/>
      <c r="P15" s="62"/>
      <c r="Q15" s="47" t="e">
        <f>IF(#REF!="","",#REF!)</f>
        <v>#REF!</v>
      </c>
      <c r="R15" s="47">
        <f t="shared" si="1"/>
        <v>0</v>
      </c>
      <c r="S15" s="47" t="str">
        <f t="shared" si="2"/>
        <v>0;</v>
      </c>
      <c r="T15" s="47" t="str">
        <f t="shared" si="0"/>
        <v/>
      </c>
    </row>
    <row r="16" spans="1:21">
      <c r="A16" s="54"/>
      <c r="B16" s="54">
        <v>13</v>
      </c>
      <c r="C16" s="65"/>
      <c r="D16" s="90"/>
      <c r="E16" s="66"/>
      <c r="F16" s="66"/>
      <c r="G16" s="174">
        <f t="shared" si="3"/>
        <v>0</v>
      </c>
      <c r="H16" s="84"/>
      <c r="I16" s="79"/>
      <c r="J16" s="79"/>
      <c r="K16" s="67"/>
      <c r="L16" s="81"/>
      <c r="M16" s="86" t="s">
        <v>227</v>
      </c>
      <c r="N16" s="44"/>
      <c r="O16" s="62"/>
      <c r="P16" s="62"/>
      <c r="Q16" s="47" t="e">
        <f>IF(#REF!="","",#REF!)</f>
        <v>#REF!</v>
      </c>
      <c r="R16" s="47">
        <f t="shared" si="1"/>
        <v>0</v>
      </c>
      <c r="S16" s="47" t="str">
        <f t="shared" si="2"/>
        <v>0;</v>
      </c>
      <c r="T16" s="47" t="str">
        <f t="shared" si="0"/>
        <v/>
      </c>
    </row>
    <row r="17" spans="1:20">
      <c r="A17" s="54"/>
      <c r="B17" s="54">
        <v>14</v>
      </c>
      <c r="C17" s="65"/>
      <c r="D17" s="88"/>
      <c r="E17" s="66"/>
      <c r="F17" s="66"/>
      <c r="G17" s="174">
        <v>0</v>
      </c>
      <c r="H17" s="84"/>
      <c r="I17" s="79"/>
      <c r="J17" s="79"/>
      <c r="K17" s="67"/>
      <c r="L17" s="81"/>
      <c r="M17" s="86" t="s">
        <v>228</v>
      </c>
      <c r="N17" s="44"/>
      <c r="O17" s="62"/>
      <c r="P17" s="62"/>
      <c r="Q17" s="47" t="e">
        <f>IF(#REF!="","",#REF!)</f>
        <v>#REF!</v>
      </c>
      <c r="R17" s="47">
        <f>H20</f>
        <v>0</v>
      </c>
      <c r="S17" s="47" t="str">
        <f t="shared" si="2"/>
        <v>0;</v>
      </c>
      <c r="T17" s="47" t="str">
        <f t="shared" si="0"/>
        <v/>
      </c>
    </row>
    <row r="18" spans="1:20">
      <c r="A18" s="54"/>
      <c r="B18" s="54">
        <v>15</v>
      </c>
      <c r="C18" s="65"/>
      <c r="D18" s="89"/>
      <c r="E18" s="66"/>
      <c r="F18" s="66"/>
      <c r="G18" s="174">
        <v>0</v>
      </c>
      <c r="H18" s="84"/>
      <c r="I18" s="79"/>
      <c r="J18" s="79"/>
      <c r="K18" s="67"/>
      <c r="L18" s="81"/>
      <c r="M18" s="91"/>
      <c r="N18" s="44"/>
      <c r="O18" s="62"/>
      <c r="P18" s="62"/>
      <c r="Q18" s="47" t="e">
        <f>IF(#REF!="","",#REF!)</f>
        <v>#REF!</v>
      </c>
      <c r="R18" s="47">
        <f>H21</f>
        <v>0</v>
      </c>
      <c r="S18" s="47" t="str">
        <f t="shared" si="2"/>
        <v>0;</v>
      </c>
      <c r="T18" s="47" t="str">
        <f t="shared" si="0"/>
        <v/>
      </c>
    </row>
    <row r="19" spans="1:20">
      <c r="A19" s="54"/>
      <c r="B19" s="54">
        <v>16</v>
      </c>
      <c r="C19" s="65"/>
      <c r="D19" s="89"/>
      <c r="E19" s="66"/>
      <c r="F19" s="66"/>
      <c r="G19" s="174">
        <v>0</v>
      </c>
      <c r="H19" s="84"/>
      <c r="I19" s="79"/>
      <c r="J19" s="79"/>
      <c r="K19" s="67"/>
      <c r="L19" s="81"/>
      <c r="M19" s="91"/>
      <c r="N19" s="44"/>
      <c r="O19" s="62"/>
      <c r="P19" s="62"/>
    </row>
    <row r="20" spans="1:20">
      <c r="A20" s="54"/>
      <c r="B20" s="54">
        <v>17</v>
      </c>
      <c r="C20" s="65"/>
      <c r="D20" s="90"/>
      <c r="E20" s="66"/>
      <c r="F20" s="66"/>
      <c r="G20" s="174">
        <v>0</v>
      </c>
      <c r="H20" s="84"/>
      <c r="I20" s="79"/>
      <c r="J20" s="79"/>
      <c r="K20" s="67"/>
      <c r="L20" s="81"/>
      <c r="M20" s="91"/>
      <c r="N20" s="44"/>
      <c r="O20" s="62"/>
      <c r="P20" s="62"/>
      <c r="Q20" s="47" t="e">
        <f>IF(#REF!="","",#REF!)</f>
        <v>#REF!</v>
      </c>
      <c r="R20" s="47">
        <f>H25</f>
        <v>0</v>
      </c>
      <c r="S20" s="47" t="str">
        <f t="shared" si="2"/>
        <v>0;</v>
      </c>
      <c r="T20" s="47" t="str">
        <f t="shared" si="0"/>
        <v/>
      </c>
    </row>
    <row r="21" spans="1:20">
      <c r="A21" s="54"/>
      <c r="B21" s="54">
        <v>18</v>
      </c>
      <c r="C21" s="65"/>
      <c r="D21" s="88"/>
      <c r="E21" s="66"/>
      <c r="F21" s="66"/>
      <c r="G21" s="174">
        <v>0</v>
      </c>
      <c r="H21" s="84"/>
      <c r="I21" s="79"/>
      <c r="J21" s="79"/>
      <c r="K21" s="67"/>
      <c r="L21" s="81"/>
      <c r="M21" s="91"/>
      <c r="N21" s="44"/>
      <c r="O21" s="62"/>
      <c r="P21" s="62"/>
      <c r="Q21" s="47" t="e">
        <f>IF(#REF!="","",#REF!)</f>
        <v>#REF!</v>
      </c>
      <c r="R21" s="47">
        <f>H26</f>
        <v>0</v>
      </c>
      <c r="S21" s="47" t="str">
        <f t="shared" si="2"/>
        <v>0;</v>
      </c>
      <c r="T21" s="47" t="str">
        <f t="shared" si="0"/>
        <v/>
      </c>
    </row>
    <row r="22" spans="1:20">
      <c r="A22" s="54"/>
      <c r="B22" s="54">
        <v>19</v>
      </c>
      <c r="C22" s="65"/>
      <c r="D22" s="88"/>
      <c r="E22" s="66"/>
      <c r="F22" s="66"/>
      <c r="G22" s="174">
        <v>0</v>
      </c>
      <c r="H22" s="84"/>
      <c r="I22" s="79"/>
      <c r="J22" s="79"/>
      <c r="K22" s="67"/>
      <c r="L22" s="81"/>
      <c r="M22" s="91"/>
      <c r="N22" s="44"/>
      <c r="O22" s="62"/>
      <c r="P22" s="62"/>
    </row>
    <row r="23" spans="1:20">
      <c r="A23" s="54"/>
      <c r="B23" s="54">
        <v>20</v>
      </c>
      <c r="C23" s="65"/>
      <c r="D23" s="88"/>
      <c r="E23" s="66"/>
      <c r="F23" s="66"/>
      <c r="G23" s="174">
        <v>0</v>
      </c>
      <c r="H23" s="84"/>
      <c r="I23" s="79"/>
      <c r="J23" s="79"/>
      <c r="K23" s="67"/>
      <c r="L23" s="81"/>
      <c r="M23" s="91"/>
      <c r="N23" s="44"/>
      <c r="O23" s="62"/>
      <c r="P23" s="62"/>
    </row>
    <row r="24" spans="1:20">
      <c r="A24" s="54"/>
      <c r="B24" s="54">
        <v>21</v>
      </c>
      <c r="C24" s="65"/>
      <c r="D24" s="88"/>
      <c r="E24" s="66"/>
      <c r="F24" s="66"/>
      <c r="G24" s="174">
        <v>0</v>
      </c>
      <c r="H24" s="84"/>
      <c r="I24" s="79"/>
      <c r="J24" s="79"/>
      <c r="K24" s="67"/>
      <c r="L24" s="81"/>
      <c r="M24" s="91"/>
      <c r="N24" s="44"/>
      <c r="O24" s="62"/>
      <c r="P24" s="62"/>
    </row>
    <row r="25" spans="1:20">
      <c r="A25" s="54"/>
      <c r="B25" s="54">
        <v>22</v>
      </c>
      <c r="C25" s="65"/>
      <c r="D25" s="89"/>
      <c r="E25" s="66"/>
      <c r="F25" s="66"/>
      <c r="G25" s="174">
        <f t="shared" si="3"/>
        <v>0</v>
      </c>
      <c r="H25" s="84"/>
      <c r="I25" s="79"/>
      <c r="J25" s="79"/>
      <c r="K25" s="67"/>
      <c r="L25" s="81"/>
      <c r="M25" s="91"/>
      <c r="N25" s="44"/>
      <c r="O25" s="62"/>
      <c r="P25" s="62"/>
      <c r="Q25" s="47" t="e">
        <f>IF(#REF!="","",#REF!)</f>
        <v>#REF!</v>
      </c>
      <c r="R25" s="47">
        <f t="shared" si="1"/>
        <v>0</v>
      </c>
      <c r="S25" s="47" t="str">
        <f t="shared" si="2"/>
        <v>0;</v>
      </c>
      <c r="T25" s="47" t="str">
        <f t="shared" si="0"/>
        <v/>
      </c>
    </row>
    <row r="26" spans="1:20">
      <c r="A26" s="54"/>
      <c r="B26" s="54">
        <v>23</v>
      </c>
      <c r="C26" s="65"/>
      <c r="D26" s="90"/>
      <c r="E26" s="66"/>
      <c r="F26" s="66"/>
      <c r="G26" s="174">
        <f t="shared" si="3"/>
        <v>0</v>
      </c>
      <c r="H26" s="84"/>
      <c r="I26" s="79"/>
      <c r="J26" s="79"/>
      <c r="K26" s="67"/>
      <c r="L26" s="81"/>
      <c r="M26" s="91"/>
      <c r="N26" s="44"/>
      <c r="O26" s="62"/>
      <c r="P26" s="62"/>
      <c r="Q26" s="47" t="e">
        <f>IF(#REF!="","",#REF!)</f>
        <v>#REF!</v>
      </c>
      <c r="R26" s="47">
        <f t="shared" si="1"/>
        <v>0</v>
      </c>
      <c r="S26" s="47" t="str">
        <f t="shared" si="2"/>
        <v>0;</v>
      </c>
      <c r="T26" s="47" t="str">
        <f t="shared" si="0"/>
        <v/>
      </c>
    </row>
    <row r="27" spans="1:20">
      <c r="A27" s="54"/>
      <c r="B27" s="54">
        <v>24</v>
      </c>
      <c r="C27" s="65"/>
      <c r="D27" s="88"/>
      <c r="E27" s="66"/>
      <c r="F27" s="66"/>
      <c r="G27" s="174">
        <f t="shared" si="3"/>
        <v>0</v>
      </c>
      <c r="H27" s="84"/>
      <c r="I27" s="79"/>
      <c r="J27" s="79"/>
      <c r="K27" s="67"/>
      <c r="L27" s="81"/>
      <c r="M27" s="91"/>
      <c r="N27" s="44"/>
      <c r="O27" s="62"/>
      <c r="P27" s="62"/>
      <c r="Q27" s="47" t="e">
        <f>IF(#REF!="","",#REF!)</f>
        <v>#REF!</v>
      </c>
      <c r="R27" s="47">
        <f t="shared" si="1"/>
        <v>0</v>
      </c>
      <c r="S27" s="47" t="str">
        <f t="shared" si="2"/>
        <v>0;</v>
      </c>
      <c r="T27" s="47" t="str">
        <f t="shared" si="0"/>
        <v/>
      </c>
    </row>
    <row r="28" spans="1:20">
      <c r="A28" s="54"/>
      <c r="B28" s="54">
        <v>25</v>
      </c>
      <c r="C28" s="65"/>
      <c r="D28" s="89"/>
      <c r="E28" s="66"/>
      <c r="F28" s="66"/>
      <c r="G28" s="174">
        <f t="shared" si="3"/>
        <v>0</v>
      </c>
      <c r="H28" s="84"/>
      <c r="I28" s="79"/>
      <c r="J28" s="79"/>
      <c r="K28" s="67"/>
      <c r="L28" s="81"/>
      <c r="M28" s="91"/>
      <c r="N28" s="44"/>
      <c r="O28" s="62"/>
      <c r="P28" s="62"/>
      <c r="Q28" s="47" t="e">
        <f>IF(#REF!="","",#REF!)</f>
        <v>#REF!</v>
      </c>
      <c r="R28" s="47">
        <f t="shared" si="1"/>
        <v>0</v>
      </c>
      <c r="S28" s="47" t="str">
        <f t="shared" si="2"/>
        <v>0;</v>
      </c>
      <c r="T28" s="47" t="str">
        <f t="shared" si="0"/>
        <v/>
      </c>
    </row>
    <row r="29" spans="1:20">
      <c r="A29" s="54"/>
      <c r="B29" s="54">
        <v>26</v>
      </c>
      <c r="C29" s="65"/>
      <c r="D29" s="90"/>
      <c r="E29" s="66"/>
      <c r="F29" s="66"/>
      <c r="G29" s="174">
        <f t="shared" si="3"/>
        <v>0</v>
      </c>
      <c r="H29" s="84"/>
      <c r="I29" s="79"/>
      <c r="J29" s="79"/>
      <c r="K29" s="67"/>
      <c r="L29" s="81"/>
      <c r="M29" s="91"/>
      <c r="N29" s="44"/>
      <c r="O29" s="62"/>
      <c r="P29" s="62"/>
      <c r="Q29" s="47" t="e">
        <f>IF(#REF!="","",#REF!)</f>
        <v>#REF!</v>
      </c>
      <c r="R29" s="47">
        <f t="shared" si="1"/>
        <v>0</v>
      </c>
      <c r="S29" s="47" t="str">
        <f t="shared" si="2"/>
        <v>0;</v>
      </c>
      <c r="T29" s="47" t="str">
        <f t="shared" si="0"/>
        <v/>
      </c>
    </row>
    <row r="30" spans="1:20">
      <c r="A30" s="54"/>
      <c r="B30" s="54">
        <v>27</v>
      </c>
      <c r="C30" s="65"/>
      <c r="D30" s="88"/>
      <c r="E30" s="66"/>
      <c r="F30" s="66"/>
      <c r="G30" s="174">
        <f t="shared" si="3"/>
        <v>0</v>
      </c>
      <c r="H30" s="84"/>
      <c r="I30" s="79"/>
      <c r="J30" s="79"/>
      <c r="K30" s="67"/>
      <c r="L30" s="81"/>
      <c r="M30" s="91"/>
      <c r="N30" s="44"/>
      <c r="O30" s="62"/>
      <c r="P30" s="62"/>
      <c r="Q30" s="47" t="e">
        <f>IF(#REF!="","",#REF!)</f>
        <v>#REF!</v>
      </c>
      <c r="R30" s="47">
        <f t="shared" si="1"/>
        <v>0</v>
      </c>
      <c r="S30" s="47" t="str">
        <f t="shared" si="2"/>
        <v>0;</v>
      </c>
      <c r="T30" s="47" t="str">
        <f t="shared" si="0"/>
        <v/>
      </c>
    </row>
    <row r="31" spans="1:20">
      <c r="A31" s="54"/>
      <c r="B31" s="54">
        <v>28</v>
      </c>
      <c r="C31" s="65"/>
      <c r="D31" s="89"/>
      <c r="E31" s="66"/>
      <c r="F31" s="66"/>
      <c r="G31" s="174">
        <f t="shared" si="3"/>
        <v>0</v>
      </c>
      <c r="H31" s="84"/>
      <c r="I31" s="79"/>
      <c r="J31" s="79"/>
      <c r="K31" s="67"/>
      <c r="L31" s="81"/>
      <c r="M31" s="91"/>
      <c r="N31" s="44"/>
      <c r="O31" s="62"/>
      <c r="P31" s="62"/>
      <c r="Q31" s="47" t="e">
        <f>IF(#REF!="","",#REF!)</f>
        <v>#REF!</v>
      </c>
      <c r="R31" s="47">
        <f>H34</f>
        <v>0</v>
      </c>
      <c r="S31" s="47" t="str">
        <f t="shared" si="2"/>
        <v>0;</v>
      </c>
      <c r="T31" s="47" t="str">
        <f t="shared" si="0"/>
        <v/>
      </c>
    </row>
    <row r="32" spans="1:20">
      <c r="A32" s="54"/>
      <c r="B32" s="54">
        <v>29</v>
      </c>
      <c r="C32" s="65"/>
      <c r="D32" s="90"/>
      <c r="E32" s="66"/>
      <c r="F32" s="66"/>
      <c r="G32" s="174">
        <f t="shared" si="3"/>
        <v>0</v>
      </c>
      <c r="H32" s="84"/>
      <c r="I32" s="79"/>
      <c r="J32" s="79"/>
      <c r="K32" s="67"/>
      <c r="L32" s="81"/>
      <c r="M32" s="91"/>
      <c r="N32" s="44"/>
      <c r="O32" s="62"/>
      <c r="P32" s="62"/>
      <c r="Q32" s="47" t="e">
        <f>IF(#REF!="","",#REF!)</f>
        <v>#REF!</v>
      </c>
      <c r="R32" s="47">
        <f>H35</f>
        <v>0</v>
      </c>
      <c r="S32" s="47" t="str">
        <f t="shared" si="2"/>
        <v>0;</v>
      </c>
      <c r="T32" s="47" t="str">
        <f t="shared" si="0"/>
        <v/>
      </c>
    </row>
    <row r="33" spans="1:20">
      <c r="A33" s="54"/>
      <c r="B33" s="54">
        <v>30</v>
      </c>
      <c r="C33" s="65"/>
      <c r="D33" s="90"/>
      <c r="E33" s="66"/>
      <c r="F33" s="66"/>
      <c r="G33" s="174">
        <v>0</v>
      </c>
      <c r="H33" s="84"/>
      <c r="I33" s="79"/>
      <c r="J33" s="79"/>
      <c r="K33" s="67"/>
      <c r="L33" s="81"/>
      <c r="M33" s="91"/>
      <c r="N33" s="44"/>
      <c r="O33" s="62"/>
      <c r="P33" s="62"/>
    </row>
    <row r="34" spans="1:20">
      <c r="A34" s="54"/>
      <c r="B34" s="54">
        <v>31</v>
      </c>
      <c r="C34" s="65"/>
      <c r="D34" s="88"/>
      <c r="E34" s="66"/>
      <c r="F34" s="66"/>
      <c r="G34" s="174">
        <f t="shared" si="3"/>
        <v>0</v>
      </c>
      <c r="H34" s="84"/>
      <c r="I34" s="79"/>
      <c r="J34" s="79"/>
      <c r="K34" s="67"/>
      <c r="L34" s="81"/>
      <c r="M34" s="91"/>
      <c r="N34" s="44"/>
      <c r="O34" s="62"/>
      <c r="P34" s="62"/>
      <c r="Q34" s="47" t="e">
        <f>IF(#REF!="","",#REF!)</f>
        <v>#REF!</v>
      </c>
      <c r="R34" s="47">
        <f t="shared" si="1"/>
        <v>0</v>
      </c>
      <c r="S34" s="47" t="str">
        <f t="shared" si="2"/>
        <v>0;</v>
      </c>
      <c r="T34" s="47" t="str">
        <f t="shared" si="0"/>
        <v/>
      </c>
    </row>
    <row r="35" spans="1:20">
      <c r="A35" s="54"/>
      <c r="B35" s="54">
        <v>32</v>
      </c>
      <c r="C35" s="65"/>
      <c r="D35" s="89"/>
      <c r="E35" s="66"/>
      <c r="F35" s="66"/>
      <c r="G35" s="174">
        <f t="shared" si="3"/>
        <v>0</v>
      </c>
      <c r="H35" s="84"/>
      <c r="I35" s="79"/>
      <c r="J35" s="79"/>
      <c r="K35" s="67"/>
      <c r="L35" s="81"/>
      <c r="M35" s="91"/>
      <c r="N35" s="44"/>
      <c r="O35" s="62"/>
      <c r="P35" s="62"/>
      <c r="Q35" s="47" t="e">
        <f>IF(#REF!="","",#REF!)</f>
        <v>#REF!</v>
      </c>
      <c r="R35" s="47">
        <f t="shared" si="1"/>
        <v>0</v>
      </c>
      <c r="S35" s="47" t="str">
        <f t="shared" si="2"/>
        <v>0;</v>
      </c>
      <c r="T35" s="47" t="str">
        <f t="shared" si="0"/>
        <v/>
      </c>
    </row>
    <row r="36" spans="1:20">
      <c r="A36" s="54"/>
      <c r="B36" s="54">
        <v>33</v>
      </c>
      <c r="C36" s="65"/>
      <c r="D36" s="90"/>
      <c r="E36" s="66"/>
      <c r="F36" s="66"/>
      <c r="G36" s="174">
        <f t="shared" si="3"/>
        <v>0</v>
      </c>
      <c r="H36" s="84"/>
      <c r="I36" s="79"/>
      <c r="J36" s="79"/>
      <c r="K36" s="67"/>
      <c r="L36" s="81"/>
      <c r="M36" s="91"/>
      <c r="N36" s="44"/>
      <c r="O36" s="62"/>
      <c r="P36" s="62"/>
      <c r="Q36" s="47" t="e">
        <f>IF(#REF!="","",#REF!)</f>
        <v>#REF!</v>
      </c>
      <c r="R36" s="47">
        <f t="shared" si="1"/>
        <v>0</v>
      </c>
      <c r="S36" s="47" t="str">
        <f t="shared" si="2"/>
        <v>0;</v>
      </c>
      <c r="T36" s="47" t="str">
        <f t="shared" si="0"/>
        <v/>
      </c>
    </row>
    <row r="37" spans="1:20">
      <c r="A37" s="54"/>
      <c r="B37" s="54">
        <v>34</v>
      </c>
      <c r="C37" s="65"/>
      <c r="D37" s="88"/>
      <c r="E37" s="66"/>
      <c r="F37" s="66"/>
      <c r="G37" s="174">
        <f t="shared" si="3"/>
        <v>0</v>
      </c>
      <c r="H37" s="84"/>
      <c r="I37" s="79"/>
      <c r="J37" s="79"/>
      <c r="K37" s="67"/>
      <c r="L37" s="81"/>
      <c r="M37" s="91"/>
      <c r="N37" s="44"/>
      <c r="O37" s="62"/>
      <c r="P37" s="62"/>
      <c r="Q37" s="47" t="e">
        <f>IF(#REF!="","",#REF!)</f>
        <v>#REF!</v>
      </c>
      <c r="R37" s="47">
        <f t="shared" si="1"/>
        <v>0</v>
      </c>
      <c r="S37" s="47" t="str">
        <f t="shared" si="2"/>
        <v>0;</v>
      </c>
      <c r="T37" s="47" t="str">
        <f t="shared" si="0"/>
        <v/>
      </c>
    </row>
    <row r="38" spans="1:20">
      <c r="A38" s="54"/>
      <c r="B38" s="54">
        <v>35</v>
      </c>
      <c r="C38" s="65"/>
      <c r="D38" s="89"/>
      <c r="E38" s="66"/>
      <c r="F38" s="66"/>
      <c r="G38" s="174">
        <f t="shared" si="3"/>
        <v>0</v>
      </c>
      <c r="H38" s="84"/>
      <c r="I38" s="79"/>
      <c r="J38" s="79"/>
      <c r="K38" s="67"/>
      <c r="L38" s="81"/>
      <c r="M38" s="91"/>
      <c r="N38" s="44"/>
      <c r="O38" s="62"/>
      <c r="P38" s="62"/>
      <c r="Q38" s="47" t="e">
        <f>IF(#REF!="","",#REF!)</f>
        <v>#REF!</v>
      </c>
      <c r="R38" s="47">
        <f t="shared" si="1"/>
        <v>0</v>
      </c>
      <c r="S38" s="47" t="str">
        <f t="shared" si="2"/>
        <v>0;</v>
      </c>
      <c r="T38" s="47" t="str">
        <f t="shared" si="0"/>
        <v/>
      </c>
    </row>
    <row r="39" spans="1:20">
      <c r="A39" s="54"/>
      <c r="B39" s="54">
        <v>36</v>
      </c>
      <c r="C39" s="65"/>
      <c r="D39" s="90"/>
      <c r="E39" s="66"/>
      <c r="F39" s="66"/>
      <c r="G39" s="174">
        <f t="shared" si="3"/>
        <v>0</v>
      </c>
      <c r="H39" s="84"/>
      <c r="I39" s="79"/>
      <c r="J39" s="79"/>
      <c r="K39" s="67"/>
      <c r="L39" s="81"/>
      <c r="M39" s="91"/>
      <c r="N39" s="44"/>
      <c r="O39" s="62"/>
      <c r="P39" s="62"/>
      <c r="Q39" s="47" t="e">
        <f>IF(#REF!="","",#REF!)</f>
        <v>#REF!</v>
      </c>
      <c r="R39" s="47">
        <f t="shared" si="1"/>
        <v>0</v>
      </c>
      <c r="S39" s="47" t="str">
        <f t="shared" si="2"/>
        <v>0;</v>
      </c>
      <c r="T39" s="47" t="str">
        <f t="shared" si="0"/>
        <v/>
      </c>
    </row>
    <row r="40" spans="1:20">
      <c r="A40" s="54"/>
      <c r="B40" s="54">
        <v>37</v>
      </c>
      <c r="C40" s="65"/>
      <c r="D40" s="88"/>
      <c r="E40" s="66"/>
      <c r="F40" s="66"/>
      <c r="G40" s="174">
        <f t="shared" si="3"/>
        <v>0</v>
      </c>
      <c r="H40" s="84"/>
      <c r="I40" s="79"/>
      <c r="J40" s="79"/>
      <c r="K40" s="67"/>
      <c r="L40" s="81"/>
      <c r="M40" s="91"/>
      <c r="N40" s="44"/>
      <c r="O40" s="62"/>
      <c r="P40" s="62"/>
      <c r="Q40" s="47" t="e">
        <f>IF(#REF!="","",#REF!)</f>
        <v>#REF!</v>
      </c>
      <c r="R40" s="47">
        <f t="shared" si="1"/>
        <v>0</v>
      </c>
      <c r="S40" s="47" t="str">
        <f t="shared" si="2"/>
        <v>0;</v>
      </c>
      <c r="T40" s="47" t="str">
        <f t="shared" si="0"/>
        <v/>
      </c>
    </row>
    <row r="41" spans="1:20">
      <c r="A41" s="54"/>
      <c r="B41" s="54">
        <v>38</v>
      </c>
      <c r="C41" s="65"/>
      <c r="D41" s="89"/>
      <c r="E41" s="66"/>
      <c r="F41" s="66"/>
      <c r="G41" s="174">
        <f t="shared" si="3"/>
        <v>0</v>
      </c>
      <c r="H41" s="84"/>
      <c r="I41" s="79"/>
      <c r="J41" s="79"/>
      <c r="K41" s="67"/>
      <c r="L41" s="81"/>
      <c r="M41" s="91"/>
      <c r="N41" s="44"/>
      <c r="O41" s="62"/>
      <c r="P41" s="62"/>
      <c r="Q41" s="47" t="e">
        <f>IF(#REF!="","",#REF!)</f>
        <v>#REF!</v>
      </c>
      <c r="R41" s="47">
        <f t="shared" si="1"/>
        <v>0</v>
      </c>
      <c r="S41" s="47" t="str">
        <f t="shared" si="2"/>
        <v>0;</v>
      </c>
      <c r="T41" s="47" t="str">
        <f t="shared" si="0"/>
        <v/>
      </c>
    </row>
    <row r="42" spans="1:20">
      <c r="A42" s="54"/>
      <c r="B42" s="54">
        <v>39</v>
      </c>
      <c r="C42" s="65"/>
      <c r="D42" s="90"/>
      <c r="E42" s="66"/>
      <c r="F42" s="66"/>
      <c r="G42" s="174">
        <f t="shared" si="3"/>
        <v>0</v>
      </c>
      <c r="H42" s="84"/>
      <c r="I42" s="79"/>
      <c r="J42" s="79"/>
      <c r="K42" s="67"/>
      <c r="L42" s="81"/>
      <c r="M42" s="91"/>
      <c r="N42" s="44"/>
      <c r="O42" s="62"/>
      <c r="P42" s="62"/>
      <c r="Q42" s="47" t="e">
        <f>IF(#REF!="","",#REF!)</f>
        <v>#REF!</v>
      </c>
      <c r="R42" s="47">
        <f t="shared" si="1"/>
        <v>0</v>
      </c>
      <c r="S42" s="47" t="str">
        <f t="shared" si="2"/>
        <v>0;</v>
      </c>
      <c r="T42" s="47" t="str">
        <f t="shared" ref="T42:T59" si="4">IFERROR(VLOOKUP(Q42,TPARTICIPA,2,0),"")</f>
        <v/>
      </c>
    </row>
    <row r="43" spans="1:20">
      <c r="A43" s="54"/>
      <c r="B43" s="54">
        <v>40</v>
      </c>
      <c r="C43" s="65"/>
      <c r="D43" s="88"/>
      <c r="E43" s="66"/>
      <c r="F43" s="66"/>
      <c r="G43" s="174">
        <f t="shared" si="3"/>
        <v>0</v>
      </c>
      <c r="H43" s="84"/>
      <c r="I43" s="79"/>
      <c r="J43" s="79"/>
      <c r="K43" s="67"/>
      <c r="L43" s="81"/>
      <c r="M43" s="91"/>
      <c r="N43" s="44"/>
      <c r="O43" s="62"/>
      <c r="P43" s="62"/>
      <c r="Q43" s="47" t="e">
        <f>IF(#REF!="","",#REF!)</f>
        <v>#REF!</v>
      </c>
      <c r="R43" s="47">
        <f t="shared" si="1"/>
        <v>0</v>
      </c>
      <c r="S43" s="47" t="str">
        <f t="shared" si="2"/>
        <v>0;</v>
      </c>
      <c r="T43" s="47" t="str">
        <f t="shared" si="4"/>
        <v/>
      </c>
    </row>
    <row r="44" spans="1:20">
      <c r="A44" s="54"/>
      <c r="B44" s="54">
        <v>41</v>
      </c>
      <c r="C44" s="65"/>
      <c r="D44" s="89"/>
      <c r="E44" s="66"/>
      <c r="F44" s="66"/>
      <c r="G44" s="174">
        <f t="shared" si="3"/>
        <v>0</v>
      </c>
      <c r="H44" s="84"/>
      <c r="I44" s="79"/>
      <c r="J44" s="79"/>
      <c r="K44" s="67"/>
      <c r="L44" s="81"/>
      <c r="M44" s="91"/>
      <c r="N44" s="44"/>
      <c r="O44" s="62"/>
      <c r="P44" s="62"/>
      <c r="Q44" s="47" t="e">
        <f>IF(#REF!="","",#REF!)</f>
        <v>#REF!</v>
      </c>
      <c r="R44" s="47">
        <f t="shared" si="1"/>
        <v>0</v>
      </c>
      <c r="S44" s="47" t="str">
        <f t="shared" si="2"/>
        <v>0;</v>
      </c>
      <c r="T44" s="47" t="str">
        <f t="shared" si="4"/>
        <v/>
      </c>
    </row>
    <row r="45" spans="1:20">
      <c r="A45" s="54"/>
      <c r="B45" s="54">
        <v>42</v>
      </c>
      <c r="C45" s="65"/>
      <c r="D45" s="90"/>
      <c r="E45" s="66"/>
      <c r="F45" s="66"/>
      <c r="G45" s="174">
        <f t="shared" si="3"/>
        <v>0</v>
      </c>
      <c r="H45" s="84"/>
      <c r="I45" s="79"/>
      <c r="J45" s="79"/>
      <c r="K45" s="67"/>
      <c r="L45" s="81"/>
      <c r="M45" s="91"/>
      <c r="N45" s="44"/>
      <c r="O45" s="62"/>
      <c r="P45" s="62"/>
      <c r="Q45" s="47" t="e">
        <f>IF(#REF!="","",#REF!)</f>
        <v>#REF!</v>
      </c>
      <c r="R45" s="47">
        <f t="shared" si="1"/>
        <v>0</v>
      </c>
      <c r="S45" s="47" t="str">
        <f t="shared" si="2"/>
        <v>0;</v>
      </c>
      <c r="T45" s="47" t="str">
        <f t="shared" si="4"/>
        <v/>
      </c>
    </row>
    <row r="46" spans="1:20">
      <c r="A46" s="54"/>
      <c r="B46" s="54">
        <v>43</v>
      </c>
      <c r="C46" s="65"/>
      <c r="D46" s="88"/>
      <c r="E46" s="66"/>
      <c r="F46" s="66"/>
      <c r="G46" s="174">
        <f t="shared" si="3"/>
        <v>0</v>
      </c>
      <c r="H46" s="84"/>
      <c r="I46" s="79"/>
      <c r="J46" s="79"/>
      <c r="K46" s="67"/>
      <c r="L46" s="81"/>
      <c r="M46" s="91"/>
      <c r="N46" s="44"/>
      <c r="O46" s="62"/>
      <c r="P46" s="62"/>
      <c r="Q46" s="47" t="e">
        <f>IF(#REF!="","",#REF!)</f>
        <v>#REF!</v>
      </c>
      <c r="R46" s="47">
        <f t="shared" si="1"/>
        <v>0</v>
      </c>
      <c r="S46" s="47" t="str">
        <f t="shared" si="2"/>
        <v>0;</v>
      </c>
      <c r="T46" s="47" t="str">
        <f t="shared" si="4"/>
        <v/>
      </c>
    </row>
    <row r="47" spans="1:20">
      <c r="A47" s="54"/>
      <c r="B47" s="54">
        <v>44</v>
      </c>
      <c r="C47" s="65"/>
      <c r="D47" s="89"/>
      <c r="E47" s="66"/>
      <c r="F47" s="66"/>
      <c r="G47" s="174">
        <f t="shared" si="3"/>
        <v>0</v>
      </c>
      <c r="H47" s="84"/>
      <c r="I47" s="79"/>
      <c r="J47" s="79"/>
      <c r="K47" s="67"/>
      <c r="L47" s="81"/>
      <c r="M47" s="91"/>
      <c r="N47" s="44"/>
      <c r="O47" s="62"/>
      <c r="P47" s="62"/>
      <c r="Q47" s="47" t="e">
        <f>IF(#REF!="","",#REF!)</f>
        <v>#REF!</v>
      </c>
      <c r="R47" s="47">
        <f t="shared" si="1"/>
        <v>0</v>
      </c>
      <c r="S47" s="47" t="str">
        <f t="shared" si="2"/>
        <v>0;</v>
      </c>
      <c r="T47" s="47" t="str">
        <f t="shared" si="4"/>
        <v/>
      </c>
    </row>
    <row r="48" spans="1:20">
      <c r="A48" s="54"/>
      <c r="B48" s="54">
        <v>45</v>
      </c>
      <c r="C48" s="65"/>
      <c r="D48" s="90"/>
      <c r="E48" s="66"/>
      <c r="F48" s="66"/>
      <c r="G48" s="174">
        <f t="shared" si="3"/>
        <v>0</v>
      </c>
      <c r="H48" s="84"/>
      <c r="I48" s="79"/>
      <c r="J48" s="79"/>
      <c r="K48" s="67"/>
      <c r="L48" s="81"/>
      <c r="M48" s="91"/>
      <c r="N48" s="44"/>
      <c r="O48" s="62"/>
      <c r="P48" s="62"/>
      <c r="Q48" s="47" t="e">
        <f>IF(#REF!="","",#REF!)</f>
        <v>#REF!</v>
      </c>
      <c r="R48" s="47">
        <f t="shared" si="1"/>
        <v>0</v>
      </c>
      <c r="S48" s="47" t="str">
        <f t="shared" si="2"/>
        <v>0;</v>
      </c>
      <c r="T48" s="47" t="str">
        <f t="shared" si="4"/>
        <v/>
      </c>
    </row>
    <row r="49" spans="1:20">
      <c r="A49" s="54"/>
      <c r="B49" s="54">
        <v>46</v>
      </c>
      <c r="C49" s="65"/>
      <c r="D49" s="88"/>
      <c r="E49" s="66"/>
      <c r="F49" s="66"/>
      <c r="G49" s="174">
        <f t="shared" si="3"/>
        <v>0</v>
      </c>
      <c r="H49" s="84"/>
      <c r="I49" s="79"/>
      <c r="J49" s="79"/>
      <c r="K49" s="67"/>
      <c r="L49" s="81"/>
      <c r="M49" s="91"/>
      <c r="N49" s="44"/>
      <c r="O49" s="62"/>
      <c r="P49" s="62"/>
      <c r="Q49" s="47" t="e">
        <f>IF(#REF!="","",#REF!)</f>
        <v>#REF!</v>
      </c>
      <c r="R49" s="47">
        <f t="shared" si="1"/>
        <v>0</v>
      </c>
      <c r="S49" s="47" t="str">
        <f t="shared" si="2"/>
        <v>0;</v>
      </c>
      <c r="T49" s="47" t="str">
        <f t="shared" si="4"/>
        <v/>
      </c>
    </row>
    <row r="50" spans="1:20">
      <c r="A50" s="54"/>
      <c r="B50" s="54">
        <v>47</v>
      </c>
      <c r="C50" s="65"/>
      <c r="D50" s="89"/>
      <c r="E50" s="66"/>
      <c r="F50" s="66"/>
      <c r="G50" s="174">
        <f t="shared" si="3"/>
        <v>0</v>
      </c>
      <c r="H50" s="84"/>
      <c r="I50" s="79"/>
      <c r="J50" s="79"/>
      <c r="K50" s="67"/>
      <c r="L50" s="81"/>
      <c r="M50" s="91"/>
      <c r="N50" s="44"/>
      <c r="O50" s="62"/>
      <c r="P50" s="62"/>
      <c r="Q50" s="47" t="e">
        <f>IF(#REF!="","",#REF!)</f>
        <v>#REF!</v>
      </c>
      <c r="R50" s="47">
        <f t="shared" si="1"/>
        <v>0</v>
      </c>
      <c r="S50" s="47" t="str">
        <f t="shared" si="2"/>
        <v>0;</v>
      </c>
      <c r="T50" s="47" t="str">
        <f t="shared" si="4"/>
        <v/>
      </c>
    </row>
    <row r="51" spans="1:20">
      <c r="A51" s="54"/>
      <c r="B51" s="54">
        <v>48</v>
      </c>
      <c r="C51" s="65"/>
      <c r="D51" s="90"/>
      <c r="E51" s="66"/>
      <c r="F51" s="66"/>
      <c r="G51" s="174">
        <f t="shared" si="3"/>
        <v>0</v>
      </c>
      <c r="H51" s="84"/>
      <c r="I51" s="79"/>
      <c r="J51" s="79"/>
      <c r="K51" s="67"/>
      <c r="L51" s="81"/>
      <c r="M51" s="91"/>
      <c r="N51" s="44"/>
      <c r="O51" s="62"/>
      <c r="P51" s="62"/>
      <c r="Q51" s="47" t="e">
        <f>IF(#REF!="","",#REF!)</f>
        <v>#REF!</v>
      </c>
      <c r="R51" s="47">
        <f t="shared" si="1"/>
        <v>0</v>
      </c>
      <c r="S51" s="47" t="str">
        <f t="shared" si="2"/>
        <v>0;</v>
      </c>
      <c r="T51" s="47" t="str">
        <f t="shared" si="4"/>
        <v/>
      </c>
    </row>
    <row r="52" spans="1:20">
      <c r="A52" s="54"/>
      <c r="B52" s="54">
        <v>49</v>
      </c>
      <c r="C52" s="65"/>
      <c r="D52" s="88"/>
      <c r="E52" s="66"/>
      <c r="F52" s="66"/>
      <c r="G52" s="174">
        <f t="shared" si="3"/>
        <v>0</v>
      </c>
      <c r="H52" s="84"/>
      <c r="I52" s="79"/>
      <c r="J52" s="79"/>
      <c r="K52" s="67"/>
      <c r="L52" s="81"/>
      <c r="M52" s="91"/>
      <c r="N52" s="44"/>
      <c r="O52" s="62"/>
      <c r="P52" s="62"/>
      <c r="Q52" s="47" t="e">
        <f>IF(#REF!="","",#REF!)</f>
        <v>#REF!</v>
      </c>
      <c r="R52" s="47">
        <f t="shared" si="1"/>
        <v>0</v>
      </c>
      <c r="S52" s="47" t="str">
        <f t="shared" si="2"/>
        <v>0;</v>
      </c>
      <c r="T52" s="47" t="str">
        <f t="shared" si="4"/>
        <v/>
      </c>
    </row>
    <row r="53" spans="1:20">
      <c r="A53" s="54"/>
      <c r="B53" s="54">
        <v>50</v>
      </c>
      <c r="C53" s="65"/>
      <c r="D53" s="89"/>
      <c r="E53" s="66"/>
      <c r="F53" s="66"/>
      <c r="G53" s="174">
        <f t="shared" si="3"/>
        <v>0</v>
      </c>
      <c r="H53" s="84"/>
      <c r="I53" s="79"/>
      <c r="J53" s="79"/>
      <c r="K53" s="67"/>
      <c r="L53" s="81"/>
      <c r="M53" s="91"/>
      <c r="N53" s="44"/>
      <c r="O53" s="62"/>
      <c r="P53" s="62"/>
      <c r="Q53" s="47" t="e">
        <f>IF(#REF!="","",#REF!)</f>
        <v>#REF!</v>
      </c>
      <c r="R53" s="47">
        <f t="shared" si="1"/>
        <v>0</v>
      </c>
      <c r="S53" s="47" t="str">
        <f t="shared" si="2"/>
        <v>0;</v>
      </c>
      <c r="T53" s="47" t="str">
        <f t="shared" si="4"/>
        <v/>
      </c>
    </row>
    <row r="54" spans="1:20">
      <c r="A54" s="54"/>
      <c r="B54" s="54">
        <v>51</v>
      </c>
      <c r="C54" s="65"/>
      <c r="D54" s="90"/>
      <c r="E54" s="66"/>
      <c r="F54" s="66"/>
      <c r="G54" s="174">
        <f t="shared" si="3"/>
        <v>0</v>
      </c>
      <c r="H54" s="84"/>
      <c r="I54" s="79"/>
      <c r="J54" s="79"/>
      <c r="K54" s="67"/>
      <c r="L54" s="81"/>
      <c r="M54" s="91"/>
      <c r="N54" s="44"/>
      <c r="O54" s="62"/>
      <c r="P54" s="62"/>
      <c r="Q54" s="47" t="e">
        <f>IF(#REF!="","",#REF!)</f>
        <v>#REF!</v>
      </c>
      <c r="R54" s="47">
        <f t="shared" si="1"/>
        <v>0</v>
      </c>
      <c r="S54" s="47" t="str">
        <f t="shared" si="2"/>
        <v>0;</v>
      </c>
      <c r="T54" s="47" t="str">
        <f t="shared" si="4"/>
        <v/>
      </c>
    </row>
    <row r="55" spans="1:20">
      <c r="A55" s="54"/>
      <c r="B55" s="54">
        <v>52</v>
      </c>
      <c r="C55" s="65"/>
      <c r="D55" s="88"/>
      <c r="E55" s="66"/>
      <c r="F55" s="66"/>
      <c r="G55" s="174">
        <f t="shared" si="3"/>
        <v>0</v>
      </c>
      <c r="H55" s="84"/>
      <c r="I55" s="79"/>
      <c r="J55" s="79"/>
      <c r="K55" s="67"/>
      <c r="L55" s="81"/>
      <c r="M55" s="91"/>
      <c r="N55" s="44"/>
      <c r="O55" s="62"/>
      <c r="P55" s="62"/>
      <c r="Q55" s="47" t="e">
        <f>IF(#REF!="","",#REF!)</f>
        <v>#REF!</v>
      </c>
      <c r="R55" s="47">
        <f t="shared" si="1"/>
        <v>0</v>
      </c>
      <c r="S55" s="47" t="str">
        <f t="shared" si="2"/>
        <v>0;</v>
      </c>
      <c r="T55" s="47" t="str">
        <f t="shared" si="4"/>
        <v/>
      </c>
    </row>
    <row r="56" spans="1:20">
      <c r="A56" s="54"/>
      <c r="B56" s="54">
        <v>53</v>
      </c>
      <c r="C56" s="65"/>
      <c r="D56" s="89"/>
      <c r="E56" s="66"/>
      <c r="F56" s="66"/>
      <c r="G56" s="174">
        <f t="shared" si="3"/>
        <v>0</v>
      </c>
      <c r="H56" s="84"/>
      <c r="I56" s="79"/>
      <c r="J56" s="79"/>
      <c r="K56" s="67"/>
      <c r="L56" s="81"/>
      <c r="M56" s="91"/>
      <c r="N56" s="44"/>
      <c r="O56" s="62"/>
      <c r="P56" s="62"/>
      <c r="Q56" s="47" t="e">
        <f>IF(#REF!="","",#REF!)</f>
        <v>#REF!</v>
      </c>
      <c r="R56" s="47">
        <f t="shared" si="1"/>
        <v>0</v>
      </c>
      <c r="S56" s="47" t="str">
        <f t="shared" si="2"/>
        <v>0;</v>
      </c>
      <c r="T56" s="47" t="str">
        <f t="shared" si="4"/>
        <v/>
      </c>
    </row>
    <row r="57" spans="1:20">
      <c r="A57" s="54"/>
      <c r="B57" s="54">
        <v>54</v>
      </c>
      <c r="C57" s="65"/>
      <c r="D57" s="90"/>
      <c r="E57" s="66"/>
      <c r="F57" s="66"/>
      <c r="G57" s="174">
        <f t="shared" si="3"/>
        <v>0</v>
      </c>
      <c r="H57" s="84"/>
      <c r="I57" s="79"/>
      <c r="J57" s="79"/>
      <c r="K57" s="67"/>
      <c r="L57" s="81"/>
      <c r="M57" s="91"/>
      <c r="N57" s="44"/>
      <c r="O57" s="62"/>
      <c r="P57" s="62"/>
      <c r="Q57" s="47" t="e">
        <f>IF(#REF!="","",#REF!)</f>
        <v>#REF!</v>
      </c>
      <c r="R57" s="47">
        <f t="shared" si="1"/>
        <v>0</v>
      </c>
      <c r="S57" s="47" t="str">
        <f t="shared" si="2"/>
        <v>0;</v>
      </c>
      <c r="T57" s="47" t="str">
        <f t="shared" si="4"/>
        <v/>
      </c>
    </row>
    <row r="58" spans="1:20">
      <c r="A58" s="54"/>
      <c r="B58" s="54">
        <v>55</v>
      </c>
      <c r="C58" s="65"/>
      <c r="D58" s="88"/>
      <c r="E58" s="66"/>
      <c r="F58" s="66"/>
      <c r="G58" s="174">
        <f t="shared" si="3"/>
        <v>0</v>
      </c>
      <c r="H58" s="84"/>
      <c r="I58" s="79"/>
      <c r="J58" s="79"/>
      <c r="K58" s="67"/>
      <c r="L58" s="81"/>
      <c r="M58" s="91"/>
      <c r="N58" s="44"/>
      <c r="O58" s="62"/>
      <c r="P58" s="62"/>
      <c r="Q58" s="47" t="e">
        <f>IF(#REF!="","",#REF!)</f>
        <v>#REF!</v>
      </c>
      <c r="R58" s="47">
        <f t="shared" si="1"/>
        <v>0</v>
      </c>
      <c r="S58" s="47" t="str">
        <f t="shared" si="2"/>
        <v>0;</v>
      </c>
      <c r="T58" s="47" t="str">
        <f t="shared" si="4"/>
        <v/>
      </c>
    </row>
    <row r="59" spans="1:20">
      <c r="A59" s="54"/>
      <c r="B59" s="54">
        <v>56</v>
      </c>
      <c r="C59" s="65"/>
      <c r="D59" s="89"/>
      <c r="E59" s="66"/>
      <c r="F59" s="66"/>
      <c r="G59" s="174">
        <f t="shared" si="3"/>
        <v>0</v>
      </c>
      <c r="H59" s="84"/>
      <c r="I59" s="79"/>
      <c r="J59" s="79"/>
      <c r="K59" s="67"/>
      <c r="L59" s="81"/>
      <c r="M59" s="91"/>
      <c r="N59" s="44"/>
      <c r="O59" s="62"/>
      <c r="P59" s="62"/>
      <c r="Q59" s="47" t="e">
        <f>IF(#REF!="","",#REF!)</f>
        <v>#REF!</v>
      </c>
      <c r="R59" s="47">
        <f t="shared" si="1"/>
        <v>0</v>
      </c>
      <c r="S59" s="47" t="str">
        <f t="shared" si="2"/>
        <v>0;</v>
      </c>
      <c r="T59" s="47" t="str">
        <f t="shared" si="4"/>
        <v/>
      </c>
    </row>
    <row r="60" spans="1:20">
      <c r="A60" s="54"/>
      <c r="B60" s="54">
        <v>57</v>
      </c>
      <c r="C60" s="65"/>
      <c r="D60" s="90"/>
      <c r="E60" s="66"/>
      <c r="F60" s="66"/>
      <c r="G60" s="174">
        <f t="shared" si="3"/>
        <v>0</v>
      </c>
      <c r="H60" s="84"/>
      <c r="I60" s="79"/>
      <c r="J60" s="79"/>
      <c r="K60" s="67"/>
      <c r="L60" s="81"/>
      <c r="M60" s="91"/>
      <c r="N60" s="44"/>
      <c r="O60" s="62"/>
      <c r="P60" s="62"/>
      <c r="R60" s="47">
        <f t="shared" si="1"/>
        <v>0</v>
      </c>
      <c r="S60" s="47" t="str">
        <f t="shared" si="2"/>
        <v>0;</v>
      </c>
    </row>
    <row r="61" spans="1:20">
      <c r="A61" s="54"/>
      <c r="B61" s="54">
        <v>58</v>
      </c>
      <c r="C61" s="65"/>
      <c r="D61" s="88"/>
      <c r="E61" s="66"/>
      <c r="F61" s="66"/>
      <c r="G61" s="174">
        <f t="shared" si="3"/>
        <v>0</v>
      </c>
      <c r="H61" s="84"/>
      <c r="I61" s="79"/>
      <c r="J61" s="79"/>
      <c r="K61" s="67"/>
      <c r="L61" s="81"/>
      <c r="M61" s="91"/>
      <c r="N61" s="44"/>
      <c r="O61" s="62"/>
      <c r="P61" s="62"/>
      <c r="R61" s="47">
        <f t="shared" si="1"/>
        <v>0</v>
      </c>
      <c r="S61" s="47" t="str">
        <f t="shared" si="2"/>
        <v>0;</v>
      </c>
    </row>
    <row r="62" spans="1:20">
      <c r="A62" s="54"/>
      <c r="B62" s="54">
        <v>59</v>
      </c>
      <c r="C62" s="65"/>
      <c r="D62" s="89"/>
      <c r="E62" s="66"/>
      <c r="F62" s="66"/>
      <c r="G62" s="174">
        <f t="shared" si="3"/>
        <v>0</v>
      </c>
      <c r="H62" s="84"/>
      <c r="I62" s="79"/>
      <c r="J62" s="79"/>
      <c r="K62" s="67"/>
      <c r="L62" s="81"/>
      <c r="M62" s="91"/>
      <c r="N62" s="44"/>
      <c r="O62" s="62"/>
      <c r="P62" s="62"/>
      <c r="R62" s="47">
        <f t="shared" si="1"/>
        <v>0</v>
      </c>
      <c r="S62" s="47" t="str">
        <f t="shared" si="2"/>
        <v>0;</v>
      </c>
    </row>
    <row r="63" spans="1:20">
      <c r="A63" s="54"/>
      <c r="B63" s="54">
        <v>60</v>
      </c>
      <c r="C63" s="65"/>
      <c r="D63" s="90"/>
      <c r="E63" s="66"/>
      <c r="F63" s="66"/>
      <c r="G63" s="174">
        <f t="shared" si="3"/>
        <v>0</v>
      </c>
      <c r="H63" s="84"/>
      <c r="I63" s="79"/>
      <c r="J63" s="79"/>
      <c r="K63" s="67"/>
      <c r="L63" s="81"/>
      <c r="M63" s="91"/>
      <c r="N63" s="44"/>
      <c r="O63" s="62"/>
      <c r="P63" s="62"/>
      <c r="R63" s="47">
        <f t="shared" si="1"/>
        <v>0</v>
      </c>
      <c r="S63" s="47" t="str">
        <f t="shared" si="2"/>
        <v>0;</v>
      </c>
    </row>
    <row r="64" spans="1:20">
      <c r="A64" s="54"/>
      <c r="B64" s="54">
        <v>61</v>
      </c>
      <c r="C64" s="65"/>
      <c r="D64" s="88"/>
      <c r="E64" s="66"/>
      <c r="F64" s="66"/>
      <c r="G64" s="174">
        <f t="shared" si="3"/>
        <v>0</v>
      </c>
      <c r="H64" s="84"/>
      <c r="I64" s="79"/>
      <c r="J64" s="79"/>
      <c r="K64" s="67"/>
      <c r="L64" s="81"/>
      <c r="M64" s="91"/>
      <c r="N64" s="44"/>
      <c r="O64" s="62"/>
      <c r="P64" s="62"/>
      <c r="R64" s="47">
        <f t="shared" si="1"/>
        <v>0</v>
      </c>
      <c r="S64" s="47" t="str">
        <f t="shared" si="2"/>
        <v>0;</v>
      </c>
    </row>
    <row r="65" spans="1:19">
      <c r="A65" s="54"/>
      <c r="B65" s="54">
        <v>62</v>
      </c>
      <c r="C65" s="65"/>
      <c r="D65" s="89"/>
      <c r="E65" s="66"/>
      <c r="F65" s="66"/>
      <c r="G65" s="174">
        <f t="shared" si="3"/>
        <v>0</v>
      </c>
      <c r="H65" s="84"/>
      <c r="I65" s="79"/>
      <c r="J65" s="79"/>
      <c r="K65" s="67"/>
      <c r="L65" s="81"/>
      <c r="M65" s="91"/>
      <c r="N65" s="44"/>
      <c r="O65" s="62"/>
      <c r="P65" s="62"/>
      <c r="R65" s="47">
        <f t="shared" si="1"/>
        <v>0</v>
      </c>
      <c r="S65" s="47" t="str">
        <f t="shared" si="2"/>
        <v>0;</v>
      </c>
    </row>
    <row r="66" spans="1:19">
      <c r="A66" s="54"/>
      <c r="B66" s="54">
        <v>63</v>
      </c>
      <c r="C66" s="65"/>
      <c r="D66" s="90"/>
      <c r="E66" s="66"/>
      <c r="F66" s="66"/>
      <c r="G66" s="174">
        <f t="shared" si="3"/>
        <v>0</v>
      </c>
      <c r="H66" s="84"/>
      <c r="I66" s="79"/>
      <c r="J66" s="79"/>
      <c r="K66" s="67"/>
      <c r="L66" s="81"/>
      <c r="M66" s="91"/>
      <c r="N66" s="44"/>
      <c r="O66" s="62"/>
      <c r="P66" s="62"/>
      <c r="R66" s="47">
        <f t="shared" si="1"/>
        <v>0</v>
      </c>
      <c r="S66" s="47" t="str">
        <f t="shared" si="2"/>
        <v>0;</v>
      </c>
    </row>
    <row r="67" spans="1:19">
      <c r="A67" s="54"/>
      <c r="B67" s="54">
        <v>64</v>
      </c>
      <c r="C67" s="65"/>
      <c r="D67" s="88"/>
      <c r="E67" s="66"/>
      <c r="F67" s="66"/>
      <c r="G67" s="174">
        <f t="shared" si="3"/>
        <v>0</v>
      </c>
      <c r="H67" s="84"/>
      <c r="I67" s="79"/>
      <c r="J67" s="79"/>
      <c r="K67" s="67"/>
      <c r="L67" s="81"/>
      <c r="M67" s="91"/>
      <c r="N67" s="44"/>
      <c r="O67" s="62"/>
      <c r="P67" s="62"/>
      <c r="R67" s="47">
        <f t="shared" si="1"/>
        <v>0</v>
      </c>
      <c r="S67" s="47" t="str">
        <f t="shared" si="2"/>
        <v>0;</v>
      </c>
    </row>
    <row r="68" spans="1:19">
      <c r="A68" s="54"/>
      <c r="B68" s="54">
        <v>65</v>
      </c>
      <c r="C68" s="65"/>
      <c r="D68" s="89"/>
      <c r="E68" s="66"/>
      <c r="F68" s="66"/>
      <c r="G68" s="174">
        <f t="shared" si="3"/>
        <v>0</v>
      </c>
      <c r="H68" s="84"/>
      <c r="I68" s="79"/>
      <c r="J68" s="79"/>
      <c r="K68" s="67"/>
      <c r="L68" s="81"/>
      <c r="M68" s="91"/>
      <c r="N68" s="44"/>
      <c r="O68" s="62"/>
      <c r="P68" s="62"/>
      <c r="R68" s="47">
        <f t="shared" si="1"/>
        <v>0</v>
      </c>
      <c r="S68" s="47" t="str">
        <f t="shared" si="2"/>
        <v>0;</v>
      </c>
    </row>
    <row r="69" spans="1:19">
      <c r="A69" s="54"/>
      <c r="B69" s="54">
        <v>66</v>
      </c>
      <c r="C69" s="65"/>
      <c r="D69" s="90"/>
      <c r="E69" s="66"/>
      <c r="F69" s="66"/>
      <c r="G69" s="174">
        <f t="shared" si="3"/>
        <v>0</v>
      </c>
      <c r="H69" s="84"/>
      <c r="I69" s="79"/>
      <c r="J69" s="79"/>
      <c r="K69" s="67"/>
      <c r="L69" s="81"/>
      <c r="M69" s="91"/>
      <c r="N69" s="44"/>
      <c r="O69" s="62"/>
      <c r="P69" s="62"/>
      <c r="R69" s="47">
        <f t="shared" si="1"/>
        <v>0</v>
      </c>
      <c r="S69" s="47" t="str">
        <f t="shared" si="2"/>
        <v>0;</v>
      </c>
    </row>
    <row r="70" spans="1:19">
      <c r="A70" s="54"/>
      <c r="B70" s="54">
        <v>67</v>
      </c>
      <c r="C70" s="65"/>
      <c r="D70" s="88"/>
      <c r="E70" s="66"/>
      <c r="F70" s="66"/>
      <c r="G70" s="174">
        <f t="shared" si="3"/>
        <v>0</v>
      </c>
      <c r="H70" s="84"/>
      <c r="I70" s="79"/>
      <c r="J70" s="79"/>
      <c r="K70" s="67"/>
      <c r="L70" s="81"/>
      <c r="M70" s="91"/>
      <c r="N70" s="44"/>
      <c r="O70" s="62"/>
      <c r="P70" s="62"/>
      <c r="R70" s="47">
        <f t="shared" si="1"/>
        <v>0</v>
      </c>
      <c r="S70" s="47" t="str">
        <f t="shared" si="2"/>
        <v>0;</v>
      </c>
    </row>
    <row r="71" spans="1:19">
      <c r="A71" s="54"/>
      <c r="B71" s="54">
        <v>68</v>
      </c>
      <c r="C71" s="65"/>
      <c r="D71" s="89"/>
      <c r="E71" s="66"/>
      <c r="F71" s="66"/>
      <c r="G71" s="174">
        <f t="shared" si="3"/>
        <v>0</v>
      </c>
      <c r="H71" s="84"/>
      <c r="I71" s="79"/>
      <c r="J71" s="79"/>
      <c r="K71" s="67"/>
      <c r="L71" s="81"/>
      <c r="M71" s="91"/>
      <c r="N71" s="44"/>
      <c r="O71" s="62"/>
      <c r="P71" s="62"/>
      <c r="R71" s="47">
        <f t="shared" si="1"/>
        <v>0</v>
      </c>
      <c r="S71" s="47" t="str">
        <f t="shared" si="2"/>
        <v>0;</v>
      </c>
    </row>
    <row r="72" spans="1:19">
      <c r="A72" s="54"/>
      <c r="B72" s="54">
        <v>69</v>
      </c>
      <c r="C72" s="65"/>
      <c r="D72" s="90"/>
      <c r="E72" s="66"/>
      <c r="F72" s="66"/>
      <c r="G72" s="174">
        <f t="shared" si="3"/>
        <v>0</v>
      </c>
      <c r="H72" s="84"/>
      <c r="I72" s="79"/>
      <c r="J72" s="79"/>
      <c r="K72" s="67"/>
      <c r="L72" s="81"/>
      <c r="M72" s="91"/>
      <c r="N72" s="44"/>
      <c r="O72" s="62"/>
      <c r="P72" s="62"/>
      <c r="R72" s="47">
        <f t="shared" si="1"/>
        <v>0</v>
      </c>
      <c r="S72" s="47" t="str">
        <f t="shared" si="2"/>
        <v>0;</v>
      </c>
    </row>
    <row r="73" spans="1:19">
      <c r="A73" s="54"/>
      <c r="B73" s="54">
        <v>70</v>
      </c>
      <c r="C73" s="65"/>
      <c r="D73" s="88"/>
      <c r="E73" s="66"/>
      <c r="F73" s="66"/>
      <c r="G73" s="174">
        <f t="shared" si="3"/>
        <v>0</v>
      </c>
      <c r="H73" s="84"/>
      <c r="I73" s="79"/>
      <c r="J73" s="79"/>
      <c r="K73" s="67"/>
      <c r="L73" s="81"/>
      <c r="M73" s="91"/>
      <c r="N73" s="44"/>
      <c r="O73" s="62"/>
      <c r="P73" s="62"/>
      <c r="R73" s="47">
        <f t="shared" si="1"/>
        <v>0</v>
      </c>
      <c r="S73" s="47" t="str">
        <f t="shared" si="2"/>
        <v>0;</v>
      </c>
    </row>
    <row r="74" spans="1:19">
      <c r="A74" s="54"/>
      <c r="B74" s="54">
        <v>71</v>
      </c>
      <c r="C74" s="65"/>
      <c r="D74" s="89"/>
      <c r="E74" s="66"/>
      <c r="F74" s="66"/>
      <c r="G74" s="174">
        <f t="shared" si="3"/>
        <v>0</v>
      </c>
      <c r="H74" s="84"/>
      <c r="I74" s="79"/>
      <c r="J74" s="79"/>
      <c r="K74" s="67"/>
      <c r="L74" s="81"/>
      <c r="M74" s="91"/>
      <c r="N74" s="44"/>
      <c r="O74" s="62"/>
      <c r="P74" s="62"/>
      <c r="R74" s="47">
        <f t="shared" si="1"/>
        <v>0</v>
      </c>
      <c r="S74" s="47" t="str">
        <f t="shared" si="2"/>
        <v>0;</v>
      </c>
    </row>
    <row r="75" spans="1:19">
      <c r="A75" s="54"/>
      <c r="B75" s="54">
        <v>72</v>
      </c>
      <c r="C75" s="65"/>
      <c r="D75" s="90"/>
      <c r="E75" s="66"/>
      <c r="F75" s="66"/>
      <c r="G75" s="174">
        <f t="shared" si="3"/>
        <v>0</v>
      </c>
      <c r="H75" s="84"/>
      <c r="I75" s="79"/>
      <c r="J75" s="79"/>
      <c r="K75" s="67"/>
      <c r="L75" s="81"/>
      <c r="M75" s="91"/>
      <c r="N75" s="44"/>
      <c r="O75" s="62"/>
      <c r="P75" s="62"/>
      <c r="R75" s="47">
        <f t="shared" ref="R75:R138" si="5">H77</f>
        <v>0</v>
      </c>
      <c r="S75" s="47" t="str">
        <f t="shared" ref="S75:S138" si="6">CONCATENATE(R75,$R$3)</f>
        <v>0;</v>
      </c>
    </row>
    <row r="76" spans="1:19">
      <c r="A76" s="54"/>
      <c r="B76" s="54">
        <v>73</v>
      </c>
      <c r="C76" s="65"/>
      <c r="D76" s="88"/>
      <c r="E76" s="66"/>
      <c r="F76" s="66"/>
      <c r="G76" s="174">
        <f t="shared" si="3"/>
        <v>0</v>
      </c>
      <c r="H76" s="84"/>
      <c r="I76" s="79"/>
      <c r="J76" s="79"/>
      <c r="K76" s="67"/>
      <c r="L76" s="81"/>
      <c r="M76" s="91"/>
      <c r="N76" s="44"/>
      <c r="O76" s="62"/>
      <c r="P76" s="62"/>
      <c r="R76" s="47">
        <f t="shared" si="5"/>
        <v>0</v>
      </c>
      <c r="S76" s="47" t="str">
        <f t="shared" si="6"/>
        <v>0;</v>
      </c>
    </row>
    <row r="77" spans="1:19">
      <c r="A77" s="54"/>
      <c r="B77" s="54">
        <v>74</v>
      </c>
      <c r="C77" s="65"/>
      <c r="D77" s="89"/>
      <c r="E77" s="66"/>
      <c r="F77" s="66"/>
      <c r="G77" s="174">
        <f t="shared" ref="G77:G140" si="7">F77-E77</f>
        <v>0</v>
      </c>
      <c r="H77" s="84"/>
      <c r="I77" s="79"/>
      <c r="J77" s="79"/>
      <c r="K77" s="67"/>
      <c r="L77" s="81"/>
      <c r="M77" s="91"/>
      <c r="N77" s="44"/>
      <c r="O77" s="62"/>
      <c r="P77" s="62"/>
      <c r="R77" s="47">
        <f t="shared" si="5"/>
        <v>0</v>
      </c>
      <c r="S77" s="47" t="str">
        <f t="shared" si="6"/>
        <v>0;</v>
      </c>
    </row>
    <row r="78" spans="1:19">
      <c r="A78" s="54"/>
      <c r="B78" s="54">
        <v>75</v>
      </c>
      <c r="C78" s="65"/>
      <c r="D78" s="90"/>
      <c r="E78" s="66"/>
      <c r="F78" s="66"/>
      <c r="G78" s="174">
        <f t="shared" si="7"/>
        <v>0</v>
      </c>
      <c r="H78" s="84"/>
      <c r="I78" s="79"/>
      <c r="J78" s="79"/>
      <c r="K78" s="67"/>
      <c r="L78" s="81"/>
      <c r="M78" s="91"/>
      <c r="N78" s="44"/>
      <c r="O78" s="62"/>
      <c r="P78" s="62"/>
      <c r="R78" s="47">
        <f t="shared" si="5"/>
        <v>0</v>
      </c>
      <c r="S78" s="47" t="str">
        <f t="shared" si="6"/>
        <v>0;</v>
      </c>
    </row>
    <row r="79" spans="1:19">
      <c r="A79" s="54"/>
      <c r="B79" s="54">
        <v>76</v>
      </c>
      <c r="C79" s="65"/>
      <c r="D79" s="88"/>
      <c r="E79" s="66"/>
      <c r="F79" s="66"/>
      <c r="G79" s="174">
        <f t="shared" si="7"/>
        <v>0</v>
      </c>
      <c r="H79" s="84"/>
      <c r="I79" s="79"/>
      <c r="J79" s="79"/>
      <c r="K79" s="67"/>
      <c r="L79" s="81"/>
      <c r="M79" s="91"/>
      <c r="N79" s="44"/>
      <c r="O79" s="62"/>
      <c r="P79" s="62"/>
      <c r="R79" s="47">
        <f t="shared" si="5"/>
        <v>0</v>
      </c>
      <c r="S79" s="47" t="str">
        <f t="shared" si="6"/>
        <v>0;</v>
      </c>
    </row>
    <row r="80" spans="1:19">
      <c r="A80" s="54"/>
      <c r="B80" s="54">
        <v>77</v>
      </c>
      <c r="C80" s="65"/>
      <c r="D80" s="89"/>
      <c r="E80" s="66"/>
      <c r="F80" s="66"/>
      <c r="G80" s="174">
        <f t="shared" si="7"/>
        <v>0</v>
      </c>
      <c r="H80" s="84"/>
      <c r="I80" s="79"/>
      <c r="J80" s="79"/>
      <c r="K80" s="67"/>
      <c r="L80" s="81"/>
      <c r="M80" s="91"/>
      <c r="N80" s="44"/>
      <c r="O80" s="62"/>
      <c r="P80" s="62"/>
      <c r="R80" s="47">
        <f t="shared" si="5"/>
        <v>0</v>
      </c>
      <c r="S80" s="47" t="str">
        <f t="shared" si="6"/>
        <v>0;</v>
      </c>
    </row>
    <row r="81" spans="1:19">
      <c r="A81" s="54"/>
      <c r="B81" s="54">
        <v>78</v>
      </c>
      <c r="C81" s="65"/>
      <c r="D81" s="90"/>
      <c r="E81" s="66"/>
      <c r="F81" s="66"/>
      <c r="G81" s="174">
        <f t="shared" si="7"/>
        <v>0</v>
      </c>
      <c r="H81" s="84"/>
      <c r="I81" s="79"/>
      <c r="J81" s="79"/>
      <c r="K81" s="67"/>
      <c r="L81" s="81"/>
      <c r="M81" s="91"/>
      <c r="N81" s="44"/>
      <c r="O81" s="62"/>
      <c r="P81" s="62"/>
      <c r="R81" s="47">
        <f t="shared" si="5"/>
        <v>0</v>
      </c>
      <c r="S81" s="47" t="str">
        <f t="shared" si="6"/>
        <v>0;</v>
      </c>
    </row>
    <row r="82" spans="1:19">
      <c r="A82" s="54"/>
      <c r="B82" s="54">
        <v>79</v>
      </c>
      <c r="C82" s="65"/>
      <c r="D82" s="88"/>
      <c r="E82" s="66"/>
      <c r="F82" s="66"/>
      <c r="G82" s="174">
        <f t="shared" si="7"/>
        <v>0</v>
      </c>
      <c r="H82" s="84"/>
      <c r="I82" s="79"/>
      <c r="J82" s="79"/>
      <c r="K82" s="67"/>
      <c r="L82" s="81"/>
      <c r="M82" s="91"/>
      <c r="N82" s="44"/>
      <c r="O82" s="62"/>
      <c r="P82" s="62"/>
      <c r="R82" s="47">
        <f t="shared" si="5"/>
        <v>0</v>
      </c>
      <c r="S82" s="47" t="str">
        <f t="shared" si="6"/>
        <v>0;</v>
      </c>
    </row>
    <row r="83" spans="1:19">
      <c r="A83" s="54"/>
      <c r="B83" s="54">
        <v>80</v>
      </c>
      <c r="C83" s="65"/>
      <c r="D83" s="89"/>
      <c r="E83" s="66"/>
      <c r="F83" s="66"/>
      <c r="G83" s="174">
        <f t="shared" si="7"/>
        <v>0</v>
      </c>
      <c r="H83" s="84"/>
      <c r="I83" s="79"/>
      <c r="J83" s="79"/>
      <c r="K83" s="67"/>
      <c r="L83" s="81"/>
      <c r="M83" s="91"/>
      <c r="N83" s="44"/>
      <c r="O83" s="62"/>
      <c r="P83" s="62"/>
      <c r="R83" s="47">
        <f t="shared" si="5"/>
        <v>0</v>
      </c>
      <c r="S83" s="47" t="str">
        <f t="shared" si="6"/>
        <v>0;</v>
      </c>
    </row>
    <row r="84" spans="1:19">
      <c r="A84" s="54"/>
      <c r="B84" s="54">
        <v>81</v>
      </c>
      <c r="C84" s="65"/>
      <c r="D84" s="90"/>
      <c r="E84" s="66"/>
      <c r="F84" s="66"/>
      <c r="G84" s="174">
        <f t="shared" si="7"/>
        <v>0</v>
      </c>
      <c r="H84" s="84"/>
      <c r="I84" s="79"/>
      <c r="J84" s="79"/>
      <c r="K84" s="67"/>
      <c r="L84" s="81"/>
      <c r="M84" s="91"/>
      <c r="N84" s="44"/>
      <c r="O84" s="62"/>
      <c r="P84" s="62"/>
      <c r="R84" s="47">
        <f t="shared" si="5"/>
        <v>0</v>
      </c>
      <c r="S84" s="47" t="str">
        <f t="shared" si="6"/>
        <v>0;</v>
      </c>
    </row>
    <row r="85" spans="1:19">
      <c r="A85" s="54"/>
      <c r="B85" s="54">
        <v>82</v>
      </c>
      <c r="C85" s="65"/>
      <c r="D85" s="88"/>
      <c r="E85" s="66"/>
      <c r="F85" s="66"/>
      <c r="G85" s="174">
        <f t="shared" si="7"/>
        <v>0</v>
      </c>
      <c r="H85" s="84"/>
      <c r="I85" s="79"/>
      <c r="J85" s="79"/>
      <c r="K85" s="67"/>
      <c r="L85" s="81"/>
      <c r="M85" s="91"/>
      <c r="N85" s="44"/>
      <c r="O85" s="62"/>
      <c r="P85" s="62"/>
      <c r="R85" s="47">
        <f t="shared" si="5"/>
        <v>0</v>
      </c>
      <c r="S85" s="47" t="str">
        <f t="shared" si="6"/>
        <v>0;</v>
      </c>
    </row>
    <row r="86" spans="1:19">
      <c r="A86" s="54"/>
      <c r="B86" s="54">
        <v>83</v>
      </c>
      <c r="C86" s="65"/>
      <c r="D86" s="89"/>
      <c r="E86" s="66"/>
      <c r="F86" s="66"/>
      <c r="G86" s="174">
        <f t="shared" si="7"/>
        <v>0</v>
      </c>
      <c r="H86" s="84"/>
      <c r="I86" s="79"/>
      <c r="J86" s="79"/>
      <c r="K86" s="67"/>
      <c r="L86" s="81"/>
      <c r="M86" s="91"/>
      <c r="N86" s="44"/>
      <c r="O86" s="62"/>
      <c r="P86" s="62"/>
      <c r="R86" s="47">
        <f t="shared" si="5"/>
        <v>0</v>
      </c>
      <c r="S86" s="47" t="str">
        <f t="shared" si="6"/>
        <v>0;</v>
      </c>
    </row>
    <row r="87" spans="1:19">
      <c r="A87" s="54"/>
      <c r="B87" s="54">
        <v>84</v>
      </c>
      <c r="C87" s="65"/>
      <c r="D87" s="90"/>
      <c r="E87" s="66"/>
      <c r="F87" s="66"/>
      <c r="G87" s="174">
        <f t="shared" si="7"/>
        <v>0</v>
      </c>
      <c r="H87" s="84"/>
      <c r="I87" s="79"/>
      <c r="J87" s="79"/>
      <c r="K87" s="67"/>
      <c r="L87" s="81"/>
      <c r="M87" s="91"/>
      <c r="N87" s="44"/>
      <c r="O87" s="62"/>
      <c r="P87" s="62"/>
      <c r="R87" s="47">
        <f t="shared" si="5"/>
        <v>0</v>
      </c>
      <c r="S87" s="47" t="str">
        <f t="shared" si="6"/>
        <v>0;</v>
      </c>
    </row>
    <row r="88" spans="1:19">
      <c r="A88" s="54"/>
      <c r="B88" s="54">
        <v>85</v>
      </c>
      <c r="C88" s="65"/>
      <c r="D88" s="88"/>
      <c r="E88" s="66"/>
      <c r="F88" s="66"/>
      <c r="G88" s="174">
        <f t="shared" si="7"/>
        <v>0</v>
      </c>
      <c r="H88" s="84"/>
      <c r="I88" s="79"/>
      <c r="J88" s="79"/>
      <c r="K88" s="67"/>
      <c r="L88" s="81"/>
      <c r="M88" s="91"/>
      <c r="N88" s="44"/>
      <c r="O88" s="62"/>
      <c r="P88" s="62"/>
      <c r="R88" s="47">
        <f t="shared" si="5"/>
        <v>0</v>
      </c>
      <c r="S88" s="47" t="str">
        <f t="shared" si="6"/>
        <v>0;</v>
      </c>
    </row>
    <row r="89" spans="1:19">
      <c r="A89" s="54"/>
      <c r="B89" s="54">
        <v>86</v>
      </c>
      <c r="C89" s="65"/>
      <c r="D89" s="89"/>
      <c r="E89" s="66"/>
      <c r="F89" s="66"/>
      <c r="G89" s="174">
        <f t="shared" si="7"/>
        <v>0</v>
      </c>
      <c r="H89" s="84"/>
      <c r="I89" s="79"/>
      <c r="J89" s="79"/>
      <c r="K89" s="67"/>
      <c r="L89" s="81"/>
      <c r="M89" s="91"/>
      <c r="N89" s="44"/>
      <c r="O89" s="62"/>
      <c r="P89" s="62"/>
      <c r="R89" s="47">
        <f t="shared" si="5"/>
        <v>0</v>
      </c>
      <c r="S89" s="47" t="str">
        <f t="shared" si="6"/>
        <v>0;</v>
      </c>
    </row>
    <row r="90" spans="1:19">
      <c r="A90" s="54"/>
      <c r="B90" s="54">
        <v>87</v>
      </c>
      <c r="C90" s="65"/>
      <c r="D90" s="90"/>
      <c r="E90" s="66"/>
      <c r="F90" s="66"/>
      <c r="G90" s="174">
        <f t="shared" si="7"/>
        <v>0</v>
      </c>
      <c r="H90" s="84"/>
      <c r="I90" s="79"/>
      <c r="J90" s="79"/>
      <c r="K90" s="67"/>
      <c r="L90" s="81"/>
      <c r="M90" s="91"/>
      <c r="N90" s="44"/>
      <c r="O90" s="62"/>
      <c r="P90" s="62"/>
      <c r="R90" s="47">
        <f t="shared" si="5"/>
        <v>0</v>
      </c>
      <c r="S90" s="47" t="str">
        <f t="shared" si="6"/>
        <v>0;</v>
      </c>
    </row>
    <row r="91" spans="1:19">
      <c r="A91" s="54"/>
      <c r="B91" s="54">
        <v>88</v>
      </c>
      <c r="C91" s="65"/>
      <c r="D91" s="88"/>
      <c r="E91" s="66"/>
      <c r="F91" s="66"/>
      <c r="G91" s="174">
        <f t="shared" si="7"/>
        <v>0</v>
      </c>
      <c r="H91" s="84"/>
      <c r="I91" s="79"/>
      <c r="J91" s="79"/>
      <c r="K91" s="67"/>
      <c r="L91" s="81"/>
      <c r="M91" s="91"/>
      <c r="N91" s="44"/>
      <c r="O91" s="62"/>
      <c r="P91" s="62"/>
      <c r="R91" s="47">
        <f t="shared" si="5"/>
        <v>0</v>
      </c>
      <c r="S91" s="47" t="str">
        <f t="shared" si="6"/>
        <v>0;</v>
      </c>
    </row>
    <row r="92" spans="1:19">
      <c r="A92" s="54"/>
      <c r="B92" s="54">
        <v>89</v>
      </c>
      <c r="C92" s="65"/>
      <c r="D92" s="89"/>
      <c r="E92" s="66"/>
      <c r="F92" s="66"/>
      <c r="G92" s="174">
        <f t="shared" si="7"/>
        <v>0</v>
      </c>
      <c r="H92" s="84"/>
      <c r="I92" s="79"/>
      <c r="J92" s="79"/>
      <c r="K92" s="67"/>
      <c r="L92" s="81"/>
      <c r="M92" s="91"/>
      <c r="N92" s="44"/>
      <c r="O92" s="62"/>
      <c r="P92" s="62"/>
      <c r="R92" s="47">
        <f t="shared" si="5"/>
        <v>0</v>
      </c>
      <c r="S92" s="47" t="str">
        <f t="shared" si="6"/>
        <v>0;</v>
      </c>
    </row>
    <row r="93" spans="1:19">
      <c r="A93" s="54"/>
      <c r="B93" s="54">
        <v>90</v>
      </c>
      <c r="C93" s="65"/>
      <c r="D93" s="90"/>
      <c r="E93" s="66"/>
      <c r="F93" s="66"/>
      <c r="G93" s="174">
        <f t="shared" si="7"/>
        <v>0</v>
      </c>
      <c r="H93" s="84"/>
      <c r="I93" s="79"/>
      <c r="J93" s="79"/>
      <c r="K93" s="67"/>
      <c r="L93" s="81"/>
      <c r="M93" s="91"/>
      <c r="N93" s="44"/>
      <c r="O93" s="62"/>
      <c r="P93" s="62"/>
      <c r="R93" s="47">
        <f t="shared" si="5"/>
        <v>0</v>
      </c>
      <c r="S93" s="47" t="str">
        <f t="shared" si="6"/>
        <v>0;</v>
      </c>
    </row>
    <row r="94" spans="1:19">
      <c r="A94" s="54"/>
      <c r="B94" s="54">
        <v>91</v>
      </c>
      <c r="C94" s="65"/>
      <c r="D94" s="88"/>
      <c r="E94" s="66"/>
      <c r="F94" s="66"/>
      <c r="G94" s="174">
        <f t="shared" si="7"/>
        <v>0</v>
      </c>
      <c r="H94" s="84"/>
      <c r="I94" s="79"/>
      <c r="J94" s="79"/>
      <c r="K94" s="67"/>
      <c r="L94" s="81"/>
      <c r="M94" s="91"/>
      <c r="N94" s="44"/>
      <c r="O94" s="62"/>
      <c r="P94" s="62"/>
      <c r="R94" s="47">
        <f t="shared" si="5"/>
        <v>0</v>
      </c>
      <c r="S94" s="47" t="str">
        <f t="shared" si="6"/>
        <v>0;</v>
      </c>
    </row>
    <row r="95" spans="1:19">
      <c r="A95" s="54"/>
      <c r="B95" s="54">
        <v>92</v>
      </c>
      <c r="C95" s="65"/>
      <c r="D95" s="89"/>
      <c r="E95" s="66"/>
      <c r="F95" s="66"/>
      <c r="G95" s="174">
        <f t="shared" si="7"/>
        <v>0</v>
      </c>
      <c r="H95" s="84"/>
      <c r="I95" s="79"/>
      <c r="J95" s="79"/>
      <c r="K95" s="67"/>
      <c r="L95" s="81"/>
      <c r="M95" s="91"/>
      <c r="N95" s="44"/>
      <c r="O95" s="62"/>
      <c r="P95" s="62"/>
      <c r="R95" s="47">
        <f t="shared" si="5"/>
        <v>0</v>
      </c>
      <c r="S95" s="47" t="str">
        <f t="shared" si="6"/>
        <v>0;</v>
      </c>
    </row>
    <row r="96" spans="1:19">
      <c r="A96" s="54"/>
      <c r="B96" s="54">
        <v>93</v>
      </c>
      <c r="C96" s="65"/>
      <c r="D96" s="90"/>
      <c r="E96" s="66"/>
      <c r="F96" s="66"/>
      <c r="G96" s="174">
        <f t="shared" si="7"/>
        <v>0</v>
      </c>
      <c r="H96" s="84"/>
      <c r="I96" s="79"/>
      <c r="J96" s="79"/>
      <c r="K96" s="67"/>
      <c r="L96" s="81"/>
      <c r="M96" s="91"/>
      <c r="N96" s="44"/>
      <c r="O96" s="62"/>
      <c r="P96" s="62"/>
      <c r="R96" s="47">
        <f t="shared" si="5"/>
        <v>0</v>
      </c>
      <c r="S96" s="47" t="str">
        <f t="shared" si="6"/>
        <v>0;</v>
      </c>
    </row>
    <row r="97" spans="1:19">
      <c r="A97" s="54"/>
      <c r="B97" s="54">
        <v>94</v>
      </c>
      <c r="C97" s="65"/>
      <c r="D97" s="88"/>
      <c r="E97" s="66"/>
      <c r="F97" s="66"/>
      <c r="G97" s="174">
        <f t="shared" si="7"/>
        <v>0</v>
      </c>
      <c r="H97" s="84"/>
      <c r="I97" s="79"/>
      <c r="J97" s="79"/>
      <c r="K97" s="67"/>
      <c r="L97" s="81"/>
      <c r="M97" s="91"/>
      <c r="N97" s="44"/>
      <c r="O97" s="62"/>
      <c r="P97" s="62"/>
      <c r="R97" s="47">
        <f t="shared" si="5"/>
        <v>0</v>
      </c>
      <c r="S97" s="47" t="str">
        <f t="shared" si="6"/>
        <v>0;</v>
      </c>
    </row>
    <row r="98" spans="1:19">
      <c r="A98" s="54"/>
      <c r="B98" s="54">
        <v>95</v>
      </c>
      <c r="C98" s="65"/>
      <c r="D98" s="89"/>
      <c r="E98" s="66"/>
      <c r="F98" s="66"/>
      <c r="G98" s="174">
        <f t="shared" si="7"/>
        <v>0</v>
      </c>
      <c r="H98" s="84"/>
      <c r="I98" s="79"/>
      <c r="J98" s="79"/>
      <c r="K98" s="67"/>
      <c r="L98" s="81"/>
      <c r="M98" s="91"/>
      <c r="N98" s="44"/>
      <c r="O98" s="62"/>
      <c r="P98" s="62"/>
      <c r="R98" s="47">
        <f t="shared" si="5"/>
        <v>0</v>
      </c>
      <c r="S98" s="47" t="str">
        <f t="shared" si="6"/>
        <v>0;</v>
      </c>
    </row>
    <row r="99" spans="1:19">
      <c r="A99" s="54"/>
      <c r="B99" s="54">
        <v>96</v>
      </c>
      <c r="C99" s="65"/>
      <c r="D99" s="90"/>
      <c r="E99" s="66"/>
      <c r="F99" s="66"/>
      <c r="G99" s="174">
        <f t="shared" si="7"/>
        <v>0</v>
      </c>
      <c r="H99" s="84"/>
      <c r="I99" s="79"/>
      <c r="J99" s="79"/>
      <c r="K99" s="67"/>
      <c r="L99" s="81"/>
      <c r="M99" s="91"/>
      <c r="N99" s="44"/>
      <c r="O99" s="62"/>
      <c r="P99" s="62"/>
      <c r="R99" s="47">
        <f t="shared" si="5"/>
        <v>0</v>
      </c>
      <c r="S99" s="47" t="str">
        <f t="shared" si="6"/>
        <v>0;</v>
      </c>
    </row>
    <row r="100" spans="1:19">
      <c r="A100" s="54"/>
      <c r="B100" s="54">
        <v>97</v>
      </c>
      <c r="C100" s="65"/>
      <c r="D100" s="88"/>
      <c r="E100" s="66"/>
      <c r="F100" s="66"/>
      <c r="G100" s="174">
        <f t="shared" si="7"/>
        <v>0</v>
      </c>
      <c r="H100" s="84"/>
      <c r="I100" s="79"/>
      <c r="J100" s="79"/>
      <c r="K100" s="67"/>
      <c r="L100" s="81"/>
      <c r="M100" s="91"/>
      <c r="N100" s="44"/>
      <c r="O100" s="62"/>
      <c r="P100" s="62"/>
      <c r="R100" s="47">
        <f t="shared" si="5"/>
        <v>0</v>
      </c>
      <c r="S100" s="47" t="str">
        <f t="shared" si="6"/>
        <v>0;</v>
      </c>
    </row>
    <row r="101" spans="1:19">
      <c r="A101" s="54"/>
      <c r="B101" s="54">
        <v>98</v>
      </c>
      <c r="C101" s="65"/>
      <c r="D101" s="89"/>
      <c r="E101" s="66"/>
      <c r="F101" s="66"/>
      <c r="G101" s="174">
        <f t="shared" si="7"/>
        <v>0</v>
      </c>
      <c r="H101" s="84"/>
      <c r="I101" s="79"/>
      <c r="J101" s="79"/>
      <c r="K101" s="67"/>
      <c r="L101" s="81"/>
      <c r="M101" s="91"/>
      <c r="N101" s="44"/>
      <c r="O101" s="62"/>
      <c r="P101" s="62"/>
      <c r="R101" s="47">
        <f t="shared" si="5"/>
        <v>0</v>
      </c>
      <c r="S101" s="47" t="str">
        <f t="shared" si="6"/>
        <v>0;</v>
      </c>
    </row>
    <row r="102" spans="1:19">
      <c r="A102" s="54"/>
      <c r="B102" s="54">
        <v>99</v>
      </c>
      <c r="C102" s="65"/>
      <c r="D102" s="90"/>
      <c r="E102" s="66"/>
      <c r="F102" s="66"/>
      <c r="G102" s="174">
        <f t="shared" si="7"/>
        <v>0</v>
      </c>
      <c r="H102" s="84"/>
      <c r="I102" s="79"/>
      <c r="J102" s="79"/>
      <c r="K102" s="67"/>
      <c r="L102" s="81"/>
      <c r="M102" s="91"/>
      <c r="N102" s="44"/>
      <c r="O102" s="62"/>
      <c r="P102" s="62"/>
      <c r="R102" s="47">
        <f t="shared" si="5"/>
        <v>0</v>
      </c>
      <c r="S102" s="47" t="str">
        <f t="shared" si="6"/>
        <v>0;</v>
      </c>
    </row>
    <row r="103" spans="1:19">
      <c r="A103" s="54"/>
      <c r="B103" s="54">
        <v>100</v>
      </c>
      <c r="C103" s="65"/>
      <c r="D103" s="88"/>
      <c r="E103" s="66"/>
      <c r="F103" s="66"/>
      <c r="G103" s="174">
        <f t="shared" si="7"/>
        <v>0</v>
      </c>
      <c r="H103" s="84"/>
      <c r="I103" s="79"/>
      <c r="J103" s="79"/>
      <c r="K103" s="67"/>
      <c r="L103" s="81"/>
      <c r="M103" s="91"/>
      <c r="N103" s="44"/>
      <c r="R103" s="47">
        <f t="shared" si="5"/>
        <v>0</v>
      </c>
      <c r="S103" s="47" t="str">
        <f t="shared" si="6"/>
        <v>0;</v>
      </c>
    </row>
    <row r="104" spans="1:19">
      <c r="A104" s="54"/>
      <c r="B104" s="54">
        <v>101</v>
      </c>
      <c r="C104" s="65"/>
      <c r="D104" s="89"/>
      <c r="E104" s="66"/>
      <c r="F104" s="66"/>
      <c r="G104" s="174">
        <f t="shared" si="7"/>
        <v>0</v>
      </c>
      <c r="H104" s="84"/>
      <c r="I104" s="79"/>
      <c r="J104" s="79"/>
      <c r="K104" s="67"/>
      <c r="L104" s="81"/>
      <c r="M104" s="91"/>
      <c r="N104" s="44"/>
      <c r="R104" s="47">
        <f t="shared" si="5"/>
        <v>0</v>
      </c>
      <c r="S104" s="47" t="str">
        <f t="shared" si="6"/>
        <v>0;</v>
      </c>
    </row>
    <row r="105" spans="1:19">
      <c r="A105" s="54"/>
      <c r="B105" s="54">
        <v>102</v>
      </c>
      <c r="C105" s="65"/>
      <c r="D105" s="90"/>
      <c r="E105" s="66"/>
      <c r="F105" s="66"/>
      <c r="G105" s="174">
        <f t="shared" si="7"/>
        <v>0</v>
      </c>
      <c r="H105" s="84"/>
      <c r="I105" s="79"/>
      <c r="J105" s="79"/>
      <c r="K105" s="67"/>
      <c r="L105" s="81"/>
      <c r="M105" s="91"/>
      <c r="N105" s="44"/>
      <c r="R105" s="47">
        <f t="shared" si="5"/>
        <v>0</v>
      </c>
      <c r="S105" s="47" t="str">
        <f t="shared" si="6"/>
        <v>0;</v>
      </c>
    </row>
    <row r="106" spans="1:19">
      <c r="A106" s="54"/>
      <c r="B106" s="54">
        <v>103</v>
      </c>
      <c r="C106" s="65"/>
      <c r="D106" s="88"/>
      <c r="E106" s="66"/>
      <c r="F106" s="66"/>
      <c r="G106" s="174">
        <f t="shared" si="7"/>
        <v>0</v>
      </c>
      <c r="H106" s="84"/>
      <c r="I106" s="79"/>
      <c r="J106" s="79"/>
      <c r="K106" s="67"/>
      <c r="L106" s="81"/>
      <c r="M106" s="91"/>
      <c r="N106" s="44"/>
      <c r="R106" s="47">
        <f t="shared" si="5"/>
        <v>0</v>
      </c>
      <c r="S106" s="47" t="str">
        <f t="shared" si="6"/>
        <v>0;</v>
      </c>
    </row>
    <row r="107" spans="1:19">
      <c r="A107" s="54"/>
      <c r="B107" s="54">
        <v>104</v>
      </c>
      <c r="C107" s="65"/>
      <c r="D107" s="89"/>
      <c r="E107" s="66"/>
      <c r="F107" s="66"/>
      <c r="G107" s="174">
        <f t="shared" si="7"/>
        <v>0</v>
      </c>
      <c r="H107" s="84"/>
      <c r="I107" s="79"/>
      <c r="J107" s="79"/>
      <c r="K107" s="67"/>
      <c r="L107" s="81"/>
      <c r="M107" s="91"/>
      <c r="N107" s="44"/>
      <c r="R107" s="47">
        <f t="shared" si="5"/>
        <v>0</v>
      </c>
      <c r="S107" s="47" t="str">
        <f t="shared" si="6"/>
        <v>0;</v>
      </c>
    </row>
    <row r="108" spans="1:19">
      <c r="A108" s="54"/>
      <c r="B108" s="54">
        <v>105</v>
      </c>
      <c r="C108" s="65"/>
      <c r="D108" s="90"/>
      <c r="E108" s="66"/>
      <c r="F108" s="66"/>
      <c r="G108" s="174">
        <f t="shared" si="7"/>
        <v>0</v>
      </c>
      <c r="H108" s="84"/>
      <c r="I108" s="79"/>
      <c r="J108" s="79"/>
      <c r="K108" s="67"/>
      <c r="L108" s="81"/>
      <c r="M108" s="91"/>
      <c r="N108" s="44"/>
      <c r="R108" s="47">
        <f t="shared" si="5"/>
        <v>0</v>
      </c>
      <c r="S108" s="47" t="str">
        <f t="shared" si="6"/>
        <v>0;</v>
      </c>
    </row>
    <row r="109" spans="1:19">
      <c r="A109" s="54"/>
      <c r="B109" s="54">
        <v>106</v>
      </c>
      <c r="C109" s="65"/>
      <c r="D109" s="88"/>
      <c r="E109" s="66"/>
      <c r="F109" s="66"/>
      <c r="G109" s="174">
        <f t="shared" si="7"/>
        <v>0</v>
      </c>
      <c r="H109" s="84"/>
      <c r="I109" s="79"/>
      <c r="J109" s="79"/>
      <c r="K109" s="67"/>
      <c r="L109" s="81"/>
      <c r="M109" s="91"/>
      <c r="N109" s="44"/>
      <c r="R109" s="47">
        <f t="shared" si="5"/>
        <v>0</v>
      </c>
      <c r="S109" s="47" t="str">
        <f t="shared" si="6"/>
        <v>0;</v>
      </c>
    </row>
    <row r="110" spans="1:19">
      <c r="A110" s="54"/>
      <c r="B110" s="54">
        <v>107</v>
      </c>
      <c r="C110" s="65"/>
      <c r="D110" s="89"/>
      <c r="E110" s="66"/>
      <c r="F110" s="66"/>
      <c r="G110" s="174">
        <f t="shared" si="7"/>
        <v>0</v>
      </c>
      <c r="H110" s="84"/>
      <c r="I110" s="79"/>
      <c r="J110" s="79"/>
      <c r="K110" s="67"/>
      <c r="L110" s="81"/>
      <c r="M110" s="91"/>
      <c r="N110" s="44"/>
      <c r="R110" s="47">
        <f t="shared" si="5"/>
        <v>0</v>
      </c>
      <c r="S110" s="47" t="str">
        <f t="shared" si="6"/>
        <v>0;</v>
      </c>
    </row>
    <row r="111" spans="1:19">
      <c r="A111" s="54"/>
      <c r="B111" s="54">
        <v>108</v>
      </c>
      <c r="C111" s="65"/>
      <c r="D111" s="90"/>
      <c r="E111" s="66"/>
      <c r="F111" s="66"/>
      <c r="G111" s="174">
        <f t="shared" si="7"/>
        <v>0</v>
      </c>
      <c r="H111" s="84"/>
      <c r="I111" s="79"/>
      <c r="J111" s="79"/>
      <c r="K111" s="67"/>
      <c r="L111" s="81"/>
      <c r="M111" s="91"/>
      <c r="N111" s="44"/>
      <c r="R111" s="47">
        <f t="shared" si="5"/>
        <v>0</v>
      </c>
      <c r="S111" s="47" t="str">
        <f t="shared" si="6"/>
        <v>0;</v>
      </c>
    </row>
    <row r="112" spans="1:19">
      <c r="A112" s="54"/>
      <c r="B112" s="54">
        <v>109</v>
      </c>
      <c r="C112" s="65"/>
      <c r="D112" s="88"/>
      <c r="E112" s="66"/>
      <c r="F112" s="66"/>
      <c r="G112" s="174">
        <f t="shared" si="7"/>
        <v>0</v>
      </c>
      <c r="H112" s="84"/>
      <c r="I112" s="79"/>
      <c r="J112" s="79"/>
      <c r="K112" s="67"/>
      <c r="L112" s="81"/>
      <c r="M112" s="91"/>
      <c r="N112" s="44"/>
      <c r="R112" s="47">
        <f t="shared" si="5"/>
        <v>0</v>
      </c>
      <c r="S112" s="47" t="str">
        <f t="shared" si="6"/>
        <v>0;</v>
      </c>
    </row>
    <row r="113" spans="1:19">
      <c r="A113" s="54"/>
      <c r="B113" s="54">
        <v>110</v>
      </c>
      <c r="C113" s="65"/>
      <c r="D113" s="89"/>
      <c r="E113" s="66"/>
      <c r="F113" s="66"/>
      <c r="G113" s="174">
        <f t="shared" si="7"/>
        <v>0</v>
      </c>
      <c r="H113" s="84"/>
      <c r="I113" s="79"/>
      <c r="J113" s="79"/>
      <c r="K113" s="67"/>
      <c r="L113" s="81"/>
      <c r="M113" s="91"/>
      <c r="N113" s="44"/>
      <c r="R113" s="47">
        <f t="shared" si="5"/>
        <v>0</v>
      </c>
      <c r="S113" s="47" t="str">
        <f t="shared" si="6"/>
        <v>0;</v>
      </c>
    </row>
    <row r="114" spans="1:19">
      <c r="A114" s="54"/>
      <c r="B114" s="54">
        <v>111</v>
      </c>
      <c r="C114" s="65"/>
      <c r="D114" s="90"/>
      <c r="E114" s="66"/>
      <c r="F114" s="66"/>
      <c r="G114" s="174">
        <f t="shared" si="7"/>
        <v>0</v>
      </c>
      <c r="H114" s="84"/>
      <c r="I114" s="79"/>
      <c r="J114" s="79"/>
      <c r="K114" s="67"/>
      <c r="L114" s="81"/>
      <c r="M114" s="91"/>
      <c r="N114" s="44"/>
      <c r="R114" s="47">
        <f t="shared" si="5"/>
        <v>0</v>
      </c>
      <c r="S114" s="47" t="str">
        <f t="shared" si="6"/>
        <v>0;</v>
      </c>
    </row>
    <row r="115" spans="1:19">
      <c r="A115" s="54"/>
      <c r="B115" s="54">
        <v>112</v>
      </c>
      <c r="C115" s="65"/>
      <c r="D115" s="88"/>
      <c r="E115" s="66"/>
      <c r="F115" s="66"/>
      <c r="G115" s="174">
        <f t="shared" si="7"/>
        <v>0</v>
      </c>
      <c r="H115" s="84"/>
      <c r="I115" s="79"/>
      <c r="J115" s="79"/>
      <c r="K115" s="67"/>
      <c r="L115" s="81"/>
      <c r="M115" s="91"/>
      <c r="N115" s="44"/>
      <c r="R115" s="47">
        <f t="shared" si="5"/>
        <v>0</v>
      </c>
      <c r="S115" s="47" t="str">
        <f t="shared" si="6"/>
        <v>0;</v>
      </c>
    </row>
    <row r="116" spans="1:19">
      <c r="A116" s="54"/>
      <c r="B116" s="54">
        <v>113</v>
      </c>
      <c r="C116" s="65"/>
      <c r="D116" s="89"/>
      <c r="E116" s="66"/>
      <c r="F116" s="66"/>
      <c r="G116" s="174">
        <f t="shared" si="7"/>
        <v>0</v>
      </c>
      <c r="H116" s="84"/>
      <c r="I116" s="79"/>
      <c r="J116" s="79"/>
      <c r="K116" s="67"/>
      <c r="L116" s="81"/>
      <c r="M116" s="91"/>
      <c r="N116" s="44"/>
      <c r="R116" s="47">
        <f t="shared" si="5"/>
        <v>0</v>
      </c>
      <c r="S116" s="47" t="str">
        <f t="shared" si="6"/>
        <v>0;</v>
      </c>
    </row>
    <row r="117" spans="1:19">
      <c r="A117" s="54"/>
      <c r="B117" s="54">
        <v>114</v>
      </c>
      <c r="C117" s="65"/>
      <c r="D117" s="90"/>
      <c r="E117" s="66"/>
      <c r="F117" s="66"/>
      <c r="G117" s="174">
        <f t="shared" si="7"/>
        <v>0</v>
      </c>
      <c r="H117" s="84"/>
      <c r="I117" s="79"/>
      <c r="J117" s="79"/>
      <c r="K117" s="67"/>
      <c r="L117" s="81"/>
      <c r="M117" s="91"/>
      <c r="N117" s="44"/>
      <c r="R117" s="47">
        <f t="shared" si="5"/>
        <v>0</v>
      </c>
      <c r="S117" s="47" t="str">
        <f t="shared" si="6"/>
        <v>0;</v>
      </c>
    </row>
    <row r="118" spans="1:19">
      <c r="A118" s="54"/>
      <c r="B118" s="54">
        <v>115</v>
      </c>
      <c r="C118" s="65"/>
      <c r="D118" s="88"/>
      <c r="E118" s="66"/>
      <c r="F118" s="66"/>
      <c r="G118" s="174">
        <f t="shared" si="7"/>
        <v>0</v>
      </c>
      <c r="H118" s="84"/>
      <c r="I118" s="79"/>
      <c r="J118" s="79"/>
      <c r="K118" s="67"/>
      <c r="L118" s="81"/>
      <c r="M118" s="91"/>
      <c r="N118" s="44"/>
      <c r="R118" s="47">
        <f t="shared" si="5"/>
        <v>0</v>
      </c>
      <c r="S118" s="47" t="str">
        <f t="shared" si="6"/>
        <v>0;</v>
      </c>
    </row>
    <row r="119" spans="1:19">
      <c r="A119" s="54"/>
      <c r="B119" s="54">
        <v>116</v>
      </c>
      <c r="C119" s="65"/>
      <c r="D119" s="89"/>
      <c r="E119" s="66"/>
      <c r="F119" s="66"/>
      <c r="G119" s="174">
        <f t="shared" si="7"/>
        <v>0</v>
      </c>
      <c r="H119" s="84"/>
      <c r="I119" s="79"/>
      <c r="J119" s="79"/>
      <c r="K119" s="67"/>
      <c r="L119" s="81"/>
      <c r="M119" s="91"/>
      <c r="N119" s="44"/>
      <c r="R119" s="47">
        <f t="shared" si="5"/>
        <v>0</v>
      </c>
      <c r="S119" s="47" t="str">
        <f t="shared" si="6"/>
        <v>0;</v>
      </c>
    </row>
    <row r="120" spans="1:19">
      <c r="A120" s="54"/>
      <c r="B120" s="54">
        <v>117</v>
      </c>
      <c r="C120" s="65"/>
      <c r="D120" s="88"/>
      <c r="E120" s="66"/>
      <c r="F120" s="66"/>
      <c r="G120" s="174">
        <f t="shared" si="7"/>
        <v>0</v>
      </c>
      <c r="H120" s="84"/>
      <c r="I120" s="79"/>
      <c r="J120" s="79"/>
      <c r="K120" s="67"/>
      <c r="L120" s="81"/>
      <c r="M120" s="91"/>
      <c r="N120" s="44"/>
      <c r="R120" s="47">
        <f t="shared" si="5"/>
        <v>0</v>
      </c>
      <c r="S120" s="47" t="str">
        <f t="shared" si="6"/>
        <v>0;</v>
      </c>
    </row>
    <row r="121" spans="1:19">
      <c r="A121" s="54"/>
      <c r="B121" s="54">
        <v>118</v>
      </c>
      <c r="C121" s="65"/>
      <c r="D121" s="89"/>
      <c r="E121" s="66"/>
      <c r="F121" s="66"/>
      <c r="G121" s="174">
        <f t="shared" si="7"/>
        <v>0</v>
      </c>
      <c r="H121" s="84"/>
      <c r="I121" s="79"/>
      <c r="J121" s="79"/>
      <c r="K121" s="67"/>
      <c r="L121" s="81"/>
      <c r="M121" s="91"/>
      <c r="N121" s="44"/>
      <c r="R121" s="47">
        <f t="shared" si="5"/>
        <v>0</v>
      </c>
      <c r="S121" s="47" t="str">
        <f t="shared" si="6"/>
        <v>0;</v>
      </c>
    </row>
    <row r="122" spans="1:19">
      <c r="A122" s="54"/>
      <c r="B122" s="54">
        <v>119</v>
      </c>
      <c r="C122" s="65"/>
      <c r="D122" s="88"/>
      <c r="E122" s="66"/>
      <c r="F122" s="66"/>
      <c r="G122" s="174">
        <f t="shared" si="7"/>
        <v>0</v>
      </c>
      <c r="H122" s="84"/>
      <c r="I122" s="79"/>
      <c r="J122" s="79"/>
      <c r="K122" s="67"/>
      <c r="L122" s="81"/>
      <c r="M122" s="91"/>
      <c r="N122" s="44"/>
      <c r="R122" s="47">
        <f t="shared" si="5"/>
        <v>0</v>
      </c>
      <c r="S122" s="47" t="str">
        <f t="shared" si="6"/>
        <v>0;</v>
      </c>
    </row>
    <row r="123" spans="1:19">
      <c r="A123" s="54"/>
      <c r="B123" s="54">
        <v>120</v>
      </c>
      <c r="C123" s="65"/>
      <c r="D123" s="89"/>
      <c r="E123" s="66"/>
      <c r="F123" s="66"/>
      <c r="G123" s="174">
        <f t="shared" si="7"/>
        <v>0</v>
      </c>
      <c r="H123" s="84"/>
      <c r="I123" s="79"/>
      <c r="J123" s="79"/>
      <c r="K123" s="67"/>
      <c r="L123" s="81"/>
      <c r="M123" s="91"/>
      <c r="N123" s="44"/>
      <c r="R123" s="47">
        <f t="shared" si="5"/>
        <v>0</v>
      </c>
      <c r="S123" s="47" t="str">
        <f t="shared" si="6"/>
        <v>0;</v>
      </c>
    </row>
    <row r="124" spans="1:19">
      <c r="A124" s="54"/>
      <c r="B124" s="54">
        <v>121</v>
      </c>
      <c r="C124" s="65"/>
      <c r="D124" s="67"/>
      <c r="E124" s="68"/>
      <c r="F124" s="66"/>
      <c r="G124" s="174">
        <f t="shared" si="7"/>
        <v>0</v>
      </c>
      <c r="H124" s="84"/>
      <c r="I124" s="79"/>
      <c r="J124" s="79"/>
      <c r="K124" s="67"/>
      <c r="L124" s="81"/>
      <c r="M124" s="91"/>
      <c r="N124" s="44"/>
      <c r="R124" s="47">
        <f t="shared" si="5"/>
        <v>0</v>
      </c>
      <c r="S124" s="47" t="str">
        <f t="shared" si="6"/>
        <v>0;</v>
      </c>
    </row>
    <row r="125" spans="1:19">
      <c r="A125" s="54"/>
      <c r="B125" s="54">
        <v>122</v>
      </c>
      <c r="C125" s="65"/>
      <c r="D125" s="67"/>
      <c r="E125" s="68"/>
      <c r="F125" s="68"/>
      <c r="G125" s="174">
        <f t="shared" si="7"/>
        <v>0</v>
      </c>
      <c r="H125" s="84"/>
      <c r="I125" s="79"/>
      <c r="J125" s="79"/>
      <c r="K125" s="67"/>
      <c r="L125" s="81"/>
      <c r="M125" s="91"/>
      <c r="N125" s="44"/>
      <c r="R125" s="47">
        <f t="shared" si="5"/>
        <v>0</v>
      </c>
      <c r="S125" s="47" t="str">
        <f t="shared" si="6"/>
        <v>0;</v>
      </c>
    </row>
    <row r="126" spans="1:19">
      <c r="A126" s="54"/>
      <c r="B126" s="54">
        <v>123</v>
      </c>
      <c r="C126" s="65"/>
      <c r="D126" s="67"/>
      <c r="E126" s="68"/>
      <c r="F126" s="68"/>
      <c r="G126" s="174">
        <f t="shared" si="7"/>
        <v>0</v>
      </c>
      <c r="H126" s="84"/>
      <c r="I126" s="79"/>
      <c r="J126" s="79"/>
      <c r="K126" s="67"/>
      <c r="L126" s="81"/>
      <c r="M126" s="91"/>
      <c r="N126" s="44"/>
      <c r="R126" s="47">
        <f t="shared" si="5"/>
        <v>0</v>
      </c>
      <c r="S126" s="47" t="str">
        <f t="shared" si="6"/>
        <v>0;</v>
      </c>
    </row>
    <row r="127" spans="1:19">
      <c r="A127" s="54"/>
      <c r="B127" s="54">
        <v>124</v>
      </c>
      <c r="C127" s="65"/>
      <c r="D127" s="67"/>
      <c r="E127" s="68"/>
      <c r="F127" s="68"/>
      <c r="G127" s="174">
        <f t="shared" si="7"/>
        <v>0</v>
      </c>
      <c r="H127" s="84"/>
      <c r="I127" s="79"/>
      <c r="J127" s="79"/>
      <c r="K127" s="67"/>
      <c r="L127" s="81"/>
      <c r="M127" s="91"/>
      <c r="N127" s="44"/>
      <c r="R127" s="47">
        <f t="shared" si="5"/>
        <v>0</v>
      </c>
      <c r="S127" s="47" t="str">
        <f t="shared" si="6"/>
        <v>0;</v>
      </c>
    </row>
    <row r="128" spans="1:19">
      <c r="A128" s="54"/>
      <c r="B128" s="54">
        <v>125</v>
      </c>
      <c r="C128" s="65"/>
      <c r="D128" s="67"/>
      <c r="E128" s="68"/>
      <c r="F128" s="68"/>
      <c r="G128" s="174">
        <f t="shared" si="7"/>
        <v>0</v>
      </c>
      <c r="H128" s="84"/>
      <c r="I128" s="79"/>
      <c r="J128" s="79"/>
      <c r="K128" s="67"/>
      <c r="L128" s="81"/>
      <c r="M128" s="91"/>
      <c r="N128" s="44"/>
      <c r="R128" s="47">
        <f t="shared" si="5"/>
        <v>0</v>
      </c>
      <c r="S128" s="47" t="str">
        <f t="shared" si="6"/>
        <v>0;</v>
      </c>
    </row>
    <row r="129" spans="1:19">
      <c r="A129" s="54"/>
      <c r="B129" s="54">
        <v>126</v>
      </c>
      <c r="C129" s="65"/>
      <c r="D129" s="67"/>
      <c r="E129" s="68"/>
      <c r="F129" s="68"/>
      <c r="G129" s="174">
        <f t="shared" si="7"/>
        <v>0</v>
      </c>
      <c r="H129" s="84"/>
      <c r="I129" s="79"/>
      <c r="J129" s="79"/>
      <c r="K129" s="67"/>
      <c r="L129" s="81"/>
      <c r="M129" s="91"/>
      <c r="N129" s="44"/>
      <c r="R129" s="47">
        <f t="shared" si="5"/>
        <v>0</v>
      </c>
      <c r="S129" s="47" t="str">
        <f t="shared" si="6"/>
        <v>0;</v>
      </c>
    </row>
    <row r="130" spans="1:19">
      <c r="A130" s="54"/>
      <c r="B130" s="54">
        <v>127</v>
      </c>
      <c r="C130" s="65"/>
      <c r="D130" s="67"/>
      <c r="E130" s="68"/>
      <c r="F130" s="68"/>
      <c r="G130" s="174">
        <f t="shared" si="7"/>
        <v>0</v>
      </c>
      <c r="H130" s="84"/>
      <c r="I130" s="79"/>
      <c r="J130" s="79"/>
      <c r="K130" s="67"/>
      <c r="L130" s="81"/>
      <c r="M130" s="91"/>
      <c r="N130" s="44"/>
      <c r="R130" s="47">
        <f t="shared" si="5"/>
        <v>0</v>
      </c>
      <c r="S130" s="47" t="str">
        <f t="shared" si="6"/>
        <v>0;</v>
      </c>
    </row>
    <row r="131" spans="1:19">
      <c r="A131" s="54"/>
      <c r="B131" s="54">
        <v>128</v>
      </c>
      <c r="C131" s="65"/>
      <c r="D131" s="67"/>
      <c r="E131" s="68"/>
      <c r="F131" s="68"/>
      <c r="G131" s="174">
        <f t="shared" si="7"/>
        <v>0</v>
      </c>
      <c r="H131" s="84"/>
      <c r="I131" s="79"/>
      <c r="J131" s="79"/>
      <c r="K131" s="67"/>
      <c r="L131" s="81"/>
      <c r="M131" s="91"/>
      <c r="N131" s="44"/>
      <c r="R131" s="47">
        <f t="shared" si="5"/>
        <v>0</v>
      </c>
      <c r="S131" s="47" t="str">
        <f t="shared" si="6"/>
        <v>0;</v>
      </c>
    </row>
    <row r="132" spans="1:19">
      <c r="A132" s="54"/>
      <c r="B132" s="54">
        <v>129</v>
      </c>
      <c r="C132" s="65"/>
      <c r="D132" s="67"/>
      <c r="E132" s="68"/>
      <c r="F132" s="68"/>
      <c r="G132" s="174">
        <f t="shared" si="7"/>
        <v>0</v>
      </c>
      <c r="H132" s="84"/>
      <c r="I132" s="79"/>
      <c r="J132" s="79"/>
      <c r="K132" s="67"/>
      <c r="L132" s="81"/>
      <c r="M132" s="91"/>
      <c r="N132" s="44"/>
      <c r="R132" s="47">
        <f t="shared" si="5"/>
        <v>0</v>
      </c>
      <c r="S132" s="47" t="str">
        <f t="shared" si="6"/>
        <v>0;</v>
      </c>
    </row>
    <row r="133" spans="1:19">
      <c r="A133" s="54"/>
      <c r="B133" s="54">
        <v>130</v>
      </c>
      <c r="C133" s="65"/>
      <c r="D133" s="67"/>
      <c r="E133" s="68"/>
      <c r="F133" s="68"/>
      <c r="G133" s="174">
        <f t="shared" si="7"/>
        <v>0</v>
      </c>
      <c r="H133" s="84"/>
      <c r="I133" s="79"/>
      <c r="J133" s="79"/>
      <c r="K133" s="67"/>
      <c r="L133" s="81"/>
      <c r="M133" s="91"/>
      <c r="N133" s="44"/>
      <c r="R133" s="47">
        <f t="shared" si="5"/>
        <v>0</v>
      </c>
      <c r="S133" s="47" t="str">
        <f t="shared" si="6"/>
        <v>0;</v>
      </c>
    </row>
    <row r="134" spans="1:19">
      <c r="A134" s="54"/>
      <c r="B134" s="54">
        <v>131</v>
      </c>
      <c r="C134" s="65"/>
      <c r="D134" s="67"/>
      <c r="E134" s="68"/>
      <c r="F134" s="68"/>
      <c r="G134" s="174">
        <f t="shared" si="7"/>
        <v>0</v>
      </c>
      <c r="H134" s="84"/>
      <c r="I134" s="79"/>
      <c r="J134" s="79"/>
      <c r="K134" s="67"/>
      <c r="L134" s="81"/>
      <c r="M134" s="91"/>
      <c r="N134" s="44"/>
      <c r="R134" s="47">
        <f t="shared" si="5"/>
        <v>0</v>
      </c>
      <c r="S134" s="47" t="str">
        <f t="shared" si="6"/>
        <v>0;</v>
      </c>
    </row>
    <row r="135" spans="1:19">
      <c r="A135" s="54"/>
      <c r="B135" s="54">
        <v>132</v>
      </c>
      <c r="C135" s="65"/>
      <c r="D135" s="67"/>
      <c r="E135" s="68"/>
      <c r="F135" s="68"/>
      <c r="G135" s="174">
        <f t="shared" si="7"/>
        <v>0</v>
      </c>
      <c r="H135" s="84"/>
      <c r="I135" s="79"/>
      <c r="J135" s="79"/>
      <c r="K135" s="67"/>
      <c r="L135" s="81"/>
      <c r="M135" s="91"/>
      <c r="N135" s="44"/>
      <c r="R135" s="47">
        <f t="shared" si="5"/>
        <v>0</v>
      </c>
      <c r="S135" s="47" t="str">
        <f t="shared" si="6"/>
        <v>0;</v>
      </c>
    </row>
    <row r="136" spans="1:19">
      <c r="A136" s="54"/>
      <c r="B136" s="54">
        <v>133</v>
      </c>
      <c r="C136" s="65"/>
      <c r="D136" s="67"/>
      <c r="E136" s="68"/>
      <c r="F136" s="68"/>
      <c r="G136" s="174">
        <f t="shared" si="7"/>
        <v>0</v>
      </c>
      <c r="H136" s="84"/>
      <c r="I136" s="79"/>
      <c r="J136" s="79"/>
      <c r="K136" s="67"/>
      <c r="L136" s="81"/>
      <c r="M136" s="91"/>
      <c r="N136" s="44"/>
      <c r="R136" s="47">
        <f t="shared" si="5"/>
        <v>0</v>
      </c>
      <c r="S136" s="47" t="str">
        <f t="shared" si="6"/>
        <v>0;</v>
      </c>
    </row>
    <row r="137" spans="1:19">
      <c r="A137" s="54"/>
      <c r="B137" s="54">
        <v>134</v>
      </c>
      <c r="C137" s="65"/>
      <c r="D137" s="67"/>
      <c r="E137" s="68"/>
      <c r="F137" s="68"/>
      <c r="G137" s="174">
        <f t="shared" si="7"/>
        <v>0</v>
      </c>
      <c r="H137" s="84"/>
      <c r="I137" s="79"/>
      <c r="J137" s="79"/>
      <c r="K137" s="67"/>
      <c r="L137" s="81"/>
      <c r="M137" s="91"/>
      <c r="N137" s="44"/>
      <c r="R137" s="47">
        <f t="shared" si="5"/>
        <v>0</v>
      </c>
      <c r="S137" s="47" t="str">
        <f t="shared" si="6"/>
        <v>0;</v>
      </c>
    </row>
    <row r="138" spans="1:19">
      <c r="A138" s="54"/>
      <c r="B138" s="54">
        <v>135</v>
      </c>
      <c r="C138" s="65"/>
      <c r="D138" s="67"/>
      <c r="E138" s="68"/>
      <c r="F138" s="68"/>
      <c r="G138" s="174">
        <f t="shared" si="7"/>
        <v>0</v>
      </c>
      <c r="H138" s="84"/>
      <c r="I138" s="79"/>
      <c r="J138" s="79"/>
      <c r="K138" s="67"/>
      <c r="L138" s="81"/>
      <c r="M138" s="91"/>
      <c r="N138" s="44"/>
      <c r="R138" s="47">
        <f t="shared" si="5"/>
        <v>0</v>
      </c>
      <c r="S138" s="47" t="str">
        <f t="shared" si="6"/>
        <v>0;</v>
      </c>
    </row>
    <row r="139" spans="1:19">
      <c r="A139" s="54"/>
      <c r="B139" s="54">
        <v>136</v>
      </c>
      <c r="C139" s="65"/>
      <c r="D139" s="67"/>
      <c r="E139" s="68"/>
      <c r="F139" s="68"/>
      <c r="G139" s="174">
        <f t="shared" si="7"/>
        <v>0</v>
      </c>
      <c r="H139" s="84"/>
      <c r="I139" s="79"/>
      <c r="J139" s="79"/>
      <c r="K139" s="67"/>
      <c r="L139" s="81"/>
      <c r="M139" s="91"/>
      <c r="N139" s="44"/>
      <c r="R139" s="47">
        <f t="shared" ref="R139:R202" si="8">H141</f>
        <v>0</v>
      </c>
      <c r="S139" s="47" t="str">
        <f t="shared" ref="S139:S202" si="9">CONCATENATE(R139,$R$3)</f>
        <v>0;</v>
      </c>
    </row>
    <row r="140" spans="1:19">
      <c r="A140" s="54"/>
      <c r="B140" s="54">
        <v>137</v>
      </c>
      <c r="C140" s="65"/>
      <c r="D140" s="67"/>
      <c r="E140" s="68"/>
      <c r="F140" s="68"/>
      <c r="G140" s="174">
        <f t="shared" si="7"/>
        <v>0</v>
      </c>
      <c r="H140" s="84"/>
      <c r="I140" s="79"/>
      <c r="J140" s="79"/>
      <c r="K140" s="67"/>
      <c r="L140" s="81"/>
      <c r="M140" s="91"/>
      <c r="N140" s="44"/>
      <c r="R140" s="47">
        <f t="shared" si="8"/>
        <v>0</v>
      </c>
      <c r="S140" s="47" t="str">
        <f t="shared" si="9"/>
        <v>0;</v>
      </c>
    </row>
    <row r="141" spans="1:19">
      <c r="A141" s="54"/>
      <c r="B141" s="54">
        <v>138</v>
      </c>
      <c r="C141" s="65"/>
      <c r="D141" s="67"/>
      <c r="E141" s="68"/>
      <c r="F141" s="68"/>
      <c r="G141" s="174">
        <f t="shared" ref="G141:G204" si="10">F141-E141</f>
        <v>0</v>
      </c>
      <c r="H141" s="84"/>
      <c r="I141" s="79"/>
      <c r="J141" s="79"/>
      <c r="K141" s="67"/>
      <c r="L141" s="81"/>
      <c r="M141" s="91"/>
      <c r="N141" s="44"/>
      <c r="R141" s="47">
        <f t="shared" si="8"/>
        <v>0</v>
      </c>
      <c r="S141" s="47" t="str">
        <f t="shared" si="9"/>
        <v>0;</v>
      </c>
    </row>
    <row r="142" spans="1:19">
      <c r="A142" s="54"/>
      <c r="B142" s="54">
        <v>139</v>
      </c>
      <c r="C142" s="65"/>
      <c r="D142" s="67"/>
      <c r="E142" s="68"/>
      <c r="F142" s="68"/>
      <c r="G142" s="174">
        <f t="shared" si="10"/>
        <v>0</v>
      </c>
      <c r="H142" s="84"/>
      <c r="I142" s="79"/>
      <c r="J142" s="79"/>
      <c r="K142" s="67"/>
      <c r="L142" s="81"/>
      <c r="M142" s="91"/>
      <c r="N142" s="44"/>
      <c r="R142" s="47">
        <f t="shared" si="8"/>
        <v>0</v>
      </c>
      <c r="S142" s="47" t="str">
        <f t="shared" si="9"/>
        <v>0;</v>
      </c>
    </row>
    <row r="143" spans="1:19">
      <c r="A143" s="54"/>
      <c r="B143" s="54">
        <v>140</v>
      </c>
      <c r="C143" s="65"/>
      <c r="D143" s="67"/>
      <c r="E143" s="68"/>
      <c r="F143" s="68"/>
      <c r="G143" s="174">
        <f t="shared" si="10"/>
        <v>0</v>
      </c>
      <c r="H143" s="84"/>
      <c r="I143" s="79"/>
      <c r="J143" s="79"/>
      <c r="K143" s="67"/>
      <c r="L143" s="81"/>
      <c r="M143" s="91"/>
      <c r="N143" s="44"/>
      <c r="R143" s="47">
        <f t="shared" si="8"/>
        <v>0</v>
      </c>
      <c r="S143" s="47" t="str">
        <f t="shared" si="9"/>
        <v>0;</v>
      </c>
    </row>
    <row r="144" spans="1:19">
      <c r="A144" s="54"/>
      <c r="B144" s="54">
        <v>141</v>
      </c>
      <c r="C144" s="65"/>
      <c r="D144" s="67"/>
      <c r="E144" s="68"/>
      <c r="F144" s="68"/>
      <c r="G144" s="174">
        <f t="shared" si="10"/>
        <v>0</v>
      </c>
      <c r="H144" s="84"/>
      <c r="I144" s="79"/>
      <c r="J144" s="79"/>
      <c r="K144" s="67"/>
      <c r="L144" s="81"/>
      <c r="M144" s="91"/>
      <c r="N144" s="44"/>
      <c r="R144" s="47">
        <f t="shared" si="8"/>
        <v>0</v>
      </c>
      <c r="S144" s="47" t="str">
        <f t="shared" si="9"/>
        <v>0;</v>
      </c>
    </row>
    <row r="145" spans="1:19">
      <c r="A145" s="54"/>
      <c r="B145" s="54">
        <v>142</v>
      </c>
      <c r="C145" s="65"/>
      <c r="D145" s="67"/>
      <c r="E145" s="68"/>
      <c r="F145" s="68"/>
      <c r="G145" s="174">
        <f t="shared" si="10"/>
        <v>0</v>
      </c>
      <c r="H145" s="84"/>
      <c r="I145" s="79"/>
      <c r="J145" s="79"/>
      <c r="K145" s="67"/>
      <c r="L145" s="81"/>
      <c r="M145" s="91"/>
      <c r="N145" s="44"/>
      <c r="R145" s="47">
        <f t="shared" si="8"/>
        <v>0</v>
      </c>
      <c r="S145" s="47" t="str">
        <f t="shared" si="9"/>
        <v>0;</v>
      </c>
    </row>
    <row r="146" spans="1:19">
      <c r="A146" s="54"/>
      <c r="B146" s="54">
        <v>143</v>
      </c>
      <c r="C146" s="65"/>
      <c r="D146" s="67"/>
      <c r="E146" s="68"/>
      <c r="F146" s="68"/>
      <c r="G146" s="174">
        <f t="shared" si="10"/>
        <v>0</v>
      </c>
      <c r="H146" s="84"/>
      <c r="I146" s="79"/>
      <c r="J146" s="79"/>
      <c r="K146" s="67"/>
      <c r="L146" s="81"/>
      <c r="M146" s="91"/>
      <c r="N146" s="44"/>
      <c r="R146" s="47">
        <f t="shared" si="8"/>
        <v>0</v>
      </c>
      <c r="S146" s="47" t="str">
        <f t="shared" si="9"/>
        <v>0;</v>
      </c>
    </row>
    <row r="147" spans="1:19">
      <c r="A147" s="54"/>
      <c r="B147" s="54">
        <v>144</v>
      </c>
      <c r="C147" s="65"/>
      <c r="D147" s="67"/>
      <c r="E147" s="68"/>
      <c r="F147" s="68"/>
      <c r="G147" s="174">
        <f t="shared" si="10"/>
        <v>0</v>
      </c>
      <c r="H147" s="84"/>
      <c r="I147" s="79"/>
      <c r="J147" s="79"/>
      <c r="K147" s="67"/>
      <c r="L147" s="81"/>
      <c r="M147" s="91"/>
      <c r="N147" s="44"/>
      <c r="R147" s="47">
        <f t="shared" si="8"/>
        <v>0</v>
      </c>
      <c r="S147" s="47" t="str">
        <f t="shared" si="9"/>
        <v>0;</v>
      </c>
    </row>
    <row r="148" spans="1:19">
      <c r="A148" s="54"/>
      <c r="B148" s="54">
        <v>145</v>
      </c>
      <c r="C148" s="65"/>
      <c r="D148" s="67"/>
      <c r="E148" s="68"/>
      <c r="F148" s="68"/>
      <c r="G148" s="174">
        <f t="shared" si="10"/>
        <v>0</v>
      </c>
      <c r="H148" s="84"/>
      <c r="I148" s="79"/>
      <c r="J148" s="79"/>
      <c r="K148" s="67"/>
      <c r="L148" s="81"/>
      <c r="M148" s="91"/>
      <c r="N148" s="44"/>
      <c r="R148" s="47">
        <f t="shared" si="8"/>
        <v>0</v>
      </c>
      <c r="S148" s="47" t="str">
        <f t="shared" si="9"/>
        <v>0;</v>
      </c>
    </row>
    <row r="149" spans="1:19">
      <c r="A149" s="54"/>
      <c r="B149" s="54">
        <v>146</v>
      </c>
      <c r="C149" s="65"/>
      <c r="D149" s="67"/>
      <c r="E149" s="68"/>
      <c r="F149" s="68"/>
      <c r="G149" s="174">
        <f t="shared" si="10"/>
        <v>0</v>
      </c>
      <c r="H149" s="84"/>
      <c r="I149" s="79"/>
      <c r="J149" s="79"/>
      <c r="K149" s="67"/>
      <c r="L149" s="81"/>
      <c r="M149" s="91"/>
      <c r="N149" s="44"/>
      <c r="R149" s="47">
        <f t="shared" si="8"/>
        <v>0</v>
      </c>
      <c r="S149" s="47" t="str">
        <f t="shared" si="9"/>
        <v>0;</v>
      </c>
    </row>
    <row r="150" spans="1:19">
      <c r="A150" s="54"/>
      <c r="B150" s="54">
        <v>147</v>
      </c>
      <c r="C150" s="65"/>
      <c r="D150" s="67"/>
      <c r="E150" s="68"/>
      <c r="F150" s="68"/>
      <c r="G150" s="174">
        <f t="shared" si="10"/>
        <v>0</v>
      </c>
      <c r="H150" s="84"/>
      <c r="I150" s="79"/>
      <c r="J150" s="79"/>
      <c r="K150" s="67"/>
      <c r="L150" s="81"/>
      <c r="M150" s="91"/>
      <c r="N150" s="44"/>
      <c r="R150" s="47">
        <f t="shared" si="8"/>
        <v>0</v>
      </c>
      <c r="S150" s="47" t="str">
        <f t="shared" si="9"/>
        <v>0;</v>
      </c>
    </row>
    <row r="151" spans="1:19">
      <c r="A151" s="54"/>
      <c r="B151" s="54">
        <v>148</v>
      </c>
      <c r="C151" s="65"/>
      <c r="D151" s="67"/>
      <c r="E151" s="68"/>
      <c r="F151" s="68"/>
      <c r="G151" s="174">
        <f t="shared" si="10"/>
        <v>0</v>
      </c>
      <c r="H151" s="84"/>
      <c r="I151" s="79"/>
      <c r="J151" s="79"/>
      <c r="K151" s="67"/>
      <c r="L151" s="81"/>
      <c r="M151" s="91"/>
      <c r="N151" s="44"/>
      <c r="R151" s="47">
        <f t="shared" si="8"/>
        <v>0</v>
      </c>
      <c r="S151" s="47" t="str">
        <f t="shared" si="9"/>
        <v>0;</v>
      </c>
    </row>
    <row r="152" spans="1:19">
      <c r="A152" s="54"/>
      <c r="B152" s="54">
        <v>149</v>
      </c>
      <c r="C152" s="65"/>
      <c r="D152" s="67"/>
      <c r="E152" s="68"/>
      <c r="F152" s="68"/>
      <c r="G152" s="174">
        <f t="shared" si="10"/>
        <v>0</v>
      </c>
      <c r="H152" s="84"/>
      <c r="I152" s="79"/>
      <c r="J152" s="79"/>
      <c r="K152" s="67"/>
      <c r="L152" s="81"/>
      <c r="M152" s="91"/>
      <c r="N152" s="44"/>
      <c r="R152" s="47">
        <f t="shared" si="8"/>
        <v>0</v>
      </c>
      <c r="S152" s="47" t="str">
        <f t="shared" si="9"/>
        <v>0;</v>
      </c>
    </row>
    <row r="153" spans="1:19">
      <c r="A153" s="54"/>
      <c r="B153" s="54">
        <v>150</v>
      </c>
      <c r="C153" s="65"/>
      <c r="D153" s="67"/>
      <c r="E153" s="68"/>
      <c r="F153" s="68"/>
      <c r="G153" s="174">
        <f t="shared" si="10"/>
        <v>0</v>
      </c>
      <c r="H153" s="84"/>
      <c r="I153" s="79"/>
      <c r="J153" s="79"/>
      <c r="K153" s="67"/>
      <c r="L153" s="81"/>
      <c r="M153" s="91"/>
      <c r="N153" s="44"/>
      <c r="R153" s="47">
        <f t="shared" si="8"/>
        <v>0</v>
      </c>
      <c r="S153" s="47" t="str">
        <f t="shared" si="9"/>
        <v>0;</v>
      </c>
    </row>
    <row r="154" spans="1:19">
      <c r="A154" s="54"/>
      <c r="B154" s="54">
        <v>151</v>
      </c>
      <c r="C154" s="65"/>
      <c r="D154" s="67"/>
      <c r="E154" s="68"/>
      <c r="F154" s="68"/>
      <c r="G154" s="174">
        <f t="shared" si="10"/>
        <v>0</v>
      </c>
      <c r="H154" s="84"/>
      <c r="I154" s="79"/>
      <c r="J154" s="79"/>
      <c r="K154" s="67"/>
      <c r="L154" s="81"/>
      <c r="M154" s="91"/>
      <c r="N154" s="44"/>
      <c r="R154" s="47">
        <f t="shared" si="8"/>
        <v>0</v>
      </c>
      <c r="S154" s="47" t="str">
        <f t="shared" si="9"/>
        <v>0;</v>
      </c>
    </row>
    <row r="155" spans="1:19">
      <c r="A155" s="54"/>
      <c r="B155" s="54">
        <v>152</v>
      </c>
      <c r="C155" s="65"/>
      <c r="D155" s="67"/>
      <c r="E155" s="68"/>
      <c r="F155" s="68"/>
      <c r="G155" s="174">
        <f t="shared" si="10"/>
        <v>0</v>
      </c>
      <c r="H155" s="84"/>
      <c r="I155" s="79"/>
      <c r="J155" s="79"/>
      <c r="K155" s="67"/>
      <c r="L155" s="81"/>
      <c r="M155" s="91"/>
      <c r="N155" s="44"/>
      <c r="R155" s="47">
        <f t="shared" si="8"/>
        <v>0</v>
      </c>
      <c r="S155" s="47" t="str">
        <f t="shared" si="9"/>
        <v>0;</v>
      </c>
    </row>
    <row r="156" spans="1:19">
      <c r="A156" s="54"/>
      <c r="B156" s="54">
        <v>153</v>
      </c>
      <c r="C156" s="65"/>
      <c r="D156" s="67"/>
      <c r="E156" s="68"/>
      <c r="F156" s="68"/>
      <c r="G156" s="174">
        <f t="shared" si="10"/>
        <v>0</v>
      </c>
      <c r="H156" s="84"/>
      <c r="I156" s="79"/>
      <c r="J156" s="79"/>
      <c r="K156" s="67"/>
      <c r="L156" s="81"/>
      <c r="M156" s="91"/>
      <c r="N156" s="44"/>
      <c r="R156" s="47">
        <f t="shared" si="8"/>
        <v>0</v>
      </c>
      <c r="S156" s="47" t="str">
        <f t="shared" si="9"/>
        <v>0;</v>
      </c>
    </row>
    <row r="157" spans="1:19">
      <c r="A157" s="54"/>
      <c r="B157" s="54">
        <v>154</v>
      </c>
      <c r="C157" s="65"/>
      <c r="D157" s="67"/>
      <c r="E157" s="68"/>
      <c r="F157" s="68"/>
      <c r="G157" s="174">
        <f t="shared" si="10"/>
        <v>0</v>
      </c>
      <c r="H157" s="84"/>
      <c r="I157" s="79"/>
      <c r="J157" s="79"/>
      <c r="K157" s="67"/>
      <c r="L157" s="81"/>
      <c r="M157" s="91"/>
      <c r="N157" s="44"/>
      <c r="R157" s="47">
        <f t="shared" si="8"/>
        <v>0</v>
      </c>
      <c r="S157" s="47" t="str">
        <f t="shared" si="9"/>
        <v>0;</v>
      </c>
    </row>
    <row r="158" spans="1:19">
      <c r="A158" s="54"/>
      <c r="B158" s="54">
        <v>155</v>
      </c>
      <c r="C158" s="65"/>
      <c r="D158" s="67"/>
      <c r="E158" s="68"/>
      <c r="F158" s="68"/>
      <c r="G158" s="174">
        <f t="shared" si="10"/>
        <v>0</v>
      </c>
      <c r="H158" s="84"/>
      <c r="I158" s="79"/>
      <c r="J158" s="79"/>
      <c r="K158" s="67"/>
      <c r="L158" s="81"/>
      <c r="M158" s="91"/>
      <c r="N158" s="44"/>
      <c r="R158" s="47">
        <f t="shared" si="8"/>
        <v>0</v>
      </c>
      <c r="S158" s="47" t="str">
        <f t="shared" si="9"/>
        <v>0;</v>
      </c>
    </row>
    <row r="159" spans="1:19">
      <c r="A159" s="54"/>
      <c r="B159" s="54">
        <v>156</v>
      </c>
      <c r="C159" s="65"/>
      <c r="D159" s="67"/>
      <c r="E159" s="68"/>
      <c r="F159" s="68"/>
      <c r="G159" s="174">
        <f t="shared" si="10"/>
        <v>0</v>
      </c>
      <c r="H159" s="84"/>
      <c r="I159" s="79"/>
      <c r="J159" s="79"/>
      <c r="K159" s="67"/>
      <c r="L159" s="81"/>
      <c r="M159" s="91"/>
      <c r="N159" s="44"/>
      <c r="R159" s="47">
        <f t="shared" si="8"/>
        <v>0</v>
      </c>
      <c r="S159" s="47" t="str">
        <f t="shared" si="9"/>
        <v>0;</v>
      </c>
    </row>
    <row r="160" spans="1:19">
      <c r="A160" s="54"/>
      <c r="B160" s="54">
        <v>157</v>
      </c>
      <c r="C160" s="65"/>
      <c r="D160" s="67"/>
      <c r="E160" s="68"/>
      <c r="F160" s="68"/>
      <c r="G160" s="174">
        <f t="shared" si="10"/>
        <v>0</v>
      </c>
      <c r="H160" s="84"/>
      <c r="I160" s="79"/>
      <c r="J160" s="79"/>
      <c r="K160" s="67"/>
      <c r="L160" s="81"/>
      <c r="M160" s="91"/>
      <c r="N160" s="44"/>
      <c r="R160" s="47">
        <f t="shared" si="8"/>
        <v>0</v>
      </c>
      <c r="S160" s="47" t="str">
        <f t="shared" si="9"/>
        <v>0;</v>
      </c>
    </row>
    <row r="161" spans="1:19">
      <c r="A161" s="54"/>
      <c r="B161" s="54">
        <v>158</v>
      </c>
      <c r="C161" s="65"/>
      <c r="D161" s="67"/>
      <c r="E161" s="68"/>
      <c r="F161" s="68"/>
      <c r="G161" s="174">
        <f t="shared" si="10"/>
        <v>0</v>
      </c>
      <c r="H161" s="84"/>
      <c r="I161" s="79"/>
      <c r="J161" s="79"/>
      <c r="K161" s="67"/>
      <c r="L161" s="81"/>
      <c r="M161" s="91"/>
      <c r="N161" s="44"/>
      <c r="R161" s="47">
        <f t="shared" si="8"/>
        <v>0</v>
      </c>
      <c r="S161" s="47" t="str">
        <f t="shared" si="9"/>
        <v>0;</v>
      </c>
    </row>
    <row r="162" spans="1:19">
      <c r="A162" s="54"/>
      <c r="B162" s="54">
        <v>159</v>
      </c>
      <c r="C162" s="65"/>
      <c r="D162" s="67"/>
      <c r="E162" s="68"/>
      <c r="F162" s="68"/>
      <c r="G162" s="174">
        <f t="shared" si="10"/>
        <v>0</v>
      </c>
      <c r="H162" s="84"/>
      <c r="I162" s="79"/>
      <c r="J162" s="79"/>
      <c r="K162" s="67"/>
      <c r="L162" s="81"/>
      <c r="M162" s="91"/>
      <c r="N162" s="44"/>
      <c r="R162" s="47">
        <f t="shared" si="8"/>
        <v>0</v>
      </c>
      <c r="S162" s="47" t="str">
        <f t="shared" si="9"/>
        <v>0;</v>
      </c>
    </row>
    <row r="163" spans="1:19">
      <c r="A163" s="54"/>
      <c r="B163" s="54">
        <v>160</v>
      </c>
      <c r="C163" s="65"/>
      <c r="D163" s="67"/>
      <c r="E163" s="68"/>
      <c r="F163" s="68"/>
      <c r="G163" s="174">
        <f t="shared" si="10"/>
        <v>0</v>
      </c>
      <c r="H163" s="84"/>
      <c r="I163" s="79"/>
      <c r="J163" s="79"/>
      <c r="K163" s="67"/>
      <c r="L163" s="81"/>
      <c r="M163" s="91"/>
      <c r="N163" s="44"/>
      <c r="R163" s="47">
        <f t="shared" si="8"/>
        <v>0</v>
      </c>
      <c r="S163" s="47" t="str">
        <f t="shared" si="9"/>
        <v>0;</v>
      </c>
    </row>
    <row r="164" spans="1:19">
      <c r="A164" s="54"/>
      <c r="B164" s="54">
        <v>161</v>
      </c>
      <c r="C164" s="65"/>
      <c r="D164" s="67"/>
      <c r="E164" s="68"/>
      <c r="F164" s="68"/>
      <c r="G164" s="174">
        <f t="shared" si="10"/>
        <v>0</v>
      </c>
      <c r="H164" s="84"/>
      <c r="I164" s="79"/>
      <c r="J164" s="79"/>
      <c r="K164" s="67"/>
      <c r="L164" s="81"/>
      <c r="M164" s="91"/>
      <c r="N164" s="44"/>
      <c r="R164" s="47">
        <f t="shared" si="8"/>
        <v>0</v>
      </c>
      <c r="S164" s="47" t="str">
        <f t="shared" si="9"/>
        <v>0;</v>
      </c>
    </row>
    <row r="165" spans="1:19">
      <c r="A165" s="54"/>
      <c r="B165" s="54">
        <v>162</v>
      </c>
      <c r="C165" s="65"/>
      <c r="D165" s="67"/>
      <c r="E165" s="68"/>
      <c r="F165" s="68"/>
      <c r="G165" s="174">
        <f t="shared" si="10"/>
        <v>0</v>
      </c>
      <c r="H165" s="84"/>
      <c r="I165" s="79"/>
      <c r="J165" s="79"/>
      <c r="K165" s="67"/>
      <c r="L165" s="81"/>
      <c r="M165" s="91"/>
      <c r="N165" s="44"/>
      <c r="R165" s="47">
        <f t="shared" si="8"/>
        <v>0</v>
      </c>
      <c r="S165" s="47" t="str">
        <f t="shared" si="9"/>
        <v>0;</v>
      </c>
    </row>
    <row r="166" spans="1:19">
      <c r="A166" s="54"/>
      <c r="B166" s="54">
        <v>163</v>
      </c>
      <c r="C166" s="65"/>
      <c r="D166" s="67"/>
      <c r="E166" s="68"/>
      <c r="F166" s="68"/>
      <c r="G166" s="174">
        <f t="shared" si="10"/>
        <v>0</v>
      </c>
      <c r="H166" s="84"/>
      <c r="I166" s="79"/>
      <c r="J166" s="79"/>
      <c r="K166" s="67"/>
      <c r="L166" s="81"/>
      <c r="M166" s="91"/>
      <c r="N166" s="44"/>
      <c r="R166" s="47">
        <f t="shared" si="8"/>
        <v>0</v>
      </c>
      <c r="S166" s="47" t="str">
        <f t="shared" si="9"/>
        <v>0;</v>
      </c>
    </row>
    <row r="167" spans="1:19">
      <c r="A167" s="54"/>
      <c r="B167" s="54">
        <v>164</v>
      </c>
      <c r="C167" s="65"/>
      <c r="D167" s="67"/>
      <c r="E167" s="68"/>
      <c r="F167" s="68"/>
      <c r="G167" s="174">
        <f t="shared" si="10"/>
        <v>0</v>
      </c>
      <c r="H167" s="84"/>
      <c r="I167" s="79"/>
      <c r="J167" s="79"/>
      <c r="K167" s="67"/>
      <c r="L167" s="81"/>
      <c r="M167" s="91"/>
      <c r="N167" s="44"/>
      <c r="R167" s="47">
        <f t="shared" si="8"/>
        <v>0</v>
      </c>
      <c r="S167" s="47" t="str">
        <f t="shared" si="9"/>
        <v>0;</v>
      </c>
    </row>
    <row r="168" spans="1:19">
      <c r="A168" s="54"/>
      <c r="B168" s="54">
        <v>165</v>
      </c>
      <c r="C168" s="65"/>
      <c r="D168" s="67"/>
      <c r="E168" s="68"/>
      <c r="F168" s="68"/>
      <c r="G168" s="174">
        <f t="shared" si="10"/>
        <v>0</v>
      </c>
      <c r="H168" s="84"/>
      <c r="I168" s="79"/>
      <c r="J168" s="79"/>
      <c r="K168" s="67"/>
      <c r="L168" s="81"/>
      <c r="M168" s="91"/>
      <c r="N168" s="44"/>
      <c r="R168" s="47">
        <f t="shared" si="8"/>
        <v>0</v>
      </c>
      <c r="S168" s="47" t="str">
        <f t="shared" si="9"/>
        <v>0;</v>
      </c>
    </row>
    <row r="169" spans="1:19">
      <c r="A169" s="54"/>
      <c r="B169" s="54">
        <v>166</v>
      </c>
      <c r="C169" s="65"/>
      <c r="D169" s="67"/>
      <c r="E169" s="68"/>
      <c r="F169" s="68"/>
      <c r="G169" s="174">
        <f t="shared" si="10"/>
        <v>0</v>
      </c>
      <c r="H169" s="84"/>
      <c r="I169" s="79"/>
      <c r="J169" s="79"/>
      <c r="K169" s="67"/>
      <c r="L169" s="81"/>
      <c r="M169" s="91"/>
      <c r="N169" s="44"/>
      <c r="R169" s="47">
        <f t="shared" si="8"/>
        <v>0</v>
      </c>
      <c r="S169" s="47" t="str">
        <f t="shared" si="9"/>
        <v>0;</v>
      </c>
    </row>
    <row r="170" spans="1:19">
      <c r="A170" s="54"/>
      <c r="B170" s="54">
        <v>167</v>
      </c>
      <c r="C170" s="65"/>
      <c r="D170" s="67"/>
      <c r="E170" s="68"/>
      <c r="F170" s="68"/>
      <c r="G170" s="174">
        <f t="shared" si="10"/>
        <v>0</v>
      </c>
      <c r="H170" s="84"/>
      <c r="I170" s="79"/>
      <c r="J170" s="79"/>
      <c r="K170" s="67"/>
      <c r="L170" s="81"/>
      <c r="M170" s="91"/>
      <c r="N170" s="44"/>
      <c r="R170" s="47">
        <f t="shared" si="8"/>
        <v>0</v>
      </c>
      <c r="S170" s="47" t="str">
        <f t="shared" si="9"/>
        <v>0;</v>
      </c>
    </row>
    <row r="171" spans="1:19">
      <c r="A171" s="54"/>
      <c r="B171" s="54">
        <v>168</v>
      </c>
      <c r="C171" s="65"/>
      <c r="D171" s="67"/>
      <c r="E171" s="68"/>
      <c r="F171" s="68"/>
      <c r="G171" s="174">
        <f t="shared" si="10"/>
        <v>0</v>
      </c>
      <c r="H171" s="84"/>
      <c r="I171" s="79"/>
      <c r="J171" s="79"/>
      <c r="K171" s="67"/>
      <c r="L171" s="81"/>
      <c r="M171" s="91"/>
      <c r="N171" s="44"/>
      <c r="R171" s="47">
        <f t="shared" si="8"/>
        <v>0</v>
      </c>
      <c r="S171" s="47" t="str">
        <f t="shared" si="9"/>
        <v>0;</v>
      </c>
    </row>
    <row r="172" spans="1:19">
      <c r="A172" s="54"/>
      <c r="B172" s="54">
        <v>169</v>
      </c>
      <c r="C172" s="65"/>
      <c r="D172" s="67"/>
      <c r="E172" s="68"/>
      <c r="F172" s="68"/>
      <c r="G172" s="174">
        <f t="shared" si="10"/>
        <v>0</v>
      </c>
      <c r="H172" s="84"/>
      <c r="I172" s="79"/>
      <c r="J172" s="79"/>
      <c r="K172" s="67"/>
      <c r="L172" s="81"/>
      <c r="M172" s="91"/>
      <c r="N172" s="44"/>
      <c r="R172" s="47">
        <f t="shared" si="8"/>
        <v>0</v>
      </c>
      <c r="S172" s="47" t="str">
        <f t="shared" si="9"/>
        <v>0;</v>
      </c>
    </row>
    <row r="173" spans="1:19">
      <c r="A173" s="54"/>
      <c r="B173" s="54">
        <v>170</v>
      </c>
      <c r="C173" s="65"/>
      <c r="D173" s="67"/>
      <c r="E173" s="68"/>
      <c r="F173" s="68"/>
      <c r="G173" s="174">
        <f t="shared" si="10"/>
        <v>0</v>
      </c>
      <c r="H173" s="84"/>
      <c r="I173" s="79"/>
      <c r="J173" s="79"/>
      <c r="K173" s="67"/>
      <c r="L173" s="81"/>
      <c r="M173" s="91"/>
      <c r="N173" s="44"/>
      <c r="R173" s="47">
        <f t="shared" si="8"/>
        <v>0</v>
      </c>
      <c r="S173" s="47" t="str">
        <f t="shared" si="9"/>
        <v>0;</v>
      </c>
    </row>
    <row r="174" spans="1:19">
      <c r="A174" s="54"/>
      <c r="B174" s="54">
        <v>171</v>
      </c>
      <c r="C174" s="65"/>
      <c r="D174" s="67"/>
      <c r="E174" s="68"/>
      <c r="F174" s="68"/>
      <c r="G174" s="174">
        <f t="shared" si="10"/>
        <v>0</v>
      </c>
      <c r="H174" s="84"/>
      <c r="I174" s="79"/>
      <c r="J174" s="79"/>
      <c r="K174" s="67"/>
      <c r="L174" s="81"/>
      <c r="M174" s="91"/>
      <c r="N174" s="44"/>
      <c r="R174" s="47">
        <f t="shared" si="8"/>
        <v>0</v>
      </c>
      <c r="S174" s="47" t="str">
        <f t="shared" si="9"/>
        <v>0;</v>
      </c>
    </row>
    <row r="175" spans="1:19">
      <c r="A175" s="54"/>
      <c r="B175" s="54">
        <v>172</v>
      </c>
      <c r="C175" s="65"/>
      <c r="D175" s="67"/>
      <c r="E175" s="68"/>
      <c r="F175" s="68"/>
      <c r="G175" s="174">
        <f t="shared" si="10"/>
        <v>0</v>
      </c>
      <c r="H175" s="84"/>
      <c r="I175" s="79"/>
      <c r="J175" s="79"/>
      <c r="K175" s="67"/>
      <c r="L175" s="81"/>
      <c r="M175" s="91"/>
      <c r="N175" s="44"/>
      <c r="R175" s="47">
        <f t="shared" si="8"/>
        <v>0</v>
      </c>
      <c r="S175" s="47" t="str">
        <f t="shared" si="9"/>
        <v>0;</v>
      </c>
    </row>
    <row r="176" spans="1:19">
      <c r="A176" s="54"/>
      <c r="B176" s="54">
        <v>173</v>
      </c>
      <c r="C176" s="65"/>
      <c r="D176" s="67"/>
      <c r="E176" s="68"/>
      <c r="F176" s="68"/>
      <c r="G176" s="174">
        <f t="shared" si="10"/>
        <v>0</v>
      </c>
      <c r="H176" s="84"/>
      <c r="I176" s="79"/>
      <c r="J176" s="79"/>
      <c r="K176" s="67"/>
      <c r="L176" s="81"/>
      <c r="M176" s="91"/>
      <c r="N176" s="44"/>
      <c r="R176" s="47">
        <f t="shared" si="8"/>
        <v>0</v>
      </c>
      <c r="S176" s="47" t="str">
        <f t="shared" si="9"/>
        <v>0;</v>
      </c>
    </row>
    <row r="177" spans="1:19">
      <c r="A177" s="54"/>
      <c r="B177" s="54">
        <v>174</v>
      </c>
      <c r="C177" s="65"/>
      <c r="D177" s="67"/>
      <c r="E177" s="68"/>
      <c r="F177" s="68"/>
      <c r="G177" s="174">
        <f t="shared" si="10"/>
        <v>0</v>
      </c>
      <c r="H177" s="84"/>
      <c r="I177" s="79"/>
      <c r="J177" s="79"/>
      <c r="K177" s="67"/>
      <c r="L177" s="81"/>
      <c r="M177" s="91"/>
      <c r="N177" s="44"/>
      <c r="R177" s="47">
        <f t="shared" si="8"/>
        <v>0</v>
      </c>
      <c r="S177" s="47" t="str">
        <f t="shared" si="9"/>
        <v>0;</v>
      </c>
    </row>
    <row r="178" spans="1:19">
      <c r="A178" s="54"/>
      <c r="B178" s="54">
        <v>175</v>
      </c>
      <c r="C178" s="65"/>
      <c r="D178" s="67"/>
      <c r="E178" s="68"/>
      <c r="F178" s="68"/>
      <c r="G178" s="174">
        <f t="shared" si="10"/>
        <v>0</v>
      </c>
      <c r="H178" s="84"/>
      <c r="I178" s="79"/>
      <c r="J178" s="79"/>
      <c r="K178" s="67"/>
      <c r="L178" s="81"/>
      <c r="M178" s="91"/>
      <c r="N178" s="44"/>
      <c r="R178" s="47">
        <f t="shared" si="8"/>
        <v>0</v>
      </c>
      <c r="S178" s="47" t="str">
        <f t="shared" si="9"/>
        <v>0;</v>
      </c>
    </row>
    <row r="179" spans="1:19">
      <c r="A179" s="54"/>
      <c r="B179" s="54">
        <v>176</v>
      </c>
      <c r="C179" s="65"/>
      <c r="D179" s="67"/>
      <c r="E179" s="68"/>
      <c r="F179" s="68"/>
      <c r="G179" s="174">
        <f t="shared" si="10"/>
        <v>0</v>
      </c>
      <c r="H179" s="84"/>
      <c r="I179" s="79"/>
      <c r="J179" s="79"/>
      <c r="K179" s="67"/>
      <c r="L179" s="81"/>
      <c r="M179" s="91"/>
      <c r="N179" s="44"/>
      <c r="R179" s="47">
        <f t="shared" si="8"/>
        <v>0</v>
      </c>
      <c r="S179" s="47" t="str">
        <f t="shared" si="9"/>
        <v>0;</v>
      </c>
    </row>
    <row r="180" spans="1:19">
      <c r="A180" s="54"/>
      <c r="B180" s="54">
        <v>177</v>
      </c>
      <c r="C180" s="65"/>
      <c r="D180" s="67"/>
      <c r="E180" s="68"/>
      <c r="F180" s="68"/>
      <c r="G180" s="174">
        <f t="shared" si="10"/>
        <v>0</v>
      </c>
      <c r="H180" s="84"/>
      <c r="I180" s="79"/>
      <c r="J180" s="79"/>
      <c r="K180" s="67"/>
      <c r="L180" s="81"/>
      <c r="M180" s="91"/>
      <c r="N180" s="44"/>
      <c r="R180" s="47">
        <f t="shared" si="8"/>
        <v>0</v>
      </c>
      <c r="S180" s="47" t="str">
        <f t="shared" si="9"/>
        <v>0;</v>
      </c>
    </row>
    <row r="181" spans="1:19">
      <c r="A181" s="54"/>
      <c r="B181" s="54">
        <v>178</v>
      </c>
      <c r="C181" s="65"/>
      <c r="D181" s="67"/>
      <c r="E181" s="68"/>
      <c r="F181" s="68"/>
      <c r="G181" s="174">
        <f t="shared" si="10"/>
        <v>0</v>
      </c>
      <c r="H181" s="84"/>
      <c r="I181" s="79"/>
      <c r="J181" s="79"/>
      <c r="K181" s="67"/>
      <c r="L181" s="81"/>
      <c r="M181" s="91"/>
      <c r="N181" s="44"/>
      <c r="R181" s="47">
        <f t="shared" si="8"/>
        <v>0</v>
      </c>
      <c r="S181" s="47" t="str">
        <f t="shared" si="9"/>
        <v>0;</v>
      </c>
    </row>
    <row r="182" spans="1:19">
      <c r="A182" s="54"/>
      <c r="B182" s="54">
        <v>179</v>
      </c>
      <c r="C182" s="65"/>
      <c r="D182" s="67"/>
      <c r="E182" s="68"/>
      <c r="F182" s="68"/>
      <c r="G182" s="174">
        <f t="shared" si="10"/>
        <v>0</v>
      </c>
      <c r="H182" s="84"/>
      <c r="I182" s="79"/>
      <c r="J182" s="79"/>
      <c r="K182" s="67"/>
      <c r="L182" s="81"/>
      <c r="M182" s="91"/>
      <c r="N182" s="44"/>
      <c r="R182" s="47">
        <f t="shared" si="8"/>
        <v>0</v>
      </c>
      <c r="S182" s="47" t="str">
        <f t="shared" si="9"/>
        <v>0;</v>
      </c>
    </row>
    <row r="183" spans="1:19">
      <c r="A183" s="54"/>
      <c r="B183" s="54">
        <v>180</v>
      </c>
      <c r="C183" s="65"/>
      <c r="D183" s="67"/>
      <c r="E183" s="68"/>
      <c r="F183" s="68"/>
      <c r="G183" s="174">
        <f t="shared" si="10"/>
        <v>0</v>
      </c>
      <c r="H183" s="84"/>
      <c r="I183" s="79"/>
      <c r="J183" s="79"/>
      <c r="K183" s="67"/>
      <c r="L183" s="81"/>
      <c r="M183" s="91"/>
      <c r="N183" s="44"/>
      <c r="R183" s="47">
        <f t="shared" si="8"/>
        <v>0</v>
      </c>
      <c r="S183" s="47" t="str">
        <f t="shared" si="9"/>
        <v>0;</v>
      </c>
    </row>
    <row r="184" spans="1:19">
      <c r="A184" s="54"/>
      <c r="B184" s="54">
        <v>181</v>
      </c>
      <c r="C184" s="65"/>
      <c r="D184" s="67"/>
      <c r="E184" s="68"/>
      <c r="F184" s="68"/>
      <c r="G184" s="174">
        <f t="shared" si="10"/>
        <v>0</v>
      </c>
      <c r="H184" s="84"/>
      <c r="I184" s="79"/>
      <c r="J184" s="79"/>
      <c r="K184" s="67"/>
      <c r="L184" s="81"/>
      <c r="M184" s="91"/>
      <c r="N184" s="44"/>
      <c r="R184" s="47">
        <f t="shared" si="8"/>
        <v>0</v>
      </c>
      <c r="S184" s="47" t="str">
        <f t="shared" si="9"/>
        <v>0;</v>
      </c>
    </row>
    <row r="185" spans="1:19">
      <c r="A185" s="54"/>
      <c r="B185" s="54">
        <v>182</v>
      </c>
      <c r="C185" s="65"/>
      <c r="D185" s="67"/>
      <c r="E185" s="68"/>
      <c r="F185" s="68"/>
      <c r="G185" s="174">
        <f t="shared" si="10"/>
        <v>0</v>
      </c>
      <c r="H185" s="84"/>
      <c r="I185" s="79"/>
      <c r="J185" s="79"/>
      <c r="K185" s="67"/>
      <c r="L185" s="81"/>
      <c r="M185" s="91"/>
      <c r="N185" s="44"/>
      <c r="R185" s="47">
        <f t="shared" si="8"/>
        <v>0</v>
      </c>
      <c r="S185" s="47" t="str">
        <f t="shared" si="9"/>
        <v>0;</v>
      </c>
    </row>
    <row r="186" spans="1:19">
      <c r="A186" s="54"/>
      <c r="B186" s="54">
        <v>183</v>
      </c>
      <c r="C186" s="65"/>
      <c r="D186" s="67"/>
      <c r="E186" s="68"/>
      <c r="F186" s="68"/>
      <c r="G186" s="174">
        <f t="shared" si="10"/>
        <v>0</v>
      </c>
      <c r="H186" s="84"/>
      <c r="I186" s="79"/>
      <c r="J186" s="79"/>
      <c r="K186" s="67"/>
      <c r="L186" s="81"/>
      <c r="M186" s="91"/>
      <c r="N186" s="44"/>
      <c r="R186" s="47">
        <f t="shared" si="8"/>
        <v>0</v>
      </c>
      <c r="S186" s="47" t="str">
        <f t="shared" si="9"/>
        <v>0;</v>
      </c>
    </row>
    <row r="187" spans="1:19">
      <c r="A187" s="54"/>
      <c r="B187" s="54">
        <v>184</v>
      </c>
      <c r="C187" s="65"/>
      <c r="D187" s="67"/>
      <c r="E187" s="68"/>
      <c r="F187" s="68"/>
      <c r="G187" s="174">
        <f t="shared" si="10"/>
        <v>0</v>
      </c>
      <c r="H187" s="84"/>
      <c r="I187" s="79"/>
      <c r="J187" s="79"/>
      <c r="K187" s="67"/>
      <c r="L187" s="81"/>
      <c r="M187" s="91"/>
      <c r="N187" s="44"/>
      <c r="R187" s="47">
        <f t="shared" si="8"/>
        <v>0</v>
      </c>
      <c r="S187" s="47" t="str">
        <f t="shared" si="9"/>
        <v>0;</v>
      </c>
    </row>
    <row r="188" spans="1:19">
      <c r="A188" s="54"/>
      <c r="B188" s="54">
        <v>185</v>
      </c>
      <c r="C188" s="65"/>
      <c r="D188" s="67"/>
      <c r="E188" s="68"/>
      <c r="F188" s="68"/>
      <c r="G188" s="174">
        <f t="shared" si="10"/>
        <v>0</v>
      </c>
      <c r="H188" s="84"/>
      <c r="I188" s="79"/>
      <c r="J188" s="79"/>
      <c r="K188" s="67"/>
      <c r="L188" s="81"/>
      <c r="M188" s="91"/>
      <c r="N188" s="44"/>
      <c r="R188" s="47">
        <f t="shared" si="8"/>
        <v>0</v>
      </c>
      <c r="S188" s="47" t="str">
        <f t="shared" si="9"/>
        <v>0;</v>
      </c>
    </row>
    <row r="189" spans="1:19">
      <c r="A189" s="54"/>
      <c r="B189" s="54">
        <v>186</v>
      </c>
      <c r="C189" s="65"/>
      <c r="D189" s="67"/>
      <c r="E189" s="68"/>
      <c r="F189" s="68"/>
      <c r="G189" s="174">
        <f t="shared" si="10"/>
        <v>0</v>
      </c>
      <c r="H189" s="84"/>
      <c r="I189" s="79"/>
      <c r="J189" s="79"/>
      <c r="K189" s="67"/>
      <c r="L189" s="81"/>
      <c r="M189" s="91"/>
      <c r="N189" s="44"/>
      <c r="R189" s="47">
        <f t="shared" si="8"/>
        <v>0</v>
      </c>
      <c r="S189" s="47" t="str">
        <f t="shared" si="9"/>
        <v>0;</v>
      </c>
    </row>
    <row r="190" spans="1:19">
      <c r="A190" s="54"/>
      <c r="B190" s="54">
        <v>187</v>
      </c>
      <c r="C190" s="65"/>
      <c r="D190" s="67"/>
      <c r="E190" s="68"/>
      <c r="F190" s="68"/>
      <c r="G190" s="174">
        <f t="shared" si="10"/>
        <v>0</v>
      </c>
      <c r="H190" s="84"/>
      <c r="I190" s="79"/>
      <c r="J190" s="79"/>
      <c r="K190" s="67"/>
      <c r="L190" s="81"/>
      <c r="M190" s="91"/>
      <c r="N190" s="44"/>
      <c r="R190" s="47">
        <f t="shared" si="8"/>
        <v>0</v>
      </c>
      <c r="S190" s="47" t="str">
        <f t="shared" si="9"/>
        <v>0;</v>
      </c>
    </row>
    <row r="191" spans="1:19">
      <c r="A191" s="54"/>
      <c r="B191" s="54">
        <v>188</v>
      </c>
      <c r="C191" s="65"/>
      <c r="D191" s="67"/>
      <c r="E191" s="68"/>
      <c r="F191" s="68"/>
      <c r="G191" s="174">
        <f t="shared" si="10"/>
        <v>0</v>
      </c>
      <c r="H191" s="84"/>
      <c r="I191" s="79"/>
      <c r="J191" s="79"/>
      <c r="K191" s="67"/>
      <c r="L191" s="81"/>
      <c r="M191" s="91"/>
      <c r="N191" s="44"/>
      <c r="R191" s="47">
        <f t="shared" si="8"/>
        <v>0</v>
      </c>
      <c r="S191" s="47" t="str">
        <f t="shared" si="9"/>
        <v>0;</v>
      </c>
    </row>
    <row r="192" spans="1:19">
      <c r="A192" s="54"/>
      <c r="B192" s="54">
        <v>189</v>
      </c>
      <c r="C192" s="65"/>
      <c r="D192" s="67"/>
      <c r="E192" s="68"/>
      <c r="F192" s="68"/>
      <c r="G192" s="174">
        <f t="shared" si="10"/>
        <v>0</v>
      </c>
      <c r="H192" s="84"/>
      <c r="I192" s="79"/>
      <c r="J192" s="79"/>
      <c r="K192" s="67"/>
      <c r="L192" s="81"/>
      <c r="M192" s="91"/>
      <c r="N192" s="44"/>
      <c r="R192" s="47">
        <f t="shared" si="8"/>
        <v>0</v>
      </c>
      <c r="S192" s="47" t="str">
        <f t="shared" si="9"/>
        <v>0;</v>
      </c>
    </row>
    <row r="193" spans="1:19">
      <c r="A193" s="54"/>
      <c r="B193" s="54">
        <v>190</v>
      </c>
      <c r="C193" s="65"/>
      <c r="D193" s="67"/>
      <c r="E193" s="68"/>
      <c r="F193" s="68"/>
      <c r="G193" s="174">
        <f t="shared" si="10"/>
        <v>0</v>
      </c>
      <c r="H193" s="84"/>
      <c r="I193" s="79"/>
      <c r="J193" s="79"/>
      <c r="K193" s="67"/>
      <c r="L193" s="81"/>
      <c r="M193" s="91"/>
      <c r="N193" s="44"/>
      <c r="R193" s="47">
        <f t="shared" si="8"/>
        <v>0</v>
      </c>
      <c r="S193" s="47" t="str">
        <f t="shared" si="9"/>
        <v>0;</v>
      </c>
    </row>
    <row r="194" spans="1:19">
      <c r="A194" s="54"/>
      <c r="B194" s="54">
        <v>191</v>
      </c>
      <c r="C194" s="65"/>
      <c r="D194" s="67"/>
      <c r="E194" s="68"/>
      <c r="F194" s="68"/>
      <c r="G194" s="174">
        <f t="shared" si="10"/>
        <v>0</v>
      </c>
      <c r="H194" s="84"/>
      <c r="I194" s="79"/>
      <c r="J194" s="79"/>
      <c r="K194" s="67"/>
      <c r="L194" s="81"/>
      <c r="M194" s="91"/>
      <c r="N194" s="44"/>
      <c r="R194" s="47">
        <f t="shared" si="8"/>
        <v>0</v>
      </c>
      <c r="S194" s="47" t="str">
        <f t="shared" si="9"/>
        <v>0;</v>
      </c>
    </row>
    <row r="195" spans="1:19">
      <c r="A195" s="54"/>
      <c r="B195" s="54">
        <v>192</v>
      </c>
      <c r="C195" s="65"/>
      <c r="D195" s="67"/>
      <c r="E195" s="68"/>
      <c r="F195" s="68"/>
      <c r="G195" s="174">
        <f t="shared" si="10"/>
        <v>0</v>
      </c>
      <c r="H195" s="84"/>
      <c r="I195" s="79"/>
      <c r="J195" s="79"/>
      <c r="K195" s="67"/>
      <c r="L195" s="81"/>
      <c r="M195" s="91"/>
      <c r="N195" s="44"/>
      <c r="R195" s="47">
        <f t="shared" si="8"/>
        <v>0</v>
      </c>
      <c r="S195" s="47" t="str">
        <f t="shared" si="9"/>
        <v>0;</v>
      </c>
    </row>
    <row r="196" spans="1:19">
      <c r="A196" s="54"/>
      <c r="B196" s="54">
        <v>193</v>
      </c>
      <c r="C196" s="65"/>
      <c r="D196" s="67"/>
      <c r="E196" s="68"/>
      <c r="F196" s="68"/>
      <c r="G196" s="174">
        <f t="shared" si="10"/>
        <v>0</v>
      </c>
      <c r="H196" s="84"/>
      <c r="I196" s="79"/>
      <c r="J196" s="79"/>
      <c r="K196" s="67"/>
      <c r="L196" s="81"/>
      <c r="M196" s="91"/>
      <c r="N196" s="44"/>
      <c r="R196" s="47">
        <f t="shared" si="8"/>
        <v>0</v>
      </c>
      <c r="S196" s="47" t="str">
        <f t="shared" si="9"/>
        <v>0;</v>
      </c>
    </row>
    <row r="197" spans="1:19">
      <c r="A197" s="54"/>
      <c r="B197" s="54">
        <v>194</v>
      </c>
      <c r="C197" s="65"/>
      <c r="D197" s="67"/>
      <c r="E197" s="68"/>
      <c r="F197" s="68"/>
      <c r="G197" s="174">
        <f t="shared" si="10"/>
        <v>0</v>
      </c>
      <c r="H197" s="84"/>
      <c r="I197" s="79"/>
      <c r="J197" s="79"/>
      <c r="K197" s="67"/>
      <c r="L197" s="81"/>
      <c r="M197" s="91"/>
      <c r="N197" s="44"/>
      <c r="R197" s="47">
        <f t="shared" si="8"/>
        <v>0</v>
      </c>
      <c r="S197" s="47" t="str">
        <f t="shared" si="9"/>
        <v>0;</v>
      </c>
    </row>
    <row r="198" spans="1:19">
      <c r="A198" s="54"/>
      <c r="B198" s="54">
        <v>195</v>
      </c>
      <c r="C198" s="65"/>
      <c r="D198" s="67"/>
      <c r="E198" s="68"/>
      <c r="F198" s="68"/>
      <c r="G198" s="174">
        <f t="shared" si="10"/>
        <v>0</v>
      </c>
      <c r="H198" s="84"/>
      <c r="I198" s="79"/>
      <c r="J198" s="79"/>
      <c r="K198" s="67"/>
      <c r="L198" s="81"/>
      <c r="M198" s="91"/>
      <c r="N198" s="44"/>
      <c r="R198" s="47">
        <f t="shared" si="8"/>
        <v>0</v>
      </c>
      <c r="S198" s="47" t="str">
        <f t="shared" si="9"/>
        <v>0;</v>
      </c>
    </row>
    <row r="199" spans="1:19">
      <c r="A199" s="54"/>
      <c r="B199" s="54">
        <v>196</v>
      </c>
      <c r="C199" s="65"/>
      <c r="D199" s="67"/>
      <c r="E199" s="68"/>
      <c r="F199" s="68"/>
      <c r="G199" s="174">
        <f t="shared" si="10"/>
        <v>0</v>
      </c>
      <c r="H199" s="84"/>
      <c r="I199" s="79"/>
      <c r="J199" s="79"/>
      <c r="K199" s="67"/>
      <c r="L199" s="81"/>
      <c r="M199" s="91"/>
      <c r="N199" s="44"/>
      <c r="R199" s="47">
        <f t="shared" si="8"/>
        <v>0</v>
      </c>
      <c r="S199" s="47" t="str">
        <f t="shared" si="9"/>
        <v>0;</v>
      </c>
    </row>
    <row r="200" spans="1:19">
      <c r="A200" s="54"/>
      <c r="B200" s="54">
        <v>197</v>
      </c>
      <c r="C200" s="65"/>
      <c r="D200" s="67"/>
      <c r="E200" s="68"/>
      <c r="F200" s="68"/>
      <c r="G200" s="174">
        <f t="shared" si="10"/>
        <v>0</v>
      </c>
      <c r="H200" s="84"/>
      <c r="I200" s="79"/>
      <c r="J200" s="79"/>
      <c r="K200" s="67"/>
      <c r="L200" s="81"/>
      <c r="M200" s="91"/>
      <c r="N200" s="44"/>
      <c r="R200" s="47">
        <f t="shared" si="8"/>
        <v>0</v>
      </c>
      <c r="S200" s="47" t="str">
        <f t="shared" si="9"/>
        <v>0;</v>
      </c>
    </row>
    <row r="201" spans="1:19">
      <c r="A201" s="54"/>
      <c r="B201" s="54">
        <v>198</v>
      </c>
      <c r="C201" s="65"/>
      <c r="D201" s="67"/>
      <c r="E201" s="68"/>
      <c r="F201" s="68"/>
      <c r="G201" s="174">
        <f t="shared" si="10"/>
        <v>0</v>
      </c>
      <c r="H201" s="84"/>
      <c r="I201" s="79"/>
      <c r="J201" s="79"/>
      <c r="K201" s="67"/>
      <c r="L201" s="81"/>
      <c r="M201" s="91"/>
      <c r="N201" s="44"/>
      <c r="R201" s="47">
        <f t="shared" si="8"/>
        <v>0</v>
      </c>
      <c r="S201" s="47" t="str">
        <f t="shared" si="9"/>
        <v>0;</v>
      </c>
    </row>
    <row r="202" spans="1:19">
      <c r="A202" s="54"/>
      <c r="B202" s="54">
        <v>199</v>
      </c>
      <c r="C202" s="65"/>
      <c r="D202" s="67"/>
      <c r="E202" s="68"/>
      <c r="F202" s="68"/>
      <c r="G202" s="174">
        <f t="shared" si="10"/>
        <v>0</v>
      </c>
      <c r="H202" s="84"/>
      <c r="I202" s="79"/>
      <c r="J202" s="79"/>
      <c r="K202" s="67"/>
      <c r="L202" s="81"/>
      <c r="M202" s="91"/>
      <c r="N202" s="44"/>
      <c r="R202" s="47">
        <f t="shared" si="8"/>
        <v>0</v>
      </c>
      <c r="S202" s="47" t="str">
        <f t="shared" si="9"/>
        <v>0;</v>
      </c>
    </row>
    <row r="203" spans="1:19">
      <c r="A203" s="54"/>
      <c r="B203" s="54">
        <v>200</v>
      </c>
      <c r="C203" s="65"/>
      <c r="D203" s="67"/>
      <c r="E203" s="68"/>
      <c r="F203" s="68"/>
      <c r="G203" s="174">
        <f t="shared" si="10"/>
        <v>0</v>
      </c>
      <c r="H203" s="84"/>
      <c r="I203" s="79"/>
      <c r="J203" s="79"/>
      <c r="K203" s="67"/>
      <c r="L203" s="81"/>
      <c r="M203" s="91"/>
      <c r="N203" s="44"/>
      <c r="R203" s="47">
        <f t="shared" ref="R203:R207" si="11">H205</f>
        <v>0</v>
      </c>
      <c r="S203" s="47" t="str">
        <f t="shared" ref="S203:S207" si="12">CONCATENATE(R203,$R$3)</f>
        <v>0;</v>
      </c>
    </row>
    <row r="204" spans="1:19">
      <c r="A204" s="54"/>
      <c r="B204" s="54">
        <v>201</v>
      </c>
      <c r="C204" s="65"/>
      <c r="D204" s="63"/>
      <c r="E204" s="68"/>
      <c r="F204" s="68"/>
      <c r="G204" s="174">
        <f t="shared" si="10"/>
        <v>0</v>
      </c>
      <c r="H204" s="84"/>
      <c r="I204" s="79"/>
      <c r="J204" s="79"/>
      <c r="K204" s="67"/>
      <c r="L204" s="81"/>
      <c r="M204" s="91"/>
      <c r="N204" s="44"/>
      <c r="R204" s="47">
        <f t="shared" si="11"/>
        <v>0</v>
      </c>
      <c r="S204" s="47" t="str">
        <f t="shared" si="12"/>
        <v>0;</v>
      </c>
    </row>
    <row r="205" spans="1:19">
      <c r="A205" s="54"/>
      <c r="B205" s="54">
        <v>202</v>
      </c>
      <c r="C205" s="65"/>
      <c r="D205" s="67"/>
      <c r="E205" s="68"/>
      <c r="F205" s="68"/>
      <c r="G205" s="174">
        <f t="shared" ref="G205:G207" si="13">F205-E205</f>
        <v>0</v>
      </c>
      <c r="H205" s="84"/>
      <c r="I205" s="79"/>
      <c r="J205" s="79"/>
      <c r="K205" s="67"/>
      <c r="L205" s="81"/>
      <c r="M205" s="91"/>
      <c r="N205" s="44"/>
      <c r="R205" s="47">
        <f t="shared" si="11"/>
        <v>0</v>
      </c>
      <c r="S205" s="47" t="str">
        <f t="shared" si="12"/>
        <v>0;</v>
      </c>
    </row>
    <row r="206" spans="1:19">
      <c r="A206" s="54"/>
      <c r="B206" s="54">
        <v>203</v>
      </c>
      <c r="C206" s="65"/>
      <c r="D206" s="63"/>
      <c r="E206" s="68"/>
      <c r="F206" s="68"/>
      <c r="G206" s="174">
        <f t="shared" si="13"/>
        <v>0</v>
      </c>
      <c r="H206" s="84"/>
      <c r="I206" s="79"/>
      <c r="J206" s="79"/>
      <c r="K206" s="67"/>
      <c r="L206" s="81"/>
      <c r="M206" s="91"/>
      <c r="N206" s="44"/>
      <c r="R206" s="47">
        <f t="shared" si="11"/>
        <v>0</v>
      </c>
      <c r="S206" s="47" t="str">
        <f t="shared" si="12"/>
        <v>0;</v>
      </c>
    </row>
    <row r="207" spans="1:19">
      <c r="A207" s="54"/>
      <c r="B207" s="54">
        <v>204</v>
      </c>
      <c r="C207" s="65"/>
      <c r="D207" s="67"/>
      <c r="E207" s="68"/>
      <c r="F207" s="68"/>
      <c r="G207" s="174">
        <f t="shared" si="13"/>
        <v>0</v>
      </c>
      <c r="H207" s="84"/>
      <c r="I207" s="79"/>
      <c r="J207" s="79"/>
      <c r="K207" s="67"/>
      <c r="L207" s="81"/>
      <c r="M207" s="91"/>
      <c r="N207" s="44"/>
      <c r="R207" s="47">
        <f t="shared" si="11"/>
        <v>0</v>
      </c>
      <c r="S207" s="47" t="str">
        <f t="shared" si="12"/>
        <v>0;</v>
      </c>
    </row>
    <row r="208" spans="1:19">
      <c r="A208" s="69"/>
      <c r="B208" s="69"/>
      <c r="C208" s="70" t="s">
        <v>57</v>
      </c>
      <c r="D208" s="63" t="s">
        <v>66</v>
      </c>
      <c r="E208" s="71"/>
      <c r="F208" s="71"/>
      <c r="G208" s="72"/>
      <c r="H208" s="92"/>
      <c r="I208" s="93"/>
      <c r="J208" s="93"/>
      <c r="K208" s="94"/>
      <c r="L208" s="95"/>
      <c r="M208" s="96"/>
      <c r="N208" s="69"/>
      <c r="O208" s="62"/>
      <c r="P208" s="62"/>
    </row>
    <row r="209" spans="1:16">
      <c r="A209" s="62"/>
      <c r="B209" s="62"/>
      <c r="C209" s="73" t="s">
        <v>59</v>
      </c>
      <c r="D209" s="63" t="s">
        <v>67</v>
      </c>
      <c r="E209" s="97"/>
      <c r="F209" s="97"/>
      <c r="G209" s="97"/>
      <c r="H209" s="97"/>
      <c r="I209" s="97"/>
      <c r="J209" s="97"/>
      <c r="K209" s="97"/>
      <c r="L209" s="97"/>
      <c r="M209" s="97"/>
      <c r="N209" s="62"/>
      <c r="O209" s="62"/>
      <c r="P209" s="62"/>
    </row>
    <row r="210" spans="1:16">
      <c r="A210" s="62"/>
      <c r="B210" s="62"/>
      <c r="C210" s="73" t="s">
        <v>58</v>
      </c>
      <c r="D210" s="63" t="s">
        <v>61</v>
      </c>
      <c r="E210" s="97"/>
      <c r="F210" s="97"/>
      <c r="G210" s="97"/>
      <c r="H210" s="97"/>
      <c r="I210" s="97"/>
      <c r="J210" s="97"/>
      <c r="K210" s="97"/>
      <c r="L210" s="97"/>
      <c r="M210" s="97"/>
      <c r="N210" s="62"/>
      <c r="O210" s="62"/>
      <c r="P210" s="62"/>
    </row>
    <row r="211" spans="1:16">
      <c r="A211" s="62"/>
      <c r="B211" s="62"/>
      <c r="C211" s="97"/>
      <c r="D211" s="97"/>
      <c r="E211" s="97"/>
      <c r="F211" s="97"/>
      <c r="G211" s="97"/>
      <c r="H211" s="97"/>
      <c r="I211" s="97"/>
      <c r="J211" s="97"/>
      <c r="K211" s="97"/>
      <c r="L211" s="97"/>
      <c r="M211" s="97"/>
      <c r="N211" s="62"/>
      <c r="O211" s="62"/>
      <c r="P211" s="62"/>
    </row>
    <row r="212" spans="1:16">
      <c r="A212" s="62"/>
      <c r="B212" s="62"/>
      <c r="C212" s="97"/>
      <c r="D212" s="97"/>
      <c r="E212" s="97"/>
      <c r="F212" s="97"/>
      <c r="G212" s="97"/>
      <c r="H212" s="97"/>
      <c r="I212" s="97"/>
      <c r="J212" s="97"/>
      <c r="K212" s="97"/>
      <c r="L212" s="97"/>
      <c r="M212" s="97"/>
      <c r="N212" s="62"/>
      <c r="O212" s="62"/>
      <c r="P212" s="62"/>
    </row>
    <row r="213" spans="1:16">
      <c r="A213" s="62"/>
      <c r="B213" s="62"/>
      <c r="C213" s="97"/>
      <c r="D213" s="97"/>
      <c r="E213" s="97"/>
      <c r="F213" s="97"/>
      <c r="G213" s="97"/>
      <c r="H213" s="97"/>
      <c r="I213" s="97"/>
      <c r="J213" s="97"/>
      <c r="K213" s="97"/>
      <c r="L213" s="97"/>
      <c r="M213" s="97"/>
      <c r="N213" s="62"/>
      <c r="O213" s="62"/>
      <c r="P213" s="62"/>
    </row>
    <row r="214" spans="1:16">
      <c r="C214" s="98"/>
      <c r="D214" s="98"/>
      <c r="E214" s="98"/>
      <c r="F214" s="98"/>
      <c r="G214" s="98"/>
      <c r="H214" s="98"/>
      <c r="I214" s="98"/>
      <c r="J214" s="98"/>
      <c r="K214" s="98"/>
      <c r="L214" s="98"/>
      <c r="M214" s="98"/>
    </row>
    <row r="215" spans="1:16">
      <c r="C215" s="98"/>
      <c r="D215" s="98"/>
      <c r="E215" s="98"/>
      <c r="F215" s="98"/>
      <c r="G215" s="98"/>
      <c r="H215" s="98"/>
      <c r="I215" s="98"/>
      <c r="J215" s="98"/>
      <c r="K215" s="98"/>
      <c r="L215" s="98"/>
      <c r="M215" s="98"/>
    </row>
    <row r="216" spans="1:16">
      <c r="C216" s="98"/>
      <c r="D216" s="98"/>
      <c r="E216" s="98"/>
      <c r="F216" s="98"/>
      <c r="G216" s="98"/>
      <c r="H216" s="98"/>
      <c r="I216" s="98"/>
      <c r="J216" s="98"/>
      <c r="K216" s="98"/>
      <c r="L216" s="98"/>
      <c r="M216" s="98"/>
    </row>
    <row r="217" spans="1:16">
      <c r="C217" s="98"/>
      <c r="D217" s="98"/>
      <c r="E217" s="98"/>
      <c r="F217" s="98"/>
      <c r="G217" s="98"/>
      <c r="H217" s="98"/>
      <c r="I217" s="98"/>
      <c r="J217" s="98"/>
      <c r="K217" s="98"/>
      <c r="L217" s="98"/>
      <c r="M217" s="98"/>
    </row>
    <row r="218" spans="1:16">
      <c r="C218" s="98"/>
      <c r="D218" s="98"/>
      <c r="E218" s="98"/>
      <c r="F218" s="98"/>
      <c r="G218" s="98"/>
      <c r="H218" s="98"/>
      <c r="I218" s="98"/>
      <c r="J218" s="98"/>
      <c r="K218" s="98"/>
      <c r="L218" s="98"/>
      <c r="M218" s="98"/>
    </row>
    <row r="219" spans="1:16">
      <c r="C219" s="98"/>
      <c r="D219" s="98"/>
      <c r="E219" s="98"/>
      <c r="F219" s="98"/>
      <c r="G219" s="98"/>
      <c r="H219" s="98"/>
      <c r="I219" s="98"/>
      <c r="J219" s="98"/>
      <c r="K219" s="98"/>
      <c r="L219" s="98"/>
      <c r="M219" s="98"/>
    </row>
    <row r="220" spans="1:16">
      <c r="C220" s="98"/>
      <c r="D220" s="98"/>
      <c r="E220" s="98"/>
      <c r="F220" s="98"/>
      <c r="G220" s="98"/>
      <c r="H220" s="98"/>
      <c r="I220" s="98"/>
      <c r="J220" s="98"/>
      <c r="K220" s="98"/>
      <c r="L220" s="98"/>
      <c r="M220" s="98"/>
    </row>
    <row r="221" spans="1:16">
      <c r="C221" s="98"/>
      <c r="D221" s="98"/>
      <c r="E221" s="98"/>
      <c r="F221" s="98"/>
      <c r="G221" s="98"/>
      <c r="H221" s="98"/>
      <c r="I221" s="98"/>
      <c r="J221" s="98"/>
      <c r="K221" s="98"/>
      <c r="L221" s="98"/>
      <c r="M221" s="98"/>
    </row>
    <row r="222" spans="1:16">
      <c r="C222" s="98"/>
      <c r="D222" s="98"/>
      <c r="E222" s="98"/>
      <c r="F222" s="98"/>
      <c r="G222" s="98"/>
      <c r="H222" s="98"/>
      <c r="I222" s="98"/>
      <c r="J222" s="98"/>
      <c r="K222" s="98"/>
      <c r="L222" s="98"/>
      <c r="M222" s="98"/>
    </row>
    <row r="223" spans="1:16">
      <c r="C223" s="98"/>
      <c r="D223" s="98"/>
      <c r="E223" s="98"/>
      <c r="F223" s="98"/>
      <c r="G223" s="98"/>
      <c r="H223" s="98"/>
      <c r="I223" s="98"/>
      <c r="J223" s="98"/>
      <c r="K223" s="98"/>
      <c r="L223" s="98"/>
      <c r="M223" s="98"/>
    </row>
    <row r="224" spans="1:16">
      <c r="C224" s="98"/>
      <c r="D224" s="98"/>
      <c r="E224" s="98"/>
      <c r="F224" s="98"/>
      <c r="G224" s="98"/>
      <c r="H224" s="98"/>
      <c r="I224" s="98"/>
      <c r="J224" s="98"/>
      <c r="K224" s="98"/>
      <c r="L224" s="98"/>
      <c r="M224" s="98"/>
    </row>
    <row r="225" spans="3:13">
      <c r="C225" s="98"/>
      <c r="D225" s="98"/>
      <c r="E225" s="98"/>
      <c r="F225" s="98"/>
      <c r="G225" s="98"/>
      <c r="H225" s="98"/>
      <c r="I225" s="98"/>
      <c r="J225" s="98"/>
      <c r="K225" s="98"/>
      <c r="L225" s="98"/>
      <c r="M225" s="98"/>
    </row>
    <row r="226" spans="3:13">
      <c r="C226" s="98"/>
      <c r="D226" s="98"/>
      <c r="E226" s="98"/>
      <c r="F226" s="98"/>
      <c r="G226" s="98"/>
      <c r="H226" s="98"/>
      <c r="I226" s="98"/>
      <c r="J226" s="98"/>
      <c r="K226" s="98"/>
      <c r="L226" s="98"/>
      <c r="M226" s="98"/>
    </row>
    <row r="227" spans="3:13">
      <c r="C227" s="98"/>
      <c r="D227" s="98"/>
      <c r="E227" s="98"/>
      <c r="F227" s="98"/>
      <c r="G227" s="98"/>
      <c r="H227" s="98"/>
      <c r="I227" s="98"/>
      <c r="J227" s="98"/>
      <c r="K227" s="98"/>
      <c r="L227" s="98"/>
      <c r="M227" s="98"/>
    </row>
    <row r="228" spans="3:13">
      <c r="C228" s="98"/>
      <c r="D228" s="98"/>
      <c r="E228" s="98"/>
      <c r="F228" s="98"/>
      <c r="G228" s="98"/>
      <c r="H228" s="98"/>
      <c r="I228" s="98"/>
      <c r="J228" s="98"/>
      <c r="K228" s="98"/>
      <c r="L228" s="98"/>
      <c r="M228" s="98"/>
    </row>
    <row r="229" spans="3:13">
      <c r="C229" s="98"/>
      <c r="D229" s="98"/>
      <c r="E229" s="98"/>
      <c r="F229" s="98"/>
      <c r="G229" s="98"/>
      <c r="H229" s="98"/>
      <c r="I229" s="98"/>
      <c r="J229" s="98"/>
      <c r="K229" s="98"/>
      <c r="L229" s="98"/>
      <c r="M229" s="98"/>
    </row>
    <row r="230" spans="3:13">
      <c r="C230" s="98"/>
      <c r="D230" s="98"/>
      <c r="E230" s="98"/>
      <c r="F230" s="98"/>
      <c r="G230" s="98"/>
      <c r="H230" s="98"/>
      <c r="I230" s="98"/>
      <c r="J230" s="98"/>
      <c r="K230" s="98"/>
      <c r="L230" s="98"/>
      <c r="M230" s="98"/>
    </row>
    <row r="231" spans="3:13">
      <c r="C231" s="98"/>
      <c r="D231" s="98"/>
      <c r="E231" s="98"/>
      <c r="F231" s="98"/>
      <c r="G231" s="98"/>
      <c r="H231" s="98"/>
      <c r="I231" s="98"/>
      <c r="J231" s="98"/>
      <c r="K231" s="98"/>
      <c r="L231" s="98"/>
      <c r="M231" s="98"/>
    </row>
    <row r="232" spans="3:13">
      <c r="C232" s="98"/>
      <c r="D232" s="98"/>
      <c r="E232" s="98"/>
      <c r="F232" s="98"/>
      <c r="G232" s="98"/>
      <c r="H232" s="98"/>
      <c r="I232" s="98"/>
      <c r="J232" s="98"/>
      <c r="K232" s="98"/>
      <c r="L232" s="98"/>
      <c r="M232" s="98"/>
    </row>
    <row r="233" spans="3:13">
      <c r="C233" s="98"/>
      <c r="D233" s="98"/>
      <c r="E233" s="98"/>
      <c r="F233" s="98"/>
      <c r="G233" s="98"/>
      <c r="H233" s="98"/>
      <c r="I233" s="98"/>
      <c r="J233" s="98"/>
      <c r="K233" s="98"/>
      <c r="L233" s="98"/>
      <c r="M233" s="98"/>
    </row>
    <row r="234" spans="3:13">
      <c r="C234" s="98"/>
      <c r="D234" s="98"/>
      <c r="E234" s="98"/>
      <c r="F234" s="98"/>
      <c r="G234" s="98"/>
      <c r="H234" s="98"/>
      <c r="I234" s="98"/>
      <c r="J234" s="98"/>
      <c r="K234" s="98"/>
      <c r="L234" s="98"/>
      <c r="M234" s="98"/>
    </row>
    <row r="235" spans="3:13">
      <c r="C235" s="98"/>
      <c r="D235" s="98"/>
      <c r="E235" s="98"/>
      <c r="F235" s="98"/>
      <c r="G235" s="98"/>
      <c r="H235" s="98"/>
      <c r="I235" s="98"/>
      <c r="J235" s="98"/>
      <c r="K235" s="98"/>
      <c r="L235" s="98"/>
      <c r="M235" s="98"/>
    </row>
    <row r="236" spans="3:13">
      <c r="C236" s="98"/>
      <c r="D236" s="98"/>
      <c r="E236" s="98"/>
      <c r="F236" s="98"/>
      <c r="G236" s="98"/>
      <c r="H236" s="98"/>
      <c r="I236" s="98"/>
      <c r="J236" s="98"/>
      <c r="K236" s="98"/>
      <c r="L236" s="98"/>
      <c r="M236" s="98"/>
    </row>
    <row r="237" spans="3:13">
      <c r="C237" s="98"/>
      <c r="D237" s="98"/>
      <c r="E237" s="98"/>
      <c r="F237" s="98"/>
      <c r="G237" s="98"/>
      <c r="H237" s="98"/>
      <c r="I237" s="98"/>
      <c r="J237" s="98"/>
      <c r="K237" s="98"/>
      <c r="L237" s="98"/>
      <c r="M237" s="98"/>
    </row>
    <row r="238" spans="3:13">
      <c r="C238" s="98"/>
      <c r="D238" s="98"/>
      <c r="E238" s="98"/>
      <c r="F238" s="98"/>
      <c r="G238" s="98"/>
      <c r="H238" s="98"/>
      <c r="I238" s="98"/>
      <c r="J238" s="98"/>
      <c r="K238" s="98"/>
      <c r="L238" s="98"/>
      <c r="M238" s="98"/>
    </row>
    <row r="239" spans="3:13">
      <c r="C239" s="98"/>
      <c r="D239" s="98"/>
      <c r="E239" s="98"/>
      <c r="F239" s="98"/>
      <c r="G239" s="98"/>
      <c r="H239" s="98"/>
      <c r="I239" s="98"/>
      <c r="J239" s="98"/>
      <c r="K239" s="98"/>
      <c r="L239" s="98"/>
      <c r="M239" s="98"/>
    </row>
    <row r="240" spans="3:13">
      <c r="C240" s="98"/>
      <c r="D240" s="98"/>
      <c r="E240" s="98"/>
      <c r="F240" s="98"/>
      <c r="G240" s="98"/>
      <c r="H240" s="98"/>
      <c r="I240" s="98"/>
      <c r="J240" s="98"/>
      <c r="K240" s="98"/>
      <c r="L240" s="98"/>
      <c r="M240" s="98"/>
    </row>
    <row r="241" spans="3:13">
      <c r="C241" s="98"/>
      <c r="D241" s="98"/>
      <c r="E241" s="98"/>
      <c r="F241" s="98"/>
      <c r="G241" s="98"/>
      <c r="H241" s="98"/>
      <c r="I241" s="98"/>
      <c r="J241" s="98"/>
      <c r="K241" s="98"/>
      <c r="L241" s="98"/>
      <c r="M241" s="98"/>
    </row>
    <row r="242" spans="3:13">
      <c r="C242" s="98"/>
      <c r="D242" s="98"/>
      <c r="E242" s="98"/>
      <c r="F242" s="98"/>
      <c r="G242" s="98"/>
      <c r="H242" s="98"/>
      <c r="I242" s="98"/>
      <c r="J242" s="98"/>
      <c r="K242" s="98"/>
      <c r="L242" s="98"/>
      <c r="M242" s="98"/>
    </row>
    <row r="243" spans="3:13">
      <c r="C243" s="98"/>
      <c r="D243" s="98"/>
      <c r="E243" s="98"/>
      <c r="F243" s="98"/>
      <c r="G243" s="98"/>
      <c r="H243" s="98"/>
      <c r="I243" s="98"/>
      <c r="J243" s="98"/>
      <c r="K243" s="98"/>
      <c r="L243" s="98"/>
      <c r="M243" s="98"/>
    </row>
    <row r="244" spans="3:13">
      <c r="C244" s="98"/>
      <c r="D244" s="98"/>
      <c r="E244" s="98"/>
      <c r="F244" s="98"/>
      <c r="G244" s="98"/>
      <c r="H244" s="98"/>
      <c r="I244" s="98"/>
      <c r="J244" s="98"/>
      <c r="K244" s="98"/>
      <c r="L244" s="98"/>
      <c r="M244" s="98"/>
    </row>
    <row r="245" spans="3:13">
      <c r="C245" s="98"/>
      <c r="D245" s="98"/>
      <c r="E245" s="98"/>
      <c r="F245" s="98"/>
      <c r="G245" s="98"/>
      <c r="H245" s="98"/>
      <c r="I245" s="98"/>
      <c r="J245" s="98"/>
      <c r="K245" s="98"/>
      <c r="L245" s="98"/>
      <c r="M245" s="98"/>
    </row>
    <row r="246" spans="3:13">
      <c r="C246" s="98"/>
      <c r="D246" s="98"/>
      <c r="E246" s="98"/>
      <c r="F246" s="98"/>
      <c r="G246" s="98"/>
      <c r="H246" s="98"/>
      <c r="I246" s="98"/>
      <c r="J246" s="98"/>
      <c r="K246" s="98"/>
      <c r="L246" s="98"/>
      <c r="M246" s="98"/>
    </row>
    <row r="247" spans="3:13">
      <c r="C247" s="98"/>
      <c r="D247" s="98"/>
      <c r="E247" s="98"/>
      <c r="F247" s="98"/>
      <c r="G247" s="98"/>
      <c r="H247" s="98"/>
      <c r="I247" s="98"/>
      <c r="J247" s="98"/>
      <c r="K247" s="98"/>
      <c r="L247" s="98"/>
      <c r="M247" s="98"/>
    </row>
    <row r="248" spans="3:13">
      <c r="C248" s="98"/>
      <c r="D248" s="98"/>
      <c r="E248" s="98"/>
      <c r="F248" s="98"/>
      <c r="G248" s="98"/>
      <c r="H248" s="98"/>
      <c r="I248" s="98"/>
      <c r="J248" s="98"/>
      <c r="K248" s="98"/>
      <c r="L248" s="98"/>
      <c r="M248" s="98"/>
    </row>
    <row r="249" spans="3:13">
      <c r="C249" s="98"/>
      <c r="D249" s="98"/>
      <c r="E249" s="98"/>
      <c r="F249" s="98"/>
      <c r="G249" s="98"/>
      <c r="H249" s="98"/>
      <c r="I249" s="98"/>
      <c r="J249" s="98"/>
      <c r="K249" s="98"/>
      <c r="L249" s="98"/>
      <c r="M249" s="98"/>
    </row>
    <row r="250" spans="3:13">
      <c r="C250" s="98"/>
      <c r="D250" s="98"/>
      <c r="E250" s="98"/>
      <c r="F250" s="98"/>
      <c r="G250" s="98"/>
      <c r="H250" s="98"/>
      <c r="I250" s="98"/>
      <c r="J250" s="98"/>
      <c r="K250" s="98"/>
      <c r="L250" s="98"/>
      <c r="M250" s="98"/>
    </row>
    <row r="251" spans="3:13">
      <c r="C251" s="98"/>
      <c r="D251" s="98"/>
      <c r="E251" s="98"/>
      <c r="F251" s="98"/>
      <c r="G251" s="98"/>
      <c r="H251" s="98"/>
      <c r="I251" s="98"/>
      <c r="J251" s="98"/>
      <c r="K251" s="98"/>
      <c r="L251" s="98"/>
      <c r="M251" s="98"/>
    </row>
    <row r="252" spans="3:13">
      <c r="C252" s="98"/>
      <c r="D252" s="98"/>
      <c r="E252" s="98"/>
      <c r="F252" s="98"/>
      <c r="G252" s="98"/>
      <c r="H252" s="98"/>
      <c r="I252" s="98"/>
      <c r="J252" s="98"/>
      <c r="K252" s="98"/>
      <c r="L252" s="98"/>
      <c r="M252" s="98"/>
    </row>
    <row r="253" spans="3:13">
      <c r="C253" s="98"/>
      <c r="D253" s="98"/>
      <c r="E253" s="98"/>
      <c r="F253" s="98"/>
      <c r="G253" s="98"/>
      <c r="H253" s="98"/>
      <c r="I253" s="98"/>
      <c r="J253" s="98"/>
      <c r="K253" s="98"/>
      <c r="L253" s="98"/>
      <c r="M253" s="98"/>
    </row>
  </sheetData>
  <sheetProtection algorithmName="SHA-512" hashValue="fcP56hkslsUpvLhh6lQwlG7nuEqlw00RVwGCvI5bDHq/TAASpz5U84Cwg9aBxQse0BjtoS/uA2eE1ugVGVOFUQ==" saltValue="3YsbnFR72nJ616GGaTsReA==" spinCount="100000" sheet="1" formatRows="0" insertRows="0" deleteRows="0"/>
  <sortState ref="Q4:T32">
    <sortCondition ref="Q4:Q32"/>
  </sortState>
  <customSheetViews>
    <customSheetView guid="{77A8CDE7-0C4B-4AA6-8C4B-62BFC960DC0D}" scale="85" showPageBreaks="1" printArea="1">
      <selection activeCell="D6" sqref="D6"/>
      <pageMargins left="0.19685039370078741" right="0.19685039370078741" top="0.39370078740157483" bottom="0.74803149606299213" header="0.31496062992125984" footer="0.31496062992125984"/>
      <printOptions gridLines="1"/>
      <pageSetup scale="38" orientation="portrait" blackAndWhite="1" r:id="rId1"/>
    </customSheetView>
  </customSheetViews>
  <conditionalFormatting sqref="C5">
    <cfRule type="expression" dxfId="958" priority="1235">
      <formula>$A5="Inicio Liberación"</formula>
    </cfRule>
  </conditionalFormatting>
  <conditionalFormatting sqref="C5">
    <cfRule type="expression" dxfId="957" priority="1234">
      <formula>$A5="Fin Liberación"</formula>
    </cfRule>
  </conditionalFormatting>
  <conditionalFormatting sqref="L4">
    <cfRule type="expression" dxfId="956" priority="1232">
      <formula>$A4="Fin Liberación"</formula>
    </cfRule>
    <cfRule type="expression" dxfId="955" priority="1233">
      <formula>$A4="Inicio Liberación"</formula>
    </cfRule>
  </conditionalFormatting>
  <conditionalFormatting sqref="L4:L40">
    <cfRule type="cellIs" dxfId="954" priority="1229" operator="equal">
      <formula>"S"</formula>
    </cfRule>
  </conditionalFormatting>
  <conditionalFormatting sqref="L4:L40">
    <cfRule type="cellIs" dxfId="953" priority="1226" operator="equal">
      <formula>"N"</formula>
    </cfRule>
    <cfRule type="cellIs" dxfId="952" priority="1227" operator="equal">
      <formula>"P"</formula>
    </cfRule>
    <cfRule type="cellIs" dxfId="951" priority="1228" operator="equal">
      <formula>"T"</formula>
    </cfRule>
  </conditionalFormatting>
  <conditionalFormatting sqref="L5:L40">
    <cfRule type="expression" dxfId="950" priority="1224">
      <formula>$A5="Fin Liberación"</formula>
    </cfRule>
    <cfRule type="expression" dxfId="949" priority="1225">
      <formula>$A5="Inicio Liberación"</formula>
    </cfRule>
  </conditionalFormatting>
  <conditionalFormatting sqref="C4">
    <cfRule type="expression" dxfId="948" priority="1221">
      <formula>$A4="Inicio Liberación"</formula>
    </cfRule>
  </conditionalFormatting>
  <conditionalFormatting sqref="C4">
    <cfRule type="expression" dxfId="947" priority="1220">
      <formula>$A4="Fin Liberación"</formula>
    </cfRule>
  </conditionalFormatting>
  <conditionalFormatting sqref="G6:G208">
    <cfRule type="expression" dxfId="946" priority="1212">
      <formula>$A6="Fin Liberación"</formula>
    </cfRule>
    <cfRule type="expression" dxfId="945" priority="1213">
      <formula>$A6="Inicio Liberación"</formula>
    </cfRule>
  </conditionalFormatting>
  <conditionalFormatting sqref="F208">
    <cfRule type="expression" dxfId="944" priority="1208">
      <formula>$A208="Fin Liberación"</formula>
    </cfRule>
    <cfRule type="expression" dxfId="943" priority="1209">
      <formula>$A208="Inicio Liberación"</formula>
    </cfRule>
  </conditionalFormatting>
  <conditionalFormatting sqref="L41:L208">
    <cfRule type="cellIs" dxfId="942" priority="1207" operator="equal">
      <formula>"S"</formula>
    </cfRule>
  </conditionalFormatting>
  <conditionalFormatting sqref="L41:L208">
    <cfRule type="cellIs" dxfId="941" priority="1204" operator="equal">
      <formula>"N"</formula>
    </cfRule>
    <cfRule type="cellIs" dxfId="940" priority="1205" operator="equal">
      <formula>"P"</formula>
    </cfRule>
    <cfRule type="cellIs" dxfId="939" priority="1206" operator="equal">
      <formula>"T"</formula>
    </cfRule>
  </conditionalFormatting>
  <conditionalFormatting sqref="L41:L208">
    <cfRule type="expression" dxfId="938" priority="1202">
      <formula>$A41="Fin Liberación"</formula>
    </cfRule>
    <cfRule type="expression" dxfId="937" priority="1203">
      <formula>$A41="Inicio Liberación"</formula>
    </cfRule>
  </conditionalFormatting>
  <conditionalFormatting sqref="G42:G208">
    <cfRule type="expression" dxfId="936" priority="1198">
      <formula>$A42="Fin Liberación"</formula>
    </cfRule>
    <cfRule type="expression" dxfId="935" priority="1199">
      <formula>$A42="Inicio Liberación"</formula>
    </cfRule>
  </conditionalFormatting>
  <conditionalFormatting sqref="E208">
    <cfRule type="expression" dxfId="934" priority="1181">
      <formula>$A208="Fin Liberación"</formula>
    </cfRule>
    <cfRule type="expression" dxfId="933" priority="1182">
      <formula>$A208="Inicio Liberación"</formula>
    </cfRule>
  </conditionalFormatting>
  <conditionalFormatting sqref="G40">
    <cfRule type="expression" dxfId="932" priority="1179">
      <formula>$A40="Fin Liberación"</formula>
    </cfRule>
    <cfRule type="expression" dxfId="931" priority="1180">
      <formula>$A40="Inicio Liberación"</formula>
    </cfRule>
  </conditionalFormatting>
  <conditionalFormatting sqref="G39">
    <cfRule type="expression" dxfId="930" priority="1169">
      <formula>$A39="Fin Liberación"</formula>
    </cfRule>
    <cfRule type="expression" dxfId="929" priority="1170">
      <formula>$A39="Inicio Liberación"</formula>
    </cfRule>
  </conditionalFormatting>
  <conditionalFormatting sqref="G6:G208">
    <cfRule type="expression" dxfId="928" priority="1167">
      <formula>$A6="Fin Liberación"</formula>
    </cfRule>
    <cfRule type="expression" dxfId="927" priority="1168">
      <formula>$A6="Inicio Liberación"</formula>
    </cfRule>
  </conditionalFormatting>
  <conditionalFormatting sqref="G6:G208">
    <cfRule type="containsErrors" dxfId="926" priority="1166">
      <formula>ISERROR(G6)</formula>
    </cfRule>
  </conditionalFormatting>
  <conditionalFormatting sqref="G6:G208">
    <cfRule type="expression" dxfId="925" priority="1164">
      <formula>$A6="Fin Liberación"</formula>
    </cfRule>
    <cfRule type="expression" dxfId="924" priority="1165">
      <formula>$A6="Inicio Liberación"</formula>
    </cfRule>
  </conditionalFormatting>
  <conditionalFormatting sqref="G6:G208">
    <cfRule type="expression" dxfId="923" priority="1162">
      <formula>$A6="Fin Liberación"</formula>
    </cfRule>
    <cfRule type="expression" dxfId="922" priority="1163">
      <formula>$A6="Inicio Liberación"</formula>
    </cfRule>
  </conditionalFormatting>
  <conditionalFormatting sqref="G6:G208">
    <cfRule type="expression" dxfId="921" priority="1160">
      <formula>$A6="Fin Liberación"</formula>
    </cfRule>
    <cfRule type="expression" dxfId="920" priority="1161">
      <formula>$A6="Inicio Liberación"</formula>
    </cfRule>
  </conditionalFormatting>
  <conditionalFormatting sqref="G5">
    <cfRule type="containsErrors" dxfId="919" priority="1151">
      <formula>ISERROR(G5)</formula>
    </cfRule>
    <cfRule type="expression" dxfId="918" priority="1152">
      <formula>$A5="Fin Liberación"</formula>
    </cfRule>
    <cfRule type="expression" dxfId="917" priority="1153">
      <formula>$A5="Inicio Liberación"</formula>
    </cfRule>
  </conditionalFormatting>
  <conditionalFormatting sqref="C16:C208">
    <cfRule type="expression" dxfId="916" priority="1148">
      <formula>$A16="Inicio Liberación"</formula>
    </cfRule>
  </conditionalFormatting>
  <conditionalFormatting sqref="C16:C208">
    <cfRule type="expression" dxfId="915" priority="1147">
      <formula>$A16="Fin Liberación"</formula>
    </cfRule>
  </conditionalFormatting>
  <conditionalFormatting sqref="C209">
    <cfRule type="expression" dxfId="914" priority="1146">
      <formula>$A209="Inicio Liberación"</formula>
    </cfRule>
  </conditionalFormatting>
  <conditionalFormatting sqref="C209">
    <cfRule type="expression" dxfId="913" priority="1145">
      <formula>$A209="Fin Liberación"</formula>
    </cfRule>
  </conditionalFormatting>
  <conditionalFormatting sqref="G4">
    <cfRule type="containsErrors" dxfId="912" priority="1125">
      <formula>ISERROR(G4)</formula>
    </cfRule>
    <cfRule type="expression" dxfId="911" priority="1126">
      <formula>$A4="Fin Liberación"</formula>
    </cfRule>
    <cfRule type="expression" dxfId="910" priority="1127">
      <formula>$A4="Inicio Liberación"</formula>
    </cfRule>
  </conditionalFormatting>
  <conditionalFormatting sqref="C210">
    <cfRule type="expression" dxfId="909" priority="1122">
      <formula>$A210="Inicio Liberación"</formula>
    </cfRule>
  </conditionalFormatting>
  <conditionalFormatting sqref="C210">
    <cfRule type="expression" dxfId="908" priority="1121">
      <formula>$A210="Fin Liberación"</formula>
    </cfRule>
  </conditionalFormatting>
  <conditionalFormatting sqref="E5">
    <cfRule type="containsText" dxfId="907" priority="1093" operator="containsText" text="Captura F/H Primer Actividad pestaña Plan">
      <formula>NOT(ISERROR(SEARCH("Captura F/H Primer Actividad pestaña Plan",E5)))</formula>
    </cfRule>
  </conditionalFormatting>
  <conditionalFormatting sqref="F5">
    <cfRule type="containsText" dxfId="906" priority="1069" operator="containsText" text="Captura la F/H FIN de Actividad actividad FIN del Plan">
      <formula>NOT(ISERROR(SEARCH("Captura la F/H FIN de Actividad actividad FIN del Plan",F5)))</formula>
    </cfRule>
    <cfRule type="containsText" dxfId="905" priority="1102" operator="containsText" text="Captura Actividad Macro">
      <formula>NOT(ISERROR(SEARCH("Captura Actividad Macro",F5)))</formula>
    </cfRule>
  </conditionalFormatting>
  <conditionalFormatting sqref="E4">
    <cfRule type="containsText" dxfId="904" priority="1099" operator="containsText" text="Captura Actividad Macro VTI">
      <formula>NOT(ISERROR(SEARCH("Captura Actividad Macro VTI",E4)))</formula>
    </cfRule>
  </conditionalFormatting>
  <conditionalFormatting sqref="F4">
    <cfRule type="containsText" dxfId="903" priority="1096" operator="containsText" text="Captura Actividad Macro VTF pestaña Plan">
      <formula>NOT(ISERROR(SEARCH("Captura Actividad Macro VTF pestaña Plan",F4)))</formula>
    </cfRule>
  </conditionalFormatting>
  <conditionalFormatting sqref="F125:F207">
    <cfRule type="expression" dxfId="902" priority="985">
      <formula>$B125="Fin Liberación"</formula>
    </cfRule>
    <cfRule type="expression" dxfId="901" priority="986">
      <formula>$B125="Inicio Liberación"</formula>
    </cfRule>
  </conditionalFormatting>
  <conditionalFormatting sqref="E124:E207">
    <cfRule type="expression" dxfId="900" priority="983">
      <formula>$B124="Fin Liberación"</formula>
    </cfRule>
    <cfRule type="expression" dxfId="899" priority="984">
      <formula>$B124="Inicio Liberación"</formula>
    </cfRule>
  </conditionalFormatting>
  <conditionalFormatting sqref="C9:C12 C15">
    <cfRule type="expression" dxfId="898" priority="907">
      <formula>$B12="Inicio Liberación"</formula>
    </cfRule>
  </conditionalFormatting>
  <conditionalFormatting sqref="C9:C12 C15">
    <cfRule type="expression" dxfId="897" priority="908">
      <formula>$B12="Fin Liberación"</formula>
    </cfRule>
  </conditionalFormatting>
  <conditionalFormatting sqref="C15:C207 C6:C12">
    <cfRule type="containsText" dxfId="896" priority="869" operator="containsText" text="VTF">
      <formula>NOT(ISERROR(SEARCH("VTF",C6)))</formula>
    </cfRule>
    <cfRule type="containsText" dxfId="895" priority="870" operator="containsText" text="VTI">
      <formula>NOT(ISERROR(SEARCH("VTI",C6)))</formula>
    </cfRule>
  </conditionalFormatting>
  <conditionalFormatting sqref="C13">
    <cfRule type="expression" dxfId="894" priority="847">
      <formula>$B16="Inicio Liberación"</formula>
    </cfRule>
  </conditionalFormatting>
  <conditionalFormatting sqref="C13">
    <cfRule type="expression" dxfId="893" priority="848">
      <formula>$B16="Fin Liberación"</formula>
    </cfRule>
  </conditionalFormatting>
  <conditionalFormatting sqref="C13">
    <cfRule type="containsText" dxfId="892" priority="843" operator="containsText" text="VTF">
      <formula>NOT(ISERROR(SEARCH("VTF",C13)))</formula>
    </cfRule>
    <cfRule type="containsText" dxfId="891" priority="844" operator="containsText" text="VTI">
      <formula>NOT(ISERROR(SEARCH("VTI",C13)))</formula>
    </cfRule>
  </conditionalFormatting>
  <conditionalFormatting sqref="C14">
    <cfRule type="expression" dxfId="890" priority="835">
      <formula>$B17="Inicio Liberación"</formula>
    </cfRule>
  </conditionalFormatting>
  <conditionalFormatting sqref="C14">
    <cfRule type="expression" dxfId="889" priority="836">
      <formula>$B17="Fin Liberación"</formula>
    </cfRule>
  </conditionalFormatting>
  <conditionalFormatting sqref="C14">
    <cfRule type="containsText" dxfId="888" priority="831" operator="containsText" text="VTF">
      <formula>NOT(ISERROR(SEARCH("VTF",C14)))</formula>
    </cfRule>
    <cfRule type="containsText" dxfId="887" priority="832" operator="containsText" text="VTI">
      <formula>NOT(ISERROR(SEARCH("VTI",C14)))</formula>
    </cfRule>
  </conditionalFormatting>
  <conditionalFormatting sqref="E78">
    <cfRule type="expression" dxfId="886" priority="591">
      <formula>$B78="Fin Liberación"</formula>
    </cfRule>
    <cfRule type="expression" dxfId="885" priority="592">
      <formula>$B78="Inicio Liberación"</formula>
    </cfRule>
  </conditionalFormatting>
  <conditionalFormatting sqref="F95">
    <cfRule type="expression" dxfId="884" priority="647">
      <formula>$B93="Fin Liberación"</formula>
    </cfRule>
    <cfRule type="expression" dxfId="883" priority="648">
      <formula>$B93="Inicio Liberación"</formula>
    </cfRule>
  </conditionalFormatting>
  <conditionalFormatting sqref="E96">
    <cfRule type="expression" dxfId="882" priority="645">
      <formula>$B94="Fin Liberación"</formula>
    </cfRule>
    <cfRule type="expression" dxfId="881" priority="646">
      <formula>$B94="Inicio Liberación"</formula>
    </cfRule>
  </conditionalFormatting>
  <conditionalFormatting sqref="F18:F19">
    <cfRule type="expression" dxfId="880" priority="629">
      <formula>$B18="Fin Liberación"</formula>
    </cfRule>
    <cfRule type="expression" dxfId="879" priority="630">
      <formula>$B18="Inicio Liberación"</formula>
    </cfRule>
  </conditionalFormatting>
  <conditionalFormatting sqref="E20">
    <cfRule type="expression" dxfId="878" priority="627">
      <formula>$B20="Fin Liberación"</formula>
    </cfRule>
    <cfRule type="expression" dxfId="877" priority="628">
      <formula>$B20="Inicio Liberación"</formula>
    </cfRule>
  </conditionalFormatting>
  <conditionalFormatting sqref="F28">
    <cfRule type="expression" dxfId="876" priority="625">
      <formula>$B28="Fin Liberación"</formula>
    </cfRule>
    <cfRule type="expression" dxfId="875" priority="626">
      <formula>$B28="Inicio Liberación"</formula>
    </cfRule>
  </conditionalFormatting>
  <conditionalFormatting sqref="E29">
    <cfRule type="expression" dxfId="874" priority="623">
      <formula>$B29="Fin Liberación"</formula>
    </cfRule>
    <cfRule type="expression" dxfId="873" priority="624">
      <formula>$B29="Inicio Liberación"</formula>
    </cfRule>
  </conditionalFormatting>
  <conditionalFormatting sqref="F35">
    <cfRule type="expression" dxfId="872" priority="621">
      <formula>$B35="Fin Liberación"</formula>
    </cfRule>
    <cfRule type="expression" dxfId="871" priority="622">
      <formula>$B35="Inicio Liberación"</formula>
    </cfRule>
  </conditionalFormatting>
  <conditionalFormatting sqref="E36">
    <cfRule type="expression" dxfId="870" priority="619">
      <formula>$B36="Fin Liberación"</formula>
    </cfRule>
    <cfRule type="expression" dxfId="869" priority="620">
      <formula>$B36="Inicio Liberación"</formula>
    </cfRule>
  </conditionalFormatting>
  <conditionalFormatting sqref="F41">
    <cfRule type="expression" dxfId="868" priority="617">
      <formula>$B41="Fin Liberación"</formula>
    </cfRule>
    <cfRule type="expression" dxfId="867" priority="618">
      <formula>$B41="Inicio Liberación"</formula>
    </cfRule>
  </conditionalFormatting>
  <conditionalFormatting sqref="E42">
    <cfRule type="expression" dxfId="866" priority="615">
      <formula>$B42="Fin Liberación"</formula>
    </cfRule>
    <cfRule type="expression" dxfId="865" priority="616">
      <formula>$B42="Inicio Liberación"</formula>
    </cfRule>
  </conditionalFormatting>
  <conditionalFormatting sqref="F47">
    <cfRule type="expression" dxfId="864" priority="613">
      <formula>$B47="Fin Liberación"</formula>
    </cfRule>
    <cfRule type="expression" dxfId="863" priority="614">
      <formula>$B47="Inicio Liberación"</formula>
    </cfRule>
  </conditionalFormatting>
  <conditionalFormatting sqref="E48">
    <cfRule type="expression" dxfId="862" priority="611">
      <formula>$B48="Fin Liberación"</formula>
    </cfRule>
    <cfRule type="expression" dxfId="861" priority="612">
      <formula>$B48="Inicio Liberación"</formula>
    </cfRule>
  </conditionalFormatting>
  <conditionalFormatting sqref="F53">
    <cfRule type="expression" dxfId="860" priority="609">
      <formula>$B53="Fin Liberación"</formula>
    </cfRule>
    <cfRule type="expression" dxfId="859" priority="610">
      <formula>$B53="Inicio Liberación"</formula>
    </cfRule>
  </conditionalFormatting>
  <conditionalFormatting sqref="E54">
    <cfRule type="expression" dxfId="858" priority="607">
      <formula>$B54="Fin Liberación"</formula>
    </cfRule>
    <cfRule type="expression" dxfId="857" priority="608">
      <formula>$B54="Inicio Liberación"</formula>
    </cfRule>
  </conditionalFormatting>
  <conditionalFormatting sqref="F59">
    <cfRule type="expression" dxfId="856" priority="605">
      <formula>$B59="Fin Liberación"</formula>
    </cfRule>
    <cfRule type="expression" dxfId="855" priority="606">
      <formula>$B59="Inicio Liberación"</formula>
    </cfRule>
  </conditionalFormatting>
  <conditionalFormatting sqref="E60">
    <cfRule type="expression" dxfId="854" priority="603">
      <formula>$B60="Fin Liberación"</formula>
    </cfRule>
    <cfRule type="expression" dxfId="853" priority="604">
      <formula>$B60="Inicio Liberación"</formula>
    </cfRule>
  </conditionalFormatting>
  <conditionalFormatting sqref="F65">
    <cfRule type="expression" dxfId="852" priority="601">
      <formula>$B65="Fin Liberación"</formula>
    </cfRule>
    <cfRule type="expression" dxfId="851" priority="602">
      <formula>$B65="Inicio Liberación"</formula>
    </cfRule>
  </conditionalFormatting>
  <conditionalFormatting sqref="E66">
    <cfRule type="expression" dxfId="850" priority="599">
      <formula>$B66="Fin Liberación"</formula>
    </cfRule>
    <cfRule type="expression" dxfId="849" priority="600">
      <formula>$B66="Inicio Liberación"</formula>
    </cfRule>
  </conditionalFormatting>
  <conditionalFormatting sqref="F71">
    <cfRule type="expression" dxfId="848" priority="597">
      <formula>$B71="Fin Liberación"</formula>
    </cfRule>
    <cfRule type="expression" dxfId="847" priority="598">
      <formula>$B71="Inicio Liberación"</formula>
    </cfRule>
  </conditionalFormatting>
  <conditionalFormatting sqref="E72">
    <cfRule type="expression" dxfId="846" priority="595">
      <formula>$B72="Fin Liberación"</formula>
    </cfRule>
    <cfRule type="expression" dxfId="845" priority="596">
      <formula>$B72="Inicio Liberación"</formula>
    </cfRule>
  </conditionalFormatting>
  <conditionalFormatting sqref="F77">
    <cfRule type="expression" dxfId="844" priority="593">
      <formula>$B77="Fin Liberación"</formula>
    </cfRule>
    <cfRule type="expression" dxfId="843" priority="594">
      <formula>$B77="Inicio Liberación"</formula>
    </cfRule>
  </conditionalFormatting>
  <conditionalFormatting sqref="F83">
    <cfRule type="expression" dxfId="842" priority="589">
      <formula>$B83="Fin Liberación"</formula>
    </cfRule>
    <cfRule type="expression" dxfId="841" priority="590">
      <formula>$B83="Inicio Liberación"</formula>
    </cfRule>
  </conditionalFormatting>
  <conditionalFormatting sqref="E84">
    <cfRule type="expression" dxfId="840" priority="587">
      <formula>$B84="Fin Liberación"</formula>
    </cfRule>
    <cfRule type="expression" dxfId="839" priority="588">
      <formula>$B84="Inicio Liberación"</formula>
    </cfRule>
  </conditionalFormatting>
  <conditionalFormatting sqref="F89">
    <cfRule type="expression" dxfId="838" priority="585">
      <formula>$B89="Fin Liberación"</formula>
    </cfRule>
    <cfRule type="expression" dxfId="837" priority="586">
      <formula>$B89="Inicio Liberación"</formula>
    </cfRule>
  </conditionalFormatting>
  <conditionalFormatting sqref="E90">
    <cfRule type="expression" dxfId="836" priority="583">
      <formula>$B90="Fin Liberación"</formula>
    </cfRule>
    <cfRule type="expression" dxfId="835" priority="584">
      <formula>$B90="Inicio Liberación"</formula>
    </cfRule>
  </conditionalFormatting>
  <conditionalFormatting sqref="F101">
    <cfRule type="expression" dxfId="834" priority="581">
      <formula>$B101="Fin Liberación"</formula>
    </cfRule>
    <cfRule type="expression" dxfId="833" priority="582">
      <formula>$B101="Inicio Liberación"</formula>
    </cfRule>
  </conditionalFormatting>
  <conditionalFormatting sqref="E102">
    <cfRule type="expression" dxfId="832" priority="579">
      <formula>$B102="Fin Liberación"</formula>
    </cfRule>
    <cfRule type="expression" dxfId="831" priority="580">
      <formula>$B102="Inicio Liberación"</formula>
    </cfRule>
  </conditionalFormatting>
  <conditionalFormatting sqref="F113">
    <cfRule type="expression" dxfId="830" priority="577">
      <formula>$B113="Fin Liberación"</formula>
    </cfRule>
    <cfRule type="expression" dxfId="829" priority="578">
      <formula>$B113="Inicio Liberación"</formula>
    </cfRule>
  </conditionalFormatting>
  <conditionalFormatting sqref="E114">
    <cfRule type="expression" dxfId="828" priority="575">
      <formula>$B114="Fin Liberación"</formula>
    </cfRule>
    <cfRule type="expression" dxfId="827" priority="576">
      <formula>$B114="Inicio Liberación"</formula>
    </cfRule>
  </conditionalFormatting>
  <conditionalFormatting sqref="F123">
    <cfRule type="expression" dxfId="826" priority="571">
      <formula>$B123="Fin Liberación"</formula>
    </cfRule>
    <cfRule type="expression" dxfId="825" priority="572">
      <formula>$B123="Inicio Liberación"</formula>
    </cfRule>
  </conditionalFormatting>
  <conditionalFormatting sqref="E14">
    <cfRule type="expression" dxfId="824" priority="547">
      <formula>$B14="Fin Liberación"</formula>
    </cfRule>
    <cfRule type="expression" dxfId="823" priority="548">
      <formula>$B14="Inicio Liberación"</formula>
    </cfRule>
  </conditionalFormatting>
  <conditionalFormatting sqref="F14">
    <cfRule type="expression" dxfId="822" priority="545">
      <formula>$B14="Fin Liberación"</formula>
    </cfRule>
    <cfRule type="expression" dxfId="821" priority="546">
      <formula>$B14="Inicio Liberación"</formula>
    </cfRule>
  </conditionalFormatting>
  <conditionalFormatting sqref="E15">
    <cfRule type="expression" dxfId="820" priority="543">
      <formula>$B15="Fin Liberación"</formula>
    </cfRule>
    <cfRule type="expression" dxfId="819" priority="544">
      <formula>$B15="Inicio Liberación"</formula>
    </cfRule>
  </conditionalFormatting>
  <conditionalFormatting sqref="F15">
    <cfRule type="expression" dxfId="818" priority="541">
      <formula>$B15="Fin Liberación"</formula>
    </cfRule>
    <cfRule type="expression" dxfId="817" priority="542">
      <formula>$B15="Inicio Liberación"</formula>
    </cfRule>
  </conditionalFormatting>
  <conditionalFormatting sqref="E16">
    <cfRule type="expression" dxfId="816" priority="539">
      <formula>$B16="Fin Liberación"</formula>
    </cfRule>
    <cfRule type="expression" dxfId="815" priority="540">
      <formula>$B16="Inicio Liberación"</formula>
    </cfRule>
  </conditionalFormatting>
  <conditionalFormatting sqref="F16">
    <cfRule type="expression" dxfId="814" priority="537">
      <formula>$B16="Fin Liberación"</formula>
    </cfRule>
    <cfRule type="expression" dxfId="813" priority="538">
      <formula>$B16="Inicio Liberación"</formula>
    </cfRule>
  </conditionalFormatting>
  <conditionalFormatting sqref="E17">
    <cfRule type="expression" dxfId="812" priority="535">
      <formula>$B17="Fin Liberación"</formula>
    </cfRule>
    <cfRule type="expression" dxfId="811" priority="536">
      <formula>$B17="Inicio Liberación"</formula>
    </cfRule>
  </conditionalFormatting>
  <conditionalFormatting sqref="F17">
    <cfRule type="expression" dxfId="810" priority="533">
      <formula>$B17="Fin Liberación"</formula>
    </cfRule>
    <cfRule type="expression" dxfId="809" priority="534">
      <formula>$B17="Inicio Liberación"</formula>
    </cfRule>
  </conditionalFormatting>
  <conditionalFormatting sqref="E18:E19">
    <cfRule type="expression" dxfId="808" priority="531">
      <formula>$B18="Fin Liberación"</formula>
    </cfRule>
    <cfRule type="expression" dxfId="807" priority="532">
      <formula>$B18="Inicio Liberación"</formula>
    </cfRule>
  </conditionalFormatting>
  <conditionalFormatting sqref="F20">
    <cfRule type="expression" dxfId="806" priority="529">
      <formula>$B20="Fin Liberación"</formula>
    </cfRule>
    <cfRule type="expression" dxfId="805" priority="530">
      <formula>$B20="Inicio Liberación"</formula>
    </cfRule>
  </conditionalFormatting>
  <conditionalFormatting sqref="E21:E24">
    <cfRule type="expression" dxfId="804" priority="527">
      <formula>$B21="Fin Liberación"</formula>
    </cfRule>
    <cfRule type="expression" dxfId="803" priority="528">
      <formula>$B21="Inicio Liberación"</formula>
    </cfRule>
  </conditionalFormatting>
  <conditionalFormatting sqref="F21:F24">
    <cfRule type="expression" dxfId="802" priority="525">
      <formula>$B21="Fin Liberación"</formula>
    </cfRule>
    <cfRule type="expression" dxfId="801" priority="526">
      <formula>$B21="Inicio Liberación"</formula>
    </cfRule>
  </conditionalFormatting>
  <conditionalFormatting sqref="E25">
    <cfRule type="expression" dxfId="800" priority="523">
      <formula>$B25="Fin Liberación"</formula>
    </cfRule>
    <cfRule type="expression" dxfId="799" priority="524">
      <formula>$B25="Inicio Liberación"</formula>
    </cfRule>
  </conditionalFormatting>
  <conditionalFormatting sqref="F25">
    <cfRule type="expression" dxfId="798" priority="521">
      <formula>$B25="Fin Liberación"</formula>
    </cfRule>
    <cfRule type="expression" dxfId="797" priority="522">
      <formula>$B25="Inicio Liberación"</formula>
    </cfRule>
  </conditionalFormatting>
  <conditionalFormatting sqref="E26">
    <cfRule type="expression" dxfId="796" priority="519">
      <formula>$B26="Fin Liberación"</formula>
    </cfRule>
    <cfRule type="expression" dxfId="795" priority="520">
      <formula>$B26="Inicio Liberación"</formula>
    </cfRule>
  </conditionalFormatting>
  <conditionalFormatting sqref="F26">
    <cfRule type="expression" dxfId="794" priority="517">
      <formula>$B26="Fin Liberación"</formula>
    </cfRule>
    <cfRule type="expression" dxfId="793" priority="518">
      <formula>$B26="Inicio Liberación"</formula>
    </cfRule>
  </conditionalFormatting>
  <conditionalFormatting sqref="E27">
    <cfRule type="expression" dxfId="792" priority="515">
      <formula>$B27="Fin Liberación"</formula>
    </cfRule>
    <cfRule type="expression" dxfId="791" priority="516">
      <formula>$B27="Inicio Liberación"</formula>
    </cfRule>
  </conditionalFormatting>
  <conditionalFormatting sqref="F27">
    <cfRule type="expression" dxfId="790" priority="513">
      <formula>$B27="Fin Liberación"</formula>
    </cfRule>
    <cfRule type="expression" dxfId="789" priority="514">
      <formula>$B27="Inicio Liberación"</formula>
    </cfRule>
  </conditionalFormatting>
  <conditionalFormatting sqref="E28">
    <cfRule type="expression" dxfId="788" priority="511">
      <formula>$B28="Fin Liberación"</formula>
    </cfRule>
    <cfRule type="expression" dxfId="787" priority="512">
      <formula>$B28="Inicio Liberación"</formula>
    </cfRule>
  </conditionalFormatting>
  <conditionalFormatting sqref="F29">
    <cfRule type="expression" dxfId="786" priority="509">
      <formula>$B29="Fin Liberación"</formula>
    </cfRule>
    <cfRule type="expression" dxfId="785" priority="510">
      <formula>$B29="Inicio Liberación"</formula>
    </cfRule>
  </conditionalFormatting>
  <conditionalFormatting sqref="F30">
    <cfRule type="expression" dxfId="784" priority="507">
      <formula>$B30="Fin Liberación"</formula>
    </cfRule>
    <cfRule type="expression" dxfId="783" priority="508">
      <formula>$B30="Inicio Liberación"</formula>
    </cfRule>
  </conditionalFormatting>
  <conditionalFormatting sqref="E30">
    <cfRule type="expression" dxfId="782" priority="505">
      <formula>$B30="Fin Liberación"</formula>
    </cfRule>
    <cfRule type="expression" dxfId="781" priority="506">
      <formula>$B30="Inicio Liberación"</formula>
    </cfRule>
  </conditionalFormatting>
  <conditionalFormatting sqref="E31">
    <cfRule type="expression" dxfId="780" priority="503">
      <formula>$B31="Fin Liberación"</formula>
    </cfRule>
    <cfRule type="expression" dxfId="779" priority="504">
      <formula>$B31="Inicio Liberación"</formula>
    </cfRule>
  </conditionalFormatting>
  <conditionalFormatting sqref="F31">
    <cfRule type="expression" dxfId="778" priority="501">
      <formula>$B31="Fin Liberación"</formula>
    </cfRule>
    <cfRule type="expression" dxfId="777" priority="502">
      <formula>$B31="Inicio Liberación"</formula>
    </cfRule>
  </conditionalFormatting>
  <conditionalFormatting sqref="E32:E33">
    <cfRule type="expression" dxfId="776" priority="499">
      <formula>$B32="Fin Liberación"</formula>
    </cfRule>
    <cfRule type="expression" dxfId="775" priority="500">
      <formula>$B32="Inicio Liberación"</formula>
    </cfRule>
  </conditionalFormatting>
  <conditionalFormatting sqref="F32:F33">
    <cfRule type="expression" dxfId="774" priority="497">
      <formula>$B32="Fin Liberación"</formula>
    </cfRule>
    <cfRule type="expression" dxfId="773" priority="498">
      <formula>$B32="Inicio Liberación"</formula>
    </cfRule>
  </conditionalFormatting>
  <conditionalFormatting sqref="E34">
    <cfRule type="expression" dxfId="772" priority="495">
      <formula>$B34="Fin Liberación"</formula>
    </cfRule>
    <cfRule type="expression" dxfId="771" priority="496">
      <formula>$B34="Inicio Liberación"</formula>
    </cfRule>
  </conditionalFormatting>
  <conditionalFormatting sqref="F34">
    <cfRule type="expression" dxfId="770" priority="493">
      <formula>$B34="Fin Liberación"</formula>
    </cfRule>
    <cfRule type="expression" dxfId="769" priority="494">
      <formula>$B34="Inicio Liberación"</formula>
    </cfRule>
  </conditionalFormatting>
  <conditionalFormatting sqref="E35">
    <cfRule type="expression" dxfId="768" priority="491">
      <formula>$B35="Fin Liberación"</formula>
    </cfRule>
    <cfRule type="expression" dxfId="767" priority="492">
      <formula>$B35="Inicio Liberación"</formula>
    </cfRule>
  </conditionalFormatting>
  <conditionalFormatting sqref="F36">
    <cfRule type="expression" dxfId="766" priority="489">
      <formula>$B36="Fin Liberación"</formula>
    </cfRule>
    <cfRule type="expression" dxfId="765" priority="490">
      <formula>$B36="Inicio Liberación"</formula>
    </cfRule>
  </conditionalFormatting>
  <conditionalFormatting sqref="E37">
    <cfRule type="expression" dxfId="764" priority="487">
      <formula>$B37="Fin Liberación"</formula>
    </cfRule>
    <cfRule type="expression" dxfId="763" priority="488">
      <formula>$B37="Inicio Liberación"</formula>
    </cfRule>
  </conditionalFormatting>
  <conditionalFormatting sqref="F37">
    <cfRule type="expression" dxfId="762" priority="485">
      <formula>$B37="Fin Liberación"</formula>
    </cfRule>
    <cfRule type="expression" dxfId="761" priority="486">
      <formula>$B37="Inicio Liberación"</formula>
    </cfRule>
  </conditionalFormatting>
  <conditionalFormatting sqref="E38">
    <cfRule type="expression" dxfId="760" priority="483">
      <formula>$B38="Fin Liberación"</formula>
    </cfRule>
    <cfRule type="expression" dxfId="759" priority="484">
      <formula>$B38="Inicio Liberación"</formula>
    </cfRule>
  </conditionalFormatting>
  <conditionalFormatting sqref="F38">
    <cfRule type="expression" dxfId="758" priority="481">
      <formula>$B38="Fin Liberación"</formula>
    </cfRule>
    <cfRule type="expression" dxfId="757" priority="482">
      <formula>$B38="Inicio Liberación"</formula>
    </cfRule>
  </conditionalFormatting>
  <conditionalFormatting sqref="E39">
    <cfRule type="expression" dxfId="756" priority="479">
      <formula>$B39="Fin Liberación"</formula>
    </cfRule>
    <cfRule type="expression" dxfId="755" priority="480">
      <formula>$B39="Inicio Liberación"</formula>
    </cfRule>
  </conditionalFormatting>
  <conditionalFormatting sqref="F39">
    <cfRule type="expression" dxfId="754" priority="477">
      <formula>$B39="Fin Liberación"</formula>
    </cfRule>
    <cfRule type="expression" dxfId="753" priority="478">
      <formula>$B39="Inicio Liberación"</formula>
    </cfRule>
  </conditionalFormatting>
  <conditionalFormatting sqref="E40">
    <cfRule type="expression" dxfId="752" priority="475">
      <formula>$B40="Fin Liberación"</formula>
    </cfRule>
    <cfRule type="expression" dxfId="751" priority="476">
      <formula>$B40="Inicio Liberación"</formula>
    </cfRule>
  </conditionalFormatting>
  <conditionalFormatting sqref="F40">
    <cfRule type="expression" dxfId="750" priority="473">
      <formula>$B40="Fin Liberación"</formula>
    </cfRule>
    <cfRule type="expression" dxfId="749" priority="474">
      <formula>$B40="Inicio Liberación"</formula>
    </cfRule>
  </conditionalFormatting>
  <conditionalFormatting sqref="E41">
    <cfRule type="expression" dxfId="748" priority="471">
      <formula>$B41="Fin Liberación"</formula>
    </cfRule>
    <cfRule type="expression" dxfId="747" priority="472">
      <formula>$B41="Inicio Liberación"</formula>
    </cfRule>
  </conditionalFormatting>
  <conditionalFormatting sqref="F42">
    <cfRule type="expression" dxfId="746" priority="469">
      <formula>$B42="Fin Liberación"</formula>
    </cfRule>
    <cfRule type="expression" dxfId="745" priority="470">
      <formula>$B42="Inicio Liberación"</formula>
    </cfRule>
  </conditionalFormatting>
  <conditionalFormatting sqref="E43">
    <cfRule type="expression" dxfId="744" priority="467">
      <formula>$B43="Fin Liberación"</formula>
    </cfRule>
    <cfRule type="expression" dxfId="743" priority="468">
      <formula>$B43="Inicio Liberación"</formula>
    </cfRule>
  </conditionalFormatting>
  <conditionalFormatting sqref="F43">
    <cfRule type="expression" dxfId="742" priority="465">
      <formula>$B43="Fin Liberación"</formula>
    </cfRule>
    <cfRule type="expression" dxfId="741" priority="466">
      <formula>$B43="Inicio Liberación"</formula>
    </cfRule>
  </conditionalFormatting>
  <conditionalFormatting sqref="E44">
    <cfRule type="expression" dxfId="740" priority="463">
      <formula>$B44="Fin Liberación"</formula>
    </cfRule>
    <cfRule type="expression" dxfId="739" priority="464">
      <formula>$B44="Inicio Liberación"</formula>
    </cfRule>
  </conditionalFormatting>
  <conditionalFormatting sqref="F44">
    <cfRule type="expression" dxfId="738" priority="461">
      <formula>$B44="Fin Liberación"</formula>
    </cfRule>
    <cfRule type="expression" dxfId="737" priority="462">
      <formula>$B44="Inicio Liberación"</formula>
    </cfRule>
  </conditionalFormatting>
  <conditionalFormatting sqref="E45">
    <cfRule type="expression" dxfId="736" priority="459">
      <formula>$B45="Fin Liberación"</formula>
    </cfRule>
    <cfRule type="expression" dxfId="735" priority="460">
      <formula>$B45="Inicio Liberación"</formula>
    </cfRule>
  </conditionalFormatting>
  <conditionalFormatting sqref="F45">
    <cfRule type="expression" dxfId="734" priority="457">
      <formula>$B45="Fin Liberación"</formula>
    </cfRule>
    <cfRule type="expression" dxfId="733" priority="458">
      <formula>$B45="Inicio Liberación"</formula>
    </cfRule>
  </conditionalFormatting>
  <conditionalFormatting sqref="E46">
    <cfRule type="expression" dxfId="732" priority="455">
      <formula>$B46="Fin Liberación"</formula>
    </cfRule>
    <cfRule type="expression" dxfId="731" priority="456">
      <formula>$B46="Inicio Liberación"</formula>
    </cfRule>
  </conditionalFormatting>
  <conditionalFormatting sqref="F46">
    <cfRule type="expression" dxfId="730" priority="453">
      <formula>$B46="Fin Liberación"</formula>
    </cfRule>
    <cfRule type="expression" dxfId="729" priority="454">
      <formula>$B46="Inicio Liberación"</formula>
    </cfRule>
  </conditionalFormatting>
  <conditionalFormatting sqref="E47">
    <cfRule type="expression" dxfId="728" priority="451">
      <formula>$B47="Fin Liberación"</formula>
    </cfRule>
    <cfRule type="expression" dxfId="727" priority="452">
      <formula>$B47="Inicio Liberación"</formula>
    </cfRule>
  </conditionalFormatting>
  <conditionalFormatting sqref="F48">
    <cfRule type="expression" dxfId="726" priority="449">
      <formula>$B48="Fin Liberación"</formula>
    </cfRule>
    <cfRule type="expression" dxfId="725" priority="450">
      <formula>$B48="Inicio Liberación"</formula>
    </cfRule>
  </conditionalFormatting>
  <conditionalFormatting sqref="E49">
    <cfRule type="expression" dxfId="724" priority="447">
      <formula>$B49="Fin Liberación"</formula>
    </cfRule>
    <cfRule type="expression" dxfId="723" priority="448">
      <formula>$B49="Inicio Liberación"</formula>
    </cfRule>
  </conditionalFormatting>
  <conditionalFormatting sqref="F49">
    <cfRule type="expression" dxfId="722" priority="445">
      <formula>$B49="Fin Liberación"</formula>
    </cfRule>
    <cfRule type="expression" dxfId="721" priority="446">
      <formula>$B49="Inicio Liberación"</formula>
    </cfRule>
  </conditionalFormatting>
  <conditionalFormatting sqref="E50">
    <cfRule type="expression" dxfId="720" priority="443">
      <formula>$B50="Fin Liberación"</formula>
    </cfRule>
    <cfRule type="expression" dxfId="719" priority="444">
      <formula>$B50="Inicio Liberación"</formula>
    </cfRule>
  </conditionalFormatting>
  <conditionalFormatting sqref="F50">
    <cfRule type="expression" dxfId="718" priority="441">
      <formula>$B50="Fin Liberación"</formula>
    </cfRule>
    <cfRule type="expression" dxfId="717" priority="442">
      <formula>$B50="Inicio Liberación"</formula>
    </cfRule>
  </conditionalFormatting>
  <conditionalFormatting sqref="E51">
    <cfRule type="expression" dxfId="716" priority="439">
      <formula>$B51="Fin Liberación"</formula>
    </cfRule>
    <cfRule type="expression" dxfId="715" priority="440">
      <formula>$B51="Inicio Liberación"</formula>
    </cfRule>
  </conditionalFormatting>
  <conditionalFormatting sqref="F51">
    <cfRule type="expression" dxfId="714" priority="437">
      <formula>$B51="Fin Liberación"</formula>
    </cfRule>
    <cfRule type="expression" dxfId="713" priority="438">
      <formula>$B51="Inicio Liberación"</formula>
    </cfRule>
  </conditionalFormatting>
  <conditionalFormatting sqref="E52">
    <cfRule type="expression" dxfId="712" priority="435">
      <formula>$B52="Fin Liberación"</formula>
    </cfRule>
    <cfRule type="expression" dxfId="711" priority="436">
      <formula>$B52="Inicio Liberación"</formula>
    </cfRule>
  </conditionalFormatting>
  <conditionalFormatting sqref="F52">
    <cfRule type="expression" dxfId="710" priority="433">
      <formula>$B52="Fin Liberación"</formula>
    </cfRule>
    <cfRule type="expression" dxfId="709" priority="434">
      <formula>$B52="Inicio Liberación"</formula>
    </cfRule>
  </conditionalFormatting>
  <conditionalFormatting sqref="E53">
    <cfRule type="expression" dxfId="708" priority="431">
      <formula>$B53="Fin Liberación"</formula>
    </cfRule>
    <cfRule type="expression" dxfId="707" priority="432">
      <formula>$B53="Inicio Liberación"</formula>
    </cfRule>
  </conditionalFormatting>
  <conditionalFormatting sqref="F54">
    <cfRule type="expression" dxfId="706" priority="429">
      <formula>$B54="Fin Liberación"</formula>
    </cfRule>
    <cfRule type="expression" dxfId="705" priority="430">
      <formula>$B54="Inicio Liberación"</formula>
    </cfRule>
  </conditionalFormatting>
  <conditionalFormatting sqref="E55">
    <cfRule type="expression" dxfId="704" priority="427">
      <formula>$B55="Fin Liberación"</formula>
    </cfRule>
    <cfRule type="expression" dxfId="703" priority="428">
      <formula>$B55="Inicio Liberación"</formula>
    </cfRule>
  </conditionalFormatting>
  <conditionalFormatting sqref="F55">
    <cfRule type="expression" dxfId="702" priority="425">
      <formula>$B55="Fin Liberación"</formula>
    </cfRule>
    <cfRule type="expression" dxfId="701" priority="426">
      <formula>$B55="Inicio Liberación"</formula>
    </cfRule>
  </conditionalFormatting>
  <conditionalFormatting sqref="E56">
    <cfRule type="expression" dxfId="700" priority="423">
      <formula>$B56="Fin Liberación"</formula>
    </cfRule>
    <cfRule type="expression" dxfId="699" priority="424">
      <formula>$B56="Inicio Liberación"</formula>
    </cfRule>
  </conditionalFormatting>
  <conditionalFormatting sqref="F56">
    <cfRule type="expression" dxfId="698" priority="421">
      <formula>$B56="Fin Liberación"</formula>
    </cfRule>
    <cfRule type="expression" dxfId="697" priority="422">
      <formula>$B56="Inicio Liberación"</formula>
    </cfRule>
  </conditionalFormatting>
  <conditionalFormatting sqref="E57">
    <cfRule type="expression" dxfId="696" priority="419">
      <formula>$B57="Fin Liberación"</formula>
    </cfRule>
    <cfRule type="expression" dxfId="695" priority="420">
      <formula>$B57="Inicio Liberación"</formula>
    </cfRule>
  </conditionalFormatting>
  <conditionalFormatting sqref="F57">
    <cfRule type="expression" dxfId="694" priority="417">
      <formula>$B57="Fin Liberación"</formula>
    </cfRule>
    <cfRule type="expression" dxfId="693" priority="418">
      <formula>$B57="Inicio Liberación"</formula>
    </cfRule>
  </conditionalFormatting>
  <conditionalFormatting sqref="E58">
    <cfRule type="expression" dxfId="692" priority="415">
      <formula>$B58="Fin Liberación"</formula>
    </cfRule>
    <cfRule type="expression" dxfId="691" priority="416">
      <formula>$B58="Inicio Liberación"</formula>
    </cfRule>
  </conditionalFormatting>
  <conditionalFormatting sqref="F58">
    <cfRule type="expression" dxfId="690" priority="413">
      <formula>$B58="Fin Liberación"</formula>
    </cfRule>
    <cfRule type="expression" dxfId="689" priority="414">
      <formula>$B58="Inicio Liberación"</formula>
    </cfRule>
  </conditionalFormatting>
  <conditionalFormatting sqref="E59">
    <cfRule type="expression" dxfId="688" priority="411">
      <formula>$B59="Fin Liberación"</formula>
    </cfRule>
    <cfRule type="expression" dxfId="687" priority="412">
      <formula>$B59="Inicio Liberación"</formula>
    </cfRule>
  </conditionalFormatting>
  <conditionalFormatting sqref="F60">
    <cfRule type="expression" dxfId="686" priority="409">
      <formula>$B60="Fin Liberación"</formula>
    </cfRule>
    <cfRule type="expression" dxfId="685" priority="410">
      <formula>$B60="Inicio Liberación"</formula>
    </cfRule>
  </conditionalFormatting>
  <conditionalFormatting sqref="E61">
    <cfRule type="expression" dxfId="684" priority="407">
      <formula>$B61="Fin Liberación"</formula>
    </cfRule>
    <cfRule type="expression" dxfId="683" priority="408">
      <formula>$B61="Inicio Liberación"</formula>
    </cfRule>
  </conditionalFormatting>
  <conditionalFormatting sqref="F61">
    <cfRule type="expression" dxfId="682" priority="405">
      <formula>$B61="Fin Liberación"</formula>
    </cfRule>
    <cfRule type="expression" dxfId="681" priority="406">
      <formula>$B61="Inicio Liberación"</formula>
    </cfRule>
  </conditionalFormatting>
  <conditionalFormatting sqref="E62">
    <cfRule type="expression" dxfId="680" priority="403">
      <formula>$B62="Fin Liberación"</formula>
    </cfRule>
    <cfRule type="expression" dxfId="679" priority="404">
      <formula>$B62="Inicio Liberación"</formula>
    </cfRule>
  </conditionalFormatting>
  <conditionalFormatting sqref="F62">
    <cfRule type="expression" dxfId="678" priority="401">
      <formula>$B62="Fin Liberación"</formula>
    </cfRule>
    <cfRule type="expression" dxfId="677" priority="402">
      <formula>$B62="Inicio Liberación"</formula>
    </cfRule>
  </conditionalFormatting>
  <conditionalFormatting sqref="E63">
    <cfRule type="expression" dxfId="676" priority="399">
      <formula>$B63="Fin Liberación"</formula>
    </cfRule>
    <cfRule type="expression" dxfId="675" priority="400">
      <formula>$B63="Inicio Liberación"</formula>
    </cfRule>
  </conditionalFormatting>
  <conditionalFormatting sqref="F63">
    <cfRule type="expression" dxfId="674" priority="397">
      <formula>$B63="Fin Liberación"</formula>
    </cfRule>
    <cfRule type="expression" dxfId="673" priority="398">
      <formula>$B63="Inicio Liberación"</formula>
    </cfRule>
  </conditionalFormatting>
  <conditionalFormatting sqref="E64">
    <cfRule type="expression" dxfId="672" priority="395">
      <formula>$B64="Fin Liberación"</formula>
    </cfRule>
    <cfRule type="expression" dxfId="671" priority="396">
      <formula>$B64="Inicio Liberación"</formula>
    </cfRule>
  </conditionalFormatting>
  <conditionalFormatting sqref="F64">
    <cfRule type="expression" dxfId="670" priority="393">
      <formula>$B64="Fin Liberación"</formula>
    </cfRule>
    <cfRule type="expression" dxfId="669" priority="394">
      <formula>$B64="Inicio Liberación"</formula>
    </cfRule>
  </conditionalFormatting>
  <conditionalFormatting sqref="E65">
    <cfRule type="expression" dxfId="668" priority="391">
      <formula>$B65="Fin Liberación"</formula>
    </cfRule>
    <cfRule type="expression" dxfId="667" priority="392">
      <formula>$B65="Inicio Liberación"</formula>
    </cfRule>
  </conditionalFormatting>
  <conditionalFormatting sqref="F66">
    <cfRule type="expression" dxfId="666" priority="389">
      <formula>$B66="Fin Liberación"</formula>
    </cfRule>
    <cfRule type="expression" dxfId="665" priority="390">
      <formula>$B66="Inicio Liberación"</formula>
    </cfRule>
  </conditionalFormatting>
  <conditionalFormatting sqref="E67">
    <cfRule type="expression" dxfId="664" priority="387">
      <formula>$B67="Fin Liberación"</formula>
    </cfRule>
    <cfRule type="expression" dxfId="663" priority="388">
      <formula>$B67="Inicio Liberación"</formula>
    </cfRule>
  </conditionalFormatting>
  <conditionalFormatting sqref="F67">
    <cfRule type="expression" dxfId="662" priority="385">
      <formula>$B67="Fin Liberación"</formula>
    </cfRule>
    <cfRule type="expression" dxfId="661" priority="386">
      <formula>$B67="Inicio Liberación"</formula>
    </cfRule>
  </conditionalFormatting>
  <conditionalFormatting sqref="E68">
    <cfRule type="expression" dxfId="660" priority="383">
      <formula>$B68="Fin Liberación"</formula>
    </cfRule>
    <cfRule type="expression" dxfId="659" priority="384">
      <formula>$B68="Inicio Liberación"</formula>
    </cfRule>
  </conditionalFormatting>
  <conditionalFormatting sqref="F68">
    <cfRule type="expression" dxfId="658" priority="381">
      <formula>$B68="Fin Liberación"</formula>
    </cfRule>
    <cfRule type="expression" dxfId="657" priority="382">
      <formula>$B68="Inicio Liberación"</formula>
    </cfRule>
  </conditionalFormatting>
  <conditionalFormatting sqref="E69">
    <cfRule type="expression" dxfId="656" priority="379">
      <formula>$B69="Fin Liberación"</formula>
    </cfRule>
    <cfRule type="expression" dxfId="655" priority="380">
      <formula>$B69="Inicio Liberación"</formula>
    </cfRule>
  </conditionalFormatting>
  <conditionalFormatting sqref="F69">
    <cfRule type="expression" dxfId="654" priority="377">
      <formula>$B69="Fin Liberación"</formula>
    </cfRule>
    <cfRule type="expression" dxfId="653" priority="378">
      <formula>$B69="Inicio Liberación"</formula>
    </cfRule>
  </conditionalFormatting>
  <conditionalFormatting sqref="E70">
    <cfRule type="expression" dxfId="652" priority="375">
      <formula>$B70="Fin Liberación"</formula>
    </cfRule>
    <cfRule type="expression" dxfId="651" priority="376">
      <formula>$B70="Inicio Liberación"</formula>
    </cfRule>
  </conditionalFormatting>
  <conditionalFormatting sqref="F70">
    <cfRule type="expression" dxfId="650" priority="373">
      <formula>$B70="Fin Liberación"</formula>
    </cfRule>
    <cfRule type="expression" dxfId="649" priority="374">
      <formula>$B70="Inicio Liberación"</formula>
    </cfRule>
  </conditionalFormatting>
  <conditionalFormatting sqref="E71">
    <cfRule type="expression" dxfId="648" priority="371">
      <formula>$B71="Fin Liberación"</formula>
    </cfRule>
    <cfRule type="expression" dxfId="647" priority="372">
      <formula>$B71="Inicio Liberación"</formula>
    </cfRule>
  </conditionalFormatting>
  <conditionalFormatting sqref="F72">
    <cfRule type="expression" dxfId="646" priority="369">
      <formula>$B72="Fin Liberación"</formula>
    </cfRule>
    <cfRule type="expression" dxfId="645" priority="370">
      <formula>$B72="Inicio Liberación"</formula>
    </cfRule>
  </conditionalFormatting>
  <conditionalFormatting sqref="E73">
    <cfRule type="expression" dxfId="644" priority="367">
      <formula>$B73="Fin Liberación"</formula>
    </cfRule>
    <cfRule type="expression" dxfId="643" priority="368">
      <formula>$B73="Inicio Liberación"</formula>
    </cfRule>
  </conditionalFormatting>
  <conditionalFormatting sqref="F73">
    <cfRule type="expression" dxfId="642" priority="365">
      <formula>$B73="Fin Liberación"</formula>
    </cfRule>
    <cfRule type="expression" dxfId="641" priority="366">
      <formula>$B73="Inicio Liberación"</formula>
    </cfRule>
  </conditionalFormatting>
  <conditionalFormatting sqref="E74">
    <cfRule type="expression" dxfId="640" priority="363">
      <formula>$B74="Fin Liberación"</formula>
    </cfRule>
    <cfRule type="expression" dxfId="639" priority="364">
      <formula>$B74="Inicio Liberación"</formula>
    </cfRule>
  </conditionalFormatting>
  <conditionalFormatting sqref="F74">
    <cfRule type="expression" dxfId="638" priority="361">
      <formula>$B74="Fin Liberación"</formula>
    </cfRule>
    <cfRule type="expression" dxfId="637" priority="362">
      <formula>$B74="Inicio Liberación"</formula>
    </cfRule>
  </conditionalFormatting>
  <conditionalFormatting sqref="E75">
    <cfRule type="expression" dxfId="636" priority="359">
      <formula>$B75="Fin Liberación"</formula>
    </cfRule>
    <cfRule type="expression" dxfId="635" priority="360">
      <formula>$B75="Inicio Liberación"</formula>
    </cfRule>
  </conditionalFormatting>
  <conditionalFormatting sqref="F75">
    <cfRule type="expression" dxfId="634" priority="357">
      <formula>$B75="Fin Liberación"</formula>
    </cfRule>
    <cfRule type="expression" dxfId="633" priority="358">
      <formula>$B75="Inicio Liberación"</formula>
    </cfRule>
  </conditionalFormatting>
  <conditionalFormatting sqref="E76">
    <cfRule type="expression" dxfId="632" priority="355">
      <formula>$B76="Fin Liberación"</formula>
    </cfRule>
    <cfRule type="expression" dxfId="631" priority="356">
      <formula>$B76="Inicio Liberación"</formula>
    </cfRule>
  </conditionalFormatting>
  <conditionalFormatting sqref="F76">
    <cfRule type="expression" dxfId="630" priority="351">
      <formula>$B76="Fin Liberación"</formula>
    </cfRule>
    <cfRule type="expression" dxfId="629" priority="352">
      <formula>$B76="Inicio Liberación"</formula>
    </cfRule>
  </conditionalFormatting>
  <conditionalFormatting sqref="E77">
    <cfRule type="expression" dxfId="628" priority="349">
      <formula>$B77="Fin Liberación"</formula>
    </cfRule>
    <cfRule type="expression" dxfId="627" priority="350">
      <formula>$B77="Inicio Liberación"</formula>
    </cfRule>
  </conditionalFormatting>
  <conditionalFormatting sqref="F78">
    <cfRule type="expression" dxfId="626" priority="347">
      <formula>$B78="Fin Liberación"</formula>
    </cfRule>
    <cfRule type="expression" dxfId="625" priority="348">
      <formula>$B78="Inicio Liberación"</formula>
    </cfRule>
  </conditionalFormatting>
  <conditionalFormatting sqref="E79">
    <cfRule type="expression" dxfId="624" priority="345">
      <formula>$B79="Fin Liberación"</formula>
    </cfRule>
    <cfRule type="expression" dxfId="623" priority="346">
      <formula>$B79="Inicio Liberación"</formula>
    </cfRule>
  </conditionalFormatting>
  <conditionalFormatting sqref="F79">
    <cfRule type="expression" dxfId="622" priority="343">
      <formula>$B79="Fin Liberación"</formula>
    </cfRule>
    <cfRule type="expression" dxfId="621" priority="344">
      <formula>$B79="Inicio Liberación"</formula>
    </cfRule>
  </conditionalFormatting>
  <conditionalFormatting sqref="E80">
    <cfRule type="expression" dxfId="620" priority="341">
      <formula>$B80="Fin Liberación"</formula>
    </cfRule>
    <cfRule type="expression" dxfId="619" priority="342">
      <formula>$B80="Inicio Liberación"</formula>
    </cfRule>
  </conditionalFormatting>
  <conditionalFormatting sqref="F80">
    <cfRule type="expression" dxfId="618" priority="339">
      <formula>$B80="Fin Liberación"</formula>
    </cfRule>
    <cfRule type="expression" dxfId="617" priority="340">
      <formula>$B80="Inicio Liberación"</formula>
    </cfRule>
  </conditionalFormatting>
  <conditionalFormatting sqref="E81">
    <cfRule type="expression" dxfId="616" priority="337">
      <formula>$B81="Fin Liberación"</formula>
    </cfRule>
    <cfRule type="expression" dxfId="615" priority="338">
      <formula>$B81="Inicio Liberación"</formula>
    </cfRule>
  </conditionalFormatting>
  <conditionalFormatting sqref="F81">
    <cfRule type="expression" dxfId="614" priority="335">
      <formula>$B81="Fin Liberación"</formula>
    </cfRule>
    <cfRule type="expression" dxfId="613" priority="336">
      <formula>$B81="Inicio Liberación"</formula>
    </cfRule>
  </conditionalFormatting>
  <conditionalFormatting sqref="E82">
    <cfRule type="expression" dxfId="612" priority="333">
      <formula>$B82="Fin Liberación"</formula>
    </cfRule>
    <cfRule type="expression" dxfId="611" priority="334">
      <formula>$B82="Inicio Liberación"</formula>
    </cfRule>
  </conditionalFormatting>
  <conditionalFormatting sqref="F82">
    <cfRule type="expression" dxfId="610" priority="331">
      <formula>$B82="Fin Liberación"</formula>
    </cfRule>
    <cfRule type="expression" dxfId="609" priority="332">
      <formula>$B82="Inicio Liberación"</formula>
    </cfRule>
  </conditionalFormatting>
  <conditionalFormatting sqref="E83">
    <cfRule type="expression" dxfId="608" priority="329">
      <formula>$B83="Fin Liberación"</formula>
    </cfRule>
    <cfRule type="expression" dxfId="607" priority="330">
      <formula>$B83="Inicio Liberación"</formula>
    </cfRule>
  </conditionalFormatting>
  <conditionalFormatting sqref="F84">
    <cfRule type="expression" dxfId="606" priority="327">
      <formula>$B84="Fin Liberación"</formula>
    </cfRule>
    <cfRule type="expression" dxfId="605" priority="328">
      <formula>$B84="Inicio Liberación"</formula>
    </cfRule>
  </conditionalFormatting>
  <conditionalFormatting sqref="E85">
    <cfRule type="expression" dxfId="604" priority="325">
      <formula>$B85="Fin Liberación"</formula>
    </cfRule>
    <cfRule type="expression" dxfId="603" priority="326">
      <formula>$B85="Inicio Liberación"</formula>
    </cfRule>
  </conditionalFormatting>
  <conditionalFormatting sqref="F85">
    <cfRule type="expression" dxfId="602" priority="323">
      <formula>$B85="Fin Liberación"</formula>
    </cfRule>
    <cfRule type="expression" dxfId="601" priority="324">
      <formula>$B85="Inicio Liberación"</formula>
    </cfRule>
  </conditionalFormatting>
  <conditionalFormatting sqref="E86">
    <cfRule type="expression" dxfId="600" priority="321">
      <formula>$B86="Fin Liberación"</formula>
    </cfRule>
    <cfRule type="expression" dxfId="599" priority="322">
      <formula>$B86="Inicio Liberación"</formula>
    </cfRule>
  </conditionalFormatting>
  <conditionalFormatting sqref="F86">
    <cfRule type="expression" dxfId="598" priority="319">
      <formula>$B86="Fin Liberación"</formula>
    </cfRule>
    <cfRule type="expression" dxfId="597" priority="320">
      <formula>$B86="Inicio Liberación"</formula>
    </cfRule>
  </conditionalFormatting>
  <conditionalFormatting sqref="E87">
    <cfRule type="expression" dxfId="596" priority="317">
      <formula>$B87="Fin Liberación"</formula>
    </cfRule>
    <cfRule type="expression" dxfId="595" priority="318">
      <formula>$B87="Inicio Liberación"</formula>
    </cfRule>
  </conditionalFormatting>
  <conditionalFormatting sqref="F87">
    <cfRule type="expression" dxfId="594" priority="315">
      <formula>$B87="Fin Liberación"</formula>
    </cfRule>
    <cfRule type="expression" dxfId="593" priority="316">
      <formula>$B87="Inicio Liberación"</formula>
    </cfRule>
  </conditionalFormatting>
  <conditionalFormatting sqref="E88">
    <cfRule type="expression" dxfId="592" priority="313">
      <formula>$B88="Fin Liberación"</formula>
    </cfRule>
    <cfRule type="expression" dxfId="591" priority="314">
      <formula>$B88="Inicio Liberación"</formula>
    </cfRule>
  </conditionalFormatting>
  <conditionalFormatting sqref="F88">
    <cfRule type="expression" dxfId="590" priority="311">
      <formula>$B88="Fin Liberación"</formula>
    </cfRule>
    <cfRule type="expression" dxfId="589" priority="312">
      <formula>$B88="Inicio Liberación"</formula>
    </cfRule>
  </conditionalFormatting>
  <conditionalFormatting sqref="E89">
    <cfRule type="expression" dxfId="588" priority="309">
      <formula>$B89="Fin Liberación"</formula>
    </cfRule>
    <cfRule type="expression" dxfId="587" priority="310">
      <formula>$B89="Inicio Liberación"</formula>
    </cfRule>
  </conditionalFormatting>
  <conditionalFormatting sqref="F90">
    <cfRule type="expression" dxfId="586" priority="307">
      <formula>$B90="Fin Liberación"</formula>
    </cfRule>
    <cfRule type="expression" dxfId="585" priority="308">
      <formula>$B90="Inicio Liberación"</formula>
    </cfRule>
  </conditionalFormatting>
  <conditionalFormatting sqref="E91">
    <cfRule type="expression" dxfId="584" priority="305">
      <formula>$B91="Fin Liberación"</formula>
    </cfRule>
    <cfRule type="expression" dxfId="583" priority="306">
      <formula>$B91="Inicio Liberación"</formula>
    </cfRule>
  </conditionalFormatting>
  <conditionalFormatting sqref="F91">
    <cfRule type="expression" dxfId="582" priority="303">
      <formula>$B91="Fin Liberación"</formula>
    </cfRule>
    <cfRule type="expression" dxfId="581" priority="304">
      <formula>$B91="Inicio Liberación"</formula>
    </cfRule>
  </conditionalFormatting>
  <conditionalFormatting sqref="E92">
    <cfRule type="expression" dxfId="580" priority="301">
      <formula>$B92="Fin Liberación"</formula>
    </cfRule>
    <cfRule type="expression" dxfId="579" priority="302">
      <formula>$B92="Inicio Liberación"</formula>
    </cfRule>
  </conditionalFormatting>
  <conditionalFormatting sqref="F92">
    <cfRule type="expression" dxfId="578" priority="299">
      <formula>$B92="Fin Liberación"</formula>
    </cfRule>
    <cfRule type="expression" dxfId="577" priority="300">
      <formula>$B92="Inicio Liberación"</formula>
    </cfRule>
  </conditionalFormatting>
  <conditionalFormatting sqref="E93">
    <cfRule type="expression" dxfId="576" priority="297">
      <formula>$B93="Fin Liberación"</formula>
    </cfRule>
    <cfRule type="expression" dxfId="575" priority="298">
      <formula>$B93="Inicio Liberación"</formula>
    </cfRule>
  </conditionalFormatting>
  <conditionalFormatting sqref="F93">
    <cfRule type="expression" dxfId="574" priority="295">
      <formula>$B93="Fin Liberación"</formula>
    </cfRule>
    <cfRule type="expression" dxfId="573" priority="296">
      <formula>$B93="Inicio Liberación"</formula>
    </cfRule>
  </conditionalFormatting>
  <conditionalFormatting sqref="E95">
    <cfRule type="expression" dxfId="572" priority="289">
      <formula>$B95="Fin Liberación"</formula>
    </cfRule>
    <cfRule type="expression" dxfId="571" priority="290">
      <formula>$B95="Inicio Liberación"</formula>
    </cfRule>
  </conditionalFormatting>
  <conditionalFormatting sqref="F96">
    <cfRule type="expression" dxfId="570" priority="287">
      <formula>$B94="Fin Liberación"</formula>
    </cfRule>
    <cfRule type="expression" dxfId="569" priority="288">
      <formula>$B94="Inicio Liberación"</formula>
    </cfRule>
  </conditionalFormatting>
  <conditionalFormatting sqref="E97">
    <cfRule type="expression" dxfId="568" priority="285">
      <formula>$B95="Fin Liberación"</formula>
    </cfRule>
    <cfRule type="expression" dxfId="567" priority="286">
      <formula>$B95="Inicio Liberación"</formula>
    </cfRule>
  </conditionalFormatting>
  <conditionalFormatting sqref="F97">
    <cfRule type="expression" dxfId="566" priority="283">
      <formula>$B95="Fin Liberación"</formula>
    </cfRule>
    <cfRule type="expression" dxfId="565" priority="284">
      <formula>$B95="Inicio Liberación"</formula>
    </cfRule>
  </conditionalFormatting>
  <conditionalFormatting sqref="E98">
    <cfRule type="expression" dxfId="564" priority="281">
      <formula>$B96="Fin Liberación"</formula>
    </cfRule>
    <cfRule type="expression" dxfId="563" priority="282">
      <formula>$B96="Inicio Liberación"</formula>
    </cfRule>
  </conditionalFormatting>
  <conditionalFormatting sqref="F98">
    <cfRule type="expression" dxfId="562" priority="279">
      <formula>$B96="Fin Liberación"</formula>
    </cfRule>
    <cfRule type="expression" dxfId="561" priority="280">
      <formula>$B96="Inicio Liberación"</formula>
    </cfRule>
  </conditionalFormatting>
  <conditionalFormatting sqref="F99">
    <cfRule type="expression" dxfId="560" priority="275">
      <formula>$B97="Fin Liberación"</formula>
    </cfRule>
    <cfRule type="expression" dxfId="559" priority="276">
      <formula>$B97="Inicio Liberación"</formula>
    </cfRule>
  </conditionalFormatting>
  <conditionalFormatting sqref="E99">
    <cfRule type="expression" dxfId="558" priority="269">
      <formula>$B97="Fin Liberación"</formula>
    </cfRule>
    <cfRule type="expression" dxfId="557" priority="270">
      <formula>$B97="Inicio Liberación"</formula>
    </cfRule>
  </conditionalFormatting>
  <conditionalFormatting sqref="E100">
    <cfRule type="expression" dxfId="556" priority="267">
      <formula>$B98="Fin Liberación"</formula>
    </cfRule>
    <cfRule type="expression" dxfId="555" priority="268">
      <formula>$B98="Inicio Liberación"</formula>
    </cfRule>
  </conditionalFormatting>
  <conditionalFormatting sqref="F100">
    <cfRule type="expression" dxfId="554" priority="265">
      <formula>$B98="Fin Liberación"</formula>
    </cfRule>
    <cfRule type="expression" dxfId="553" priority="266">
      <formula>$B98="Inicio Liberación"</formula>
    </cfRule>
  </conditionalFormatting>
  <conditionalFormatting sqref="E101">
    <cfRule type="expression" dxfId="552" priority="263">
      <formula>$B99="Fin Liberación"</formula>
    </cfRule>
    <cfRule type="expression" dxfId="551" priority="264">
      <formula>$B99="Inicio Liberación"</formula>
    </cfRule>
  </conditionalFormatting>
  <conditionalFormatting sqref="F102">
    <cfRule type="expression" dxfId="550" priority="261">
      <formula>$B102="Fin Liberación"</formula>
    </cfRule>
    <cfRule type="expression" dxfId="549" priority="262">
      <formula>$B102="Inicio Liberación"</formula>
    </cfRule>
  </conditionalFormatting>
  <conditionalFormatting sqref="E103">
    <cfRule type="expression" dxfId="548" priority="259">
      <formula>$B103="Fin Liberación"</formula>
    </cfRule>
    <cfRule type="expression" dxfId="547" priority="260">
      <formula>$B103="Inicio Liberación"</formula>
    </cfRule>
  </conditionalFormatting>
  <conditionalFormatting sqref="F103">
    <cfRule type="expression" dxfId="546" priority="257">
      <formula>$B103="Fin Liberación"</formula>
    </cfRule>
    <cfRule type="expression" dxfId="545" priority="258">
      <formula>$B103="Inicio Liberación"</formula>
    </cfRule>
  </conditionalFormatting>
  <conditionalFormatting sqref="E104">
    <cfRule type="expression" dxfId="544" priority="255">
      <formula>$B104="Fin Liberación"</formula>
    </cfRule>
    <cfRule type="expression" dxfId="543" priority="256">
      <formula>$B104="Inicio Liberación"</formula>
    </cfRule>
  </conditionalFormatting>
  <conditionalFormatting sqref="F104">
    <cfRule type="expression" dxfId="542" priority="253">
      <formula>$B104="Fin Liberación"</formula>
    </cfRule>
    <cfRule type="expression" dxfId="541" priority="254">
      <formula>$B104="Inicio Liberación"</formula>
    </cfRule>
  </conditionalFormatting>
  <conditionalFormatting sqref="F105">
    <cfRule type="expression" dxfId="540" priority="249">
      <formula>$B105="Fin Liberación"</formula>
    </cfRule>
    <cfRule type="expression" dxfId="539" priority="250">
      <formula>$B105="Inicio Liberación"</formula>
    </cfRule>
  </conditionalFormatting>
  <conditionalFormatting sqref="F106">
    <cfRule type="expression" dxfId="538" priority="245">
      <formula>$B106="Fin Liberación"</formula>
    </cfRule>
    <cfRule type="expression" dxfId="537" priority="246">
      <formula>$B106="Inicio Liberación"</formula>
    </cfRule>
  </conditionalFormatting>
  <conditionalFormatting sqref="E107">
    <cfRule type="expression" dxfId="536" priority="219">
      <formula>$B107="Fin Liberación"</formula>
    </cfRule>
    <cfRule type="expression" dxfId="535" priority="220">
      <formula>$B107="Inicio Liberación"</formula>
    </cfRule>
  </conditionalFormatting>
  <conditionalFormatting sqref="F107">
    <cfRule type="expression" dxfId="534" priority="217">
      <formula>$B107="Fin Liberación"</formula>
    </cfRule>
    <cfRule type="expression" dxfId="533" priority="218">
      <formula>$B107="Inicio Liberación"</formula>
    </cfRule>
  </conditionalFormatting>
  <conditionalFormatting sqref="F109">
    <cfRule type="expression" dxfId="532" priority="209">
      <formula>$B109="Fin Liberación"</formula>
    </cfRule>
    <cfRule type="expression" dxfId="531" priority="210">
      <formula>$B109="Inicio Liberación"</formula>
    </cfRule>
  </conditionalFormatting>
  <conditionalFormatting sqref="E110">
    <cfRule type="expression" dxfId="530" priority="207">
      <formula>$B110="Fin Liberación"</formula>
    </cfRule>
    <cfRule type="expression" dxfId="529" priority="208">
      <formula>$B110="Inicio Liberación"</formula>
    </cfRule>
  </conditionalFormatting>
  <conditionalFormatting sqref="F110">
    <cfRule type="expression" dxfId="528" priority="205">
      <formula>$B110="Fin Liberación"</formula>
    </cfRule>
    <cfRule type="expression" dxfId="527" priority="206">
      <formula>$B110="Inicio Liberación"</formula>
    </cfRule>
  </conditionalFormatting>
  <conditionalFormatting sqref="F111">
    <cfRule type="expression" dxfId="526" priority="201">
      <formula>$B111="Fin Liberación"</formula>
    </cfRule>
    <cfRule type="expression" dxfId="525" priority="202">
      <formula>$B111="Inicio Liberación"</formula>
    </cfRule>
  </conditionalFormatting>
  <conditionalFormatting sqref="E105">
    <cfRule type="expression" dxfId="524" priority="195">
      <formula>$B105="Fin Liberación"</formula>
    </cfRule>
    <cfRule type="expression" dxfId="523" priority="196">
      <formula>$B105="Inicio Liberación"</formula>
    </cfRule>
  </conditionalFormatting>
  <conditionalFormatting sqref="E106">
    <cfRule type="expression" dxfId="522" priority="193">
      <formula>$B106="Fin Liberación"</formula>
    </cfRule>
    <cfRule type="expression" dxfId="521" priority="194">
      <formula>$B106="Inicio Liberación"</formula>
    </cfRule>
  </conditionalFormatting>
  <conditionalFormatting sqref="E108">
    <cfRule type="expression" dxfId="520" priority="191">
      <formula>$B108="Fin Liberación"</formula>
    </cfRule>
    <cfRule type="expression" dxfId="519" priority="192">
      <formula>$B108="Inicio Liberación"</formula>
    </cfRule>
  </conditionalFormatting>
  <conditionalFormatting sqref="F108">
    <cfRule type="expression" dxfId="518" priority="189">
      <formula>$B108="Fin Liberación"</formula>
    </cfRule>
    <cfRule type="expression" dxfId="517" priority="190">
      <formula>$B108="Inicio Liberación"</formula>
    </cfRule>
  </conditionalFormatting>
  <conditionalFormatting sqref="E109">
    <cfRule type="expression" dxfId="516" priority="187">
      <formula>$B109="Fin Liberación"</formula>
    </cfRule>
    <cfRule type="expression" dxfId="515" priority="188">
      <formula>$B109="Inicio Liberación"</formula>
    </cfRule>
  </conditionalFormatting>
  <conditionalFormatting sqref="E111">
    <cfRule type="expression" dxfId="514" priority="185">
      <formula>$B111="Fin Liberación"</formula>
    </cfRule>
    <cfRule type="expression" dxfId="513" priority="186">
      <formula>$B111="Inicio Liberación"</formula>
    </cfRule>
  </conditionalFormatting>
  <conditionalFormatting sqref="E112">
    <cfRule type="expression" dxfId="512" priority="183">
      <formula>$B112="Fin Liberación"</formula>
    </cfRule>
    <cfRule type="expression" dxfId="511" priority="184">
      <formula>$B112="Inicio Liberación"</formula>
    </cfRule>
  </conditionalFormatting>
  <conditionalFormatting sqref="F112">
    <cfRule type="expression" dxfId="510" priority="181">
      <formula>$B112="Fin Liberación"</formula>
    </cfRule>
    <cfRule type="expression" dxfId="509" priority="182">
      <formula>$B112="Inicio Liberación"</formula>
    </cfRule>
  </conditionalFormatting>
  <conditionalFormatting sqref="E113">
    <cfRule type="expression" dxfId="508" priority="179">
      <formula>$B113="Fin Liberación"</formula>
    </cfRule>
    <cfRule type="expression" dxfId="507" priority="180">
      <formula>$B113="Inicio Liberación"</formula>
    </cfRule>
  </conditionalFormatting>
  <conditionalFormatting sqref="F114">
    <cfRule type="expression" dxfId="506" priority="177">
      <formula>$B114="Fin Liberación"</formula>
    </cfRule>
    <cfRule type="expression" dxfId="505" priority="178">
      <formula>$B114="Inicio Liberación"</formula>
    </cfRule>
  </conditionalFormatting>
  <conditionalFormatting sqref="E115">
    <cfRule type="expression" dxfId="504" priority="175">
      <formula>$B115="Fin Liberación"</formula>
    </cfRule>
    <cfRule type="expression" dxfId="503" priority="176">
      <formula>$B115="Inicio Liberación"</formula>
    </cfRule>
  </conditionalFormatting>
  <conditionalFormatting sqref="F115">
    <cfRule type="expression" dxfId="502" priority="173">
      <formula>$B115="Fin Liberación"</formula>
    </cfRule>
    <cfRule type="expression" dxfId="501" priority="174">
      <formula>$B115="Inicio Liberación"</formula>
    </cfRule>
  </conditionalFormatting>
  <conditionalFormatting sqref="E116">
    <cfRule type="expression" dxfId="500" priority="171">
      <formula>$B116="Fin Liberación"</formula>
    </cfRule>
    <cfRule type="expression" dxfId="499" priority="172">
      <formula>$B116="Inicio Liberación"</formula>
    </cfRule>
  </conditionalFormatting>
  <conditionalFormatting sqref="F116">
    <cfRule type="expression" dxfId="498" priority="169">
      <formula>$B116="Fin Liberación"</formula>
    </cfRule>
    <cfRule type="expression" dxfId="497" priority="170">
      <formula>$B116="Inicio Liberación"</formula>
    </cfRule>
  </conditionalFormatting>
  <conditionalFormatting sqref="E117">
    <cfRule type="expression" dxfId="496" priority="167">
      <formula>$B117="Fin Liberación"</formula>
    </cfRule>
    <cfRule type="expression" dxfId="495" priority="168">
      <formula>$B117="Inicio Liberación"</formula>
    </cfRule>
  </conditionalFormatting>
  <conditionalFormatting sqref="F117">
    <cfRule type="expression" dxfId="494" priority="165">
      <formula>$B117="Fin Liberación"</formula>
    </cfRule>
    <cfRule type="expression" dxfId="493" priority="166">
      <formula>$B117="Inicio Liberación"</formula>
    </cfRule>
  </conditionalFormatting>
  <conditionalFormatting sqref="E118">
    <cfRule type="expression" dxfId="492" priority="163">
      <formula>$B118="Fin Liberación"</formula>
    </cfRule>
    <cfRule type="expression" dxfId="491" priority="164">
      <formula>$B118="Inicio Liberación"</formula>
    </cfRule>
  </conditionalFormatting>
  <conditionalFormatting sqref="F118">
    <cfRule type="expression" dxfId="490" priority="161">
      <formula>$B118="Fin Liberación"</formula>
    </cfRule>
    <cfRule type="expression" dxfId="489" priority="162">
      <formula>$B118="Inicio Liberación"</formula>
    </cfRule>
  </conditionalFormatting>
  <conditionalFormatting sqref="E119">
    <cfRule type="expression" dxfId="488" priority="159">
      <formula>$B119="Fin Liberación"</formula>
    </cfRule>
    <cfRule type="expression" dxfId="487" priority="160">
      <formula>$B119="Inicio Liberación"</formula>
    </cfRule>
  </conditionalFormatting>
  <conditionalFormatting sqref="F119">
    <cfRule type="expression" dxfId="486" priority="157">
      <formula>$B119="Fin Liberación"</formula>
    </cfRule>
    <cfRule type="expression" dxfId="485" priority="158">
      <formula>$B119="Inicio Liberación"</formula>
    </cfRule>
  </conditionalFormatting>
  <conditionalFormatting sqref="E120">
    <cfRule type="expression" dxfId="484" priority="155">
      <formula>$B120="Fin Liberación"</formula>
    </cfRule>
    <cfRule type="expression" dxfId="483" priority="156">
      <formula>$B120="Inicio Liberación"</formula>
    </cfRule>
  </conditionalFormatting>
  <conditionalFormatting sqref="F120">
    <cfRule type="expression" dxfId="482" priority="153">
      <formula>$B120="Fin Liberación"</formula>
    </cfRule>
    <cfRule type="expression" dxfId="481" priority="154">
      <formula>$B120="Inicio Liberación"</formula>
    </cfRule>
  </conditionalFormatting>
  <conditionalFormatting sqref="E121">
    <cfRule type="expression" dxfId="480" priority="151">
      <formula>$B121="Fin Liberación"</formula>
    </cfRule>
    <cfRule type="expression" dxfId="479" priority="152">
      <formula>$B121="Inicio Liberación"</formula>
    </cfRule>
  </conditionalFormatting>
  <conditionalFormatting sqref="F121">
    <cfRule type="expression" dxfId="478" priority="149">
      <formula>$B121="Fin Liberación"</formula>
    </cfRule>
    <cfRule type="expression" dxfId="477" priority="150">
      <formula>$B121="Inicio Liberación"</formula>
    </cfRule>
  </conditionalFormatting>
  <conditionalFormatting sqref="E122">
    <cfRule type="expression" dxfId="476" priority="147">
      <formula>$B122="Fin Liberación"</formula>
    </cfRule>
    <cfRule type="expression" dxfId="475" priority="148">
      <formula>$B122="Inicio Liberación"</formula>
    </cfRule>
  </conditionalFormatting>
  <conditionalFormatting sqref="F122">
    <cfRule type="expression" dxfId="474" priority="145">
      <formula>$B122="Fin Liberación"</formula>
    </cfRule>
    <cfRule type="expression" dxfId="473" priority="146">
      <formula>$B122="Inicio Liberación"</formula>
    </cfRule>
  </conditionalFormatting>
  <conditionalFormatting sqref="E123">
    <cfRule type="expression" dxfId="472" priority="143">
      <formula>$B123="Fin Liberación"</formula>
    </cfRule>
    <cfRule type="expression" dxfId="471" priority="144">
      <formula>$B123="Inicio Liberación"</formula>
    </cfRule>
  </conditionalFormatting>
  <conditionalFormatting sqref="E94">
    <cfRule type="expression" dxfId="470" priority="141">
      <formula>$B94="Fin Liberación"</formula>
    </cfRule>
    <cfRule type="expression" dxfId="469" priority="142">
      <formula>$B94="Inicio Liberación"</formula>
    </cfRule>
  </conditionalFormatting>
  <conditionalFormatting sqref="F94">
    <cfRule type="expression" dxfId="468" priority="139">
      <formula>$B94="Fin Liberación"</formula>
    </cfRule>
    <cfRule type="expression" dxfId="467" priority="140">
      <formula>$B94="Inicio Liberación"</formula>
    </cfRule>
  </conditionalFormatting>
  <conditionalFormatting sqref="F124">
    <cfRule type="expression" dxfId="466" priority="137">
      <formula>$B124="Fin Liberación"</formula>
    </cfRule>
    <cfRule type="expression" dxfId="465" priority="138">
      <formula>$B124="Inicio Liberación"</formula>
    </cfRule>
  </conditionalFormatting>
  <conditionalFormatting sqref="C7:C8">
    <cfRule type="expression" dxfId="464" priority="129">
      <formula>$B7="Fin Liberación"</formula>
    </cfRule>
    <cfRule type="expression" dxfId="463" priority="130">
      <formula>$B7="Inicio Liberación"</formula>
    </cfRule>
  </conditionalFormatting>
  <conditionalFormatting sqref="C7:C8">
    <cfRule type="expression" dxfId="462" priority="127">
      <formula>$B7="Fin Liberación"</formula>
    </cfRule>
    <cfRule type="expression" dxfId="461" priority="128">
      <formula>$B7="Inicio Liberación"</formula>
    </cfRule>
  </conditionalFormatting>
  <conditionalFormatting sqref="D9:D11">
    <cfRule type="expression" dxfId="460" priority="77">
      <formula>$B9="Fin Liberación"</formula>
    </cfRule>
    <cfRule type="expression" dxfId="459" priority="78">
      <formula>$B9="Inicio Liberación"</formula>
    </cfRule>
  </conditionalFormatting>
  <conditionalFormatting sqref="D9:D11">
    <cfRule type="expression" dxfId="458" priority="75">
      <formula>$B9="Fin Liberación"</formula>
    </cfRule>
    <cfRule type="expression" dxfId="457" priority="76">
      <formula>$B9="Inicio Liberación"</formula>
    </cfRule>
  </conditionalFormatting>
  <conditionalFormatting sqref="E6">
    <cfRule type="expression" dxfId="456" priority="65">
      <formula>$B6="Fin Liberación"</formula>
    </cfRule>
    <cfRule type="expression" dxfId="455" priority="66">
      <formula>$B6="Inicio Liberación"</formula>
    </cfRule>
  </conditionalFormatting>
  <conditionalFormatting sqref="D12">
    <cfRule type="expression" dxfId="454" priority="63">
      <formula>$B12="Fin Liberación"</formula>
    </cfRule>
    <cfRule type="expression" dxfId="453" priority="64">
      <formula>$B12="Inicio Liberación"</formula>
    </cfRule>
  </conditionalFormatting>
  <conditionalFormatting sqref="D12">
    <cfRule type="expression" dxfId="452" priority="61">
      <formula>$B12="Fin Liberación"</formula>
    </cfRule>
    <cfRule type="expression" dxfId="451" priority="62">
      <formula>$B12="Inicio Liberación"</formula>
    </cfRule>
  </conditionalFormatting>
  <conditionalFormatting sqref="D13">
    <cfRule type="expression" dxfId="450" priority="59">
      <formula>$B13="Fin Liberación"</formula>
    </cfRule>
    <cfRule type="expression" dxfId="449" priority="60">
      <formula>$B13="Inicio Liberación"</formula>
    </cfRule>
  </conditionalFormatting>
  <conditionalFormatting sqref="D13">
    <cfRule type="expression" dxfId="448" priority="57">
      <formula>$B13="Fin Liberación"</formula>
    </cfRule>
    <cfRule type="expression" dxfId="447" priority="58">
      <formula>$B13="Inicio Liberación"</formula>
    </cfRule>
  </conditionalFormatting>
  <conditionalFormatting sqref="F13">
    <cfRule type="expression" dxfId="446" priority="55">
      <formula>$B13="Fin Liberación"</formula>
    </cfRule>
    <cfRule type="expression" dxfId="445" priority="56">
      <formula>$B13="Inicio Liberación"</formula>
    </cfRule>
  </conditionalFormatting>
  <conditionalFormatting sqref="E13">
    <cfRule type="expression" dxfId="444" priority="53">
      <formula>$B13="Fin Liberación"</formula>
    </cfRule>
    <cfRule type="expression" dxfId="443" priority="54">
      <formula>$B13="Inicio Liberación"</formula>
    </cfRule>
  </conditionalFormatting>
  <conditionalFormatting sqref="E9">
    <cfRule type="expression" dxfId="442" priority="37">
      <formula>$B9="Fin Liberación"</formula>
    </cfRule>
    <cfRule type="expression" dxfId="441" priority="38">
      <formula>$B9="Inicio Liberación"</formula>
    </cfRule>
  </conditionalFormatting>
  <conditionalFormatting sqref="F9">
    <cfRule type="expression" dxfId="440" priority="35">
      <formula>$B9="Fin Liberación"</formula>
    </cfRule>
    <cfRule type="expression" dxfId="439" priority="36">
      <formula>$B9="Inicio Liberación"</formula>
    </cfRule>
  </conditionalFormatting>
  <conditionalFormatting sqref="E10">
    <cfRule type="expression" dxfId="438" priority="31">
      <formula>$B10="Fin Liberación"</formula>
    </cfRule>
    <cfRule type="expression" dxfId="437" priority="32">
      <formula>$B10="Inicio Liberación"</formula>
    </cfRule>
  </conditionalFormatting>
  <conditionalFormatting sqref="F10">
    <cfRule type="expression" dxfId="436" priority="29">
      <formula>$B10="Fin Liberación"</formula>
    </cfRule>
    <cfRule type="expression" dxfId="435" priority="30">
      <formula>$B10="Inicio Liberación"</formula>
    </cfRule>
  </conditionalFormatting>
  <conditionalFormatting sqref="E11">
    <cfRule type="expression" dxfId="434" priority="27">
      <formula>$B11="Fin Liberación"</formula>
    </cfRule>
    <cfRule type="expression" dxfId="433" priority="28">
      <formula>$B11="Inicio Liberación"</formula>
    </cfRule>
  </conditionalFormatting>
  <conditionalFormatting sqref="F11">
    <cfRule type="expression" dxfId="432" priority="25">
      <formula>$B11="Fin Liberación"</formula>
    </cfRule>
    <cfRule type="expression" dxfId="431" priority="26">
      <formula>$B11="Inicio Liberación"</formula>
    </cfRule>
  </conditionalFormatting>
  <conditionalFormatting sqref="E12">
    <cfRule type="expression" dxfId="430" priority="23">
      <formula>$B12="Fin Liberación"</formula>
    </cfRule>
    <cfRule type="expression" dxfId="429" priority="24">
      <formula>$B12="Inicio Liberación"</formula>
    </cfRule>
  </conditionalFormatting>
  <conditionalFormatting sqref="F12">
    <cfRule type="expression" dxfId="428" priority="21">
      <formula>$B12="Fin Liberación"</formula>
    </cfRule>
    <cfRule type="expression" dxfId="427" priority="22">
      <formula>$B12="Inicio Liberación"</formula>
    </cfRule>
  </conditionalFormatting>
  <conditionalFormatting sqref="C6:C8 C16:C17">
    <cfRule type="expression" dxfId="426" priority="1236">
      <formula>$B10="Inicio Liberación"</formula>
    </cfRule>
  </conditionalFormatting>
  <conditionalFormatting sqref="C6:C8 C16:C17">
    <cfRule type="expression" dxfId="425" priority="1238">
      <formula>$B10="Fin Liberación"</formula>
    </cfRule>
  </conditionalFormatting>
  <conditionalFormatting sqref="F6">
    <cfRule type="expression" dxfId="424" priority="19">
      <formula>$B6="Fin Liberación"</formula>
    </cfRule>
    <cfRule type="expression" dxfId="423" priority="20">
      <formula>$B6="Inicio Liberación"</formula>
    </cfRule>
  </conditionalFormatting>
  <conditionalFormatting sqref="F7">
    <cfRule type="expression" dxfId="422" priority="15">
      <formula>$B7="Fin Liberación"</formula>
    </cfRule>
    <cfRule type="expression" dxfId="421" priority="16">
      <formula>$B7="Inicio Liberación"</formula>
    </cfRule>
  </conditionalFormatting>
  <conditionalFormatting sqref="E7">
    <cfRule type="expression" dxfId="420" priority="13">
      <formula>$B7="Fin Liberación"</formula>
    </cfRule>
    <cfRule type="expression" dxfId="419" priority="14">
      <formula>$B7="Inicio Liberación"</formula>
    </cfRule>
  </conditionalFormatting>
  <conditionalFormatting sqref="E8">
    <cfRule type="expression" dxfId="418" priority="3">
      <formula>$B8="Fin Liberación"</formula>
    </cfRule>
    <cfRule type="expression" dxfId="417" priority="4">
      <formula>$B8="Inicio Liberación"</formula>
    </cfRule>
  </conditionalFormatting>
  <conditionalFormatting sqref="F8">
    <cfRule type="expression" dxfId="416" priority="1">
      <formula>$B8="Fin Liberación"</formula>
    </cfRule>
    <cfRule type="expression" dxfId="415" priority="2">
      <formula>$B8="Inicio Liberación"</formula>
    </cfRule>
  </conditionalFormatting>
  <dataValidations xWindow="450" yWindow="252" count="7">
    <dataValidation type="list" allowBlank="1" showInputMessage="1" showErrorMessage="1" sqref="K5:K208">
      <formula1>"S,N"</formula1>
    </dataValidation>
    <dataValidation type="list" allowBlank="1" showInputMessage="1" showErrorMessage="1" prompt="Selecciona Opción de Lista" sqref="D4">
      <formula1>"No Requiere VT,Si Requiere VT,VT Informativa"</formula1>
    </dataValidation>
    <dataValidation type="list" allowBlank="1" showInputMessage="1" showErrorMessage="1" sqref="L4:L208">
      <formula1>"T,P,N"</formula1>
    </dataValidation>
    <dataValidation type="list" allowBlank="1" showInputMessage="1" showErrorMessage="1" sqref="C4">
      <formula1>"VT"</formula1>
    </dataValidation>
    <dataValidation type="list" allowBlank="1" showInputMessage="1" showErrorMessage="1" sqref="C5">
      <formula1>"INI"</formula1>
    </dataValidation>
    <dataValidation type="list" allowBlank="1" showInputMessage="1" showErrorMessage="1" sqref="C6:C207">
      <formula1>"PRE,IMP,VAL,BCK,VTI,VTF,FIN"</formula1>
    </dataValidation>
    <dataValidation type="list" allowBlank="1" showInputMessage="1" showErrorMessage="1" sqref="H208">
      <formula1>$Q$3:$Q$21</formula1>
    </dataValidation>
  </dataValidations>
  <printOptions gridLines="1"/>
  <pageMargins left="0.19685039370078741" right="0.19685039370078741" top="0.39370078740157483" bottom="0.74803149606299213" header="0.31496062992125984" footer="0.31496062992125984"/>
  <pageSetup scale="38" orientation="portrait" blackAndWhite="1" r:id="rId2"/>
  <ignoredErrors>
    <ignoredError sqref="G5" evalError="1"/>
    <ignoredError sqref="G34:G207 G6:G7 G9:G16 G25:G32" unlockedFormula="1"/>
  </ignoredErrors>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B2:AK43"/>
  <sheetViews>
    <sheetView showGridLines="0" topLeftCell="A2" zoomScaleNormal="100" workbookViewId="0">
      <selection activeCell="B4" sqref="B4:E4"/>
    </sheetView>
  </sheetViews>
  <sheetFormatPr defaultColWidth="9.140625" defaultRowHeight="13.5"/>
  <cols>
    <col min="1" max="1" width="6.42578125" style="29" customWidth="1"/>
    <col min="2" max="2" width="23.140625" style="29" customWidth="1"/>
    <col min="3" max="3" width="15.42578125" style="29" customWidth="1"/>
    <col min="4" max="4" width="17.42578125" style="29" customWidth="1"/>
    <col min="5" max="5" width="46" style="29" customWidth="1"/>
    <col min="6" max="6" width="13.28515625" style="29" customWidth="1"/>
    <col min="7" max="10" width="9.140625" style="29" hidden="1" customWidth="1"/>
    <col min="11" max="11" width="22.140625" style="29" hidden="1" customWidth="1"/>
    <col min="12" max="12" width="61.5703125" style="29" hidden="1" customWidth="1"/>
    <col min="13" max="13" width="69.85546875" style="29" hidden="1" customWidth="1"/>
    <col min="14" max="14" width="46" style="29" hidden="1" customWidth="1"/>
    <col min="15" max="15" width="57.85546875" style="29" hidden="1" customWidth="1"/>
    <col min="16" max="16" width="44.7109375" style="29" hidden="1" customWidth="1"/>
    <col min="17" max="17" width="52.42578125" style="29" hidden="1" customWidth="1"/>
    <col min="18" max="18" width="35" style="29" hidden="1" customWidth="1"/>
    <col min="19" max="19" width="49.5703125" style="29" hidden="1" customWidth="1"/>
    <col min="20" max="20" width="14" style="29" hidden="1" customWidth="1"/>
    <col min="21" max="21" width="14.140625" style="29" hidden="1" customWidth="1"/>
    <col min="22" max="22" width="15.42578125" style="29" hidden="1" customWidth="1"/>
    <col min="23" max="23" width="13.42578125" style="29" hidden="1" customWidth="1"/>
    <col min="24" max="37" width="9.140625" style="29" hidden="1" customWidth="1"/>
    <col min="38" max="16384" width="9.140625" style="29"/>
  </cols>
  <sheetData>
    <row r="2" spans="2:35">
      <c r="B2" s="203" t="s">
        <v>289</v>
      </c>
      <c r="C2" s="203"/>
      <c r="D2" s="203"/>
      <c r="E2" s="203"/>
    </row>
    <row r="3" spans="2:35" ht="15" customHeight="1">
      <c r="B3" s="207" t="s">
        <v>153</v>
      </c>
      <c r="C3" s="208"/>
      <c r="D3" s="208"/>
      <c r="E3" s="209"/>
    </row>
    <row r="4" spans="2:35" ht="15" customHeight="1">
      <c r="B4" s="204"/>
      <c r="C4" s="205"/>
      <c r="D4" s="205"/>
      <c r="E4" s="206"/>
    </row>
    <row r="5" spans="2:35" ht="16.5" customHeight="1">
      <c r="B5" s="39"/>
      <c r="C5" s="39"/>
      <c r="D5" s="39"/>
      <c r="E5" s="39"/>
    </row>
    <row r="6" spans="2:35" ht="16.5" customHeight="1">
      <c r="B6" s="203" t="s">
        <v>151</v>
      </c>
      <c r="C6" s="203"/>
      <c r="D6" s="203"/>
      <c r="E6" s="203"/>
    </row>
    <row r="7" spans="2:35" ht="16.5" customHeight="1">
      <c r="B7" s="42" t="s">
        <v>152</v>
      </c>
      <c r="C7" s="43" t="s">
        <v>80</v>
      </c>
      <c r="D7" s="42" t="s">
        <v>78</v>
      </c>
      <c r="E7" s="43" t="s">
        <v>79</v>
      </c>
    </row>
    <row r="8" spans="2:35" ht="15" customHeight="1">
      <c r="B8" s="40"/>
      <c r="C8" s="40"/>
      <c r="D8" s="40"/>
      <c r="E8" s="40"/>
    </row>
    <row r="10" spans="2:35">
      <c r="B10" s="211" t="s">
        <v>288</v>
      </c>
      <c r="C10" s="211"/>
      <c r="D10" s="211"/>
      <c r="E10" s="211"/>
      <c r="F10" s="30"/>
      <c r="G10" s="30"/>
      <c r="H10" s="30"/>
      <c r="I10" s="30"/>
      <c r="J10" s="30"/>
      <c r="K10" s="31" t="e">
        <f>IF(#REF!=0,"",#REF!)</f>
        <v>#REF!</v>
      </c>
      <c r="L10" s="32" t="e">
        <f>IF(#REF!=0,"",#REF!)</f>
        <v>#REF!</v>
      </c>
      <c r="M10" s="32" t="e">
        <f>IF(#REF!=0,"",#REF!)</f>
        <v>#REF!</v>
      </c>
      <c r="N10" s="32" t="e">
        <f>IF(#REF!=0,"",#REF!)</f>
        <v>#REF!</v>
      </c>
      <c r="O10" s="32" t="e">
        <f>IF(#REF!=0,"",#REF!)</f>
        <v>#REF!</v>
      </c>
      <c r="P10" s="32" t="e">
        <f>IF(#REF!=0,"",#REF!)</f>
        <v>#REF!</v>
      </c>
      <c r="Q10" s="32" t="e">
        <f>IF(#REF!=0,"",#REF!)</f>
        <v>#REF!</v>
      </c>
      <c r="R10" s="32" t="e">
        <f>IF(#REF!=0,"",#REF!)</f>
        <v>#REF!</v>
      </c>
      <c r="S10" s="32" t="e">
        <f>IF(#REF!=0,"",#REF!)</f>
        <v>#REF!</v>
      </c>
      <c r="T10" s="32" t="e">
        <f>IF(#REF!=0,"",#REF!)</f>
        <v>#REF!</v>
      </c>
      <c r="U10" s="32" t="e">
        <f>IF(#REF!=0,"",#REF!)</f>
        <v>#REF!</v>
      </c>
      <c r="V10" s="32" t="e">
        <f>IF(#REF!=0,"",#REF!)</f>
        <v>#REF!</v>
      </c>
      <c r="W10" s="32" t="e">
        <f>IF(#REF!=0,"",#REF!)</f>
        <v>#REF!</v>
      </c>
      <c r="X10" s="32" t="e">
        <f>IF(#REF!=0,"",#REF!)</f>
        <v>#REF!</v>
      </c>
      <c r="Y10" s="32" t="e">
        <f>IF(#REF!=0,"",#REF!)</f>
        <v>#REF!</v>
      </c>
      <c r="Z10" s="32" t="e">
        <f>IF(#REF!=0,"",#REF!)</f>
        <v>#REF!</v>
      </c>
      <c r="AA10" s="32" t="e">
        <f>IF(#REF!=0,"",#REF!)</f>
        <v>#REF!</v>
      </c>
      <c r="AB10" s="32" t="e">
        <f>IF(#REF!=0,"",#REF!)</f>
        <v>#REF!</v>
      </c>
      <c r="AC10" s="32" t="e">
        <f>IF(#REF!=0,"",#REF!)</f>
        <v>#REF!</v>
      </c>
      <c r="AD10" s="32" t="e">
        <f>IF(#REF!=0,"",#REF!)</f>
        <v>#REF!</v>
      </c>
      <c r="AE10" s="32" t="e">
        <f>IF(#REF!=0,"",#REF!)</f>
        <v>#REF!</v>
      </c>
      <c r="AF10" s="32" t="e">
        <f>IF(#REF!=0,"",#REF!)</f>
        <v>#REF!</v>
      </c>
      <c r="AG10" s="32" t="e">
        <f>IF(#REF!=0,"",#REF!)</f>
        <v>#REF!</v>
      </c>
      <c r="AH10" s="32" t="e">
        <f>IF(#REF!=0,"",#REF!)</f>
        <v>#REF!</v>
      </c>
      <c r="AI10" s="32" t="e">
        <f>IF(#REF!=0,"",#REF!)</f>
        <v>#REF!</v>
      </c>
    </row>
    <row r="11" spans="2:35">
      <c r="B11" s="148" t="s">
        <v>287</v>
      </c>
      <c r="C11" s="212" t="s">
        <v>154</v>
      </c>
      <c r="D11" s="212"/>
      <c r="E11" s="212"/>
      <c r="F11" s="30"/>
      <c r="G11" s="30"/>
      <c r="H11" s="30"/>
      <c r="I11" s="30"/>
      <c r="J11" s="30"/>
      <c r="K11" s="31" t="e">
        <f>IF(#REF!=0,"",#REF!)</f>
        <v>#REF!</v>
      </c>
      <c r="L11" s="32" t="e">
        <f>IF(#REF!=0,"",#REF!)</f>
        <v>#REF!</v>
      </c>
      <c r="M11" s="32" t="e">
        <f>IF(#REF!=0,"",#REF!)</f>
        <v>#REF!</v>
      </c>
      <c r="N11" s="32" t="e">
        <f>IF(#REF!=0,"",#REF!)</f>
        <v>#REF!</v>
      </c>
      <c r="O11" s="32" t="e">
        <f>IF(#REF!=0,"",#REF!)</f>
        <v>#REF!</v>
      </c>
      <c r="P11" s="32" t="e">
        <f>IF(#REF!=0,"",#REF!)</f>
        <v>#REF!</v>
      </c>
      <c r="Q11" s="32" t="e">
        <f>IF(#REF!=0,"",#REF!)</f>
        <v>#REF!</v>
      </c>
      <c r="R11" s="32" t="e">
        <f>IF(#REF!=0,"",#REF!)</f>
        <v>#REF!</v>
      </c>
      <c r="S11" s="32" t="e">
        <f>IF(#REF!=0,"",#REF!)</f>
        <v>#REF!</v>
      </c>
      <c r="T11" s="32" t="e">
        <f>IF(#REF!=0,"",#REF!)</f>
        <v>#REF!</v>
      </c>
      <c r="U11" s="32" t="e">
        <f>IF(#REF!=0,"",#REF!)</f>
        <v>#REF!</v>
      </c>
      <c r="V11" s="32" t="e">
        <f>IF(#REF!=0,"",#REF!)</f>
        <v>#REF!</v>
      </c>
      <c r="W11" s="32" t="e">
        <f>IF(#REF!=0,"",#REF!)</f>
        <v>#REF!</v>
      </c>
      <c r="X11" s="32" t="e">
        <f>IF(#REF!=0,"",#REF!)</f>
        <v>#REF!</v>
      </c>
      <c r="Y11" s="32" t="e">
        <f>IF(#REF!=0,"",#REF!)</f>
        <v>#REF!</v>
      </c>
      <c r="Z11" s="32" t="e">
        <f>IF(#REF!=0,"",#REF!)</f>
        <v>#REF!</v>
      </c>
      <c r="AA11" s="32" t="e">
        <f>IF(#REF!=0,"",#REF!)</f>
        <v>#REF!</v>
      </c>
      <c r="AB11" s="32" t="e">
        <f>IF(#REF!=0,"",#REF!)</f>
        <v>#REF!</v>
      </c>
      <c r="AC11" s="32" t="e">
        <f>IF(#REF!=0,"",#REF!)</f>
        <v>#REF!</v>
      </c>
      <c r="AD11" s="32" t="e">
        <f>IF(#REF!=0,"",#REF!)</f>
        <v>#REF!</v>
      </c>
      <c r="AE11" s="32" t="e">
        <f>IF(#REF!=0,"",#REF!)</f>
        <v>#REF!</v>
      </c>
      <c r="AF11" s="32" t="e">
        <f>IF(#REF!=0,"",#REF!)</f>
        <v>#REF!</v>
      </c>
      <c r="AG11" s="32" t="e">
        <f>IF(#REF!=0,"",#REF!)</f>
        <v>#REF!</v>
      </c>
      <c r="AH11" s="32" t="e">
        <f>IF(#REF!=0,"",#REF!)</f>
        <v>#REF!</v>
      </c>
      <c r="AI11" s="32" t="e">
        <f>IF(#REF!=0,"",#REF!)</f>
        <v>#REF!</v>
      </c>
    </row>
    <row r="12" spans="2:35" ht="15" customHeight="1">
      <c r="B12" s="147"/>
      <c r="C12" s="210"/>
      <c r="D12" s="210"/>
      <c r="E12" s="210"/>
      <c r="F12" s="33"/>
      <c r="G12" s="33" t="str">
        <f>IFERROR(SEARCH("/",C12,1)-2,"")</f>
        <v/>
      </c>
      <c r="H12" s="33" t="str">
        <f>IFERROR(LEFT(C12,G12),"")</f>
        <v/>
      </c>
      <c r="I12" s="34" t="str">
        <f>IF(H12="","",CONCATENATE(H12,";"))</f>
        <v/>
      </c>
      <c r="J12" s="33"/>
      <c r="K12" s="31" t="e">
        <f>IF(#REF!=0,"",#REF!)</f>
        <v>#REF!</v>
      </c>
      <c r="L12" s="32" t="e">
        <f>IF(#REF!=0,"",#REF!)</f>
        <v>#REF!</v>
      </c>
      <c r="M12" s="32" t="e">
        <f>IF(#REF!=0,"",#REF!)</f>
        <v>#REF!</v>
      </c>
      <c r="N12" s="32" t="e">
        <f>IF(#REF!=0,"",#REF!)</f>
        <v>#REF!</v>
      </c>
      <c r="O12" s="32" t="e">
        <f>IF(#REF!=0,"",#REF!)</f>
        <v>#REF!</v>
      </c>
      <c r="P12" s="32" t="e">
        <f>IF(#REF!=0,"",#REF!)</f>
        <v>#REF!</v>
      </c>
      <c r="Q12" s="32" t="e">
        <f>IF(#REF!=0,"",#REF!)</f>
        <v>#REF!</v>
      </c>
      <c r="R12" s="32" t="e">
        <f>IF(#REF!=0,"",#REF!)</f>
        <v>#REF!</v>
      </c>
      <c r="S12" s="32" t="e">
        <f>IF(#REF!=0,"",#REF!)</f>
        <v>#REF!</v>
      </c>
      <c r="T12" s="32" t="e">
        <f>IF(#REF!=0,"",#REF!)</f>
        <v>#REF!</v>
      </c>
      <c r="U12" s="32" t="e">
        <f>IF(#REF!=0,"",#REF!)</f>
        <v>#REF!</v>
      </c>
      <c r="V12" s="32" t="e">
        <f>IF(#REF!=0,"",#REF!)</f>
        <v>#REF!</v>
      </c>
      <c r="W12" s="32" t="e">
        <f>IF(#REF!=0,"",#REF!)</f>
        <v>#REF!</v>
      </c>
      <c r="X12" s="32" t="e">
        <f>IF(#REF!=0,"",#REF!)</f>
        <v>#REF!</v>
      </c>
      <c r="Y12" s="32" t="e">
        <f>IF(#REF!=0,"",#REF!)</f>
        <v>#REF!</v>
      </c>
      <c r="Z12" s="32" t="e">
        <f>IF(#REF!=0,"",#REF!)</f>
        <v>#REF!</v>
      </c>
      <c r="AA12" s="32" t="e">
        <f>IF(#REF!=0,"",#REF!)</f>
        <v>#REF!</v>
      </c>
      <c r="AB12" s="32" t="e">
        <f>IF(#REF!=0,"",#REF!)</f>
        <v>#REF!</v>
      </c>
      <c r="AC12" s="32" t="e">
        <f>IF(#REF!=0,"",#REF!)</f>
        <v>#REF!</v>
      </c>
      <c r="AD12" s="32" t="e">
        <f>IF(#REF!=0,"",#REF!)</f>
        <v>#REF!</v>
      </c>
      <c r="AE12" s="32" t="e">
        <f>IF(#REF!=0,"",#REF!)</f>
        <v>#REF!</v>
      </c>
      <c r="AF12" s="32" t="e">
        <f>IF(#REF!=0,"",#REF!)</f>
        <v>#REF!</v>
      </c>
      <c r="AG12" s="32" t="e">
        <f>IF(#REF!=0,"",#REF!)</f>
        <v>#REF!</v>
      </c>
      <c r="AH12" s="32" t="e">
        <f>IF(#REF!=0,"",#REF!)</f>
        <v>#REF!</v>
      </c>
      <c r="AI12" s="32" t="e">
        <f>IF(#REF!=0,"",#REF!)</f>
        <v>#REF!</v>
      </c>
    </row>
    <row r="13" spans="2:35">
      <c r="B13" s="147"/>
      <c r="C13" s="210"/>
      <c r="D13" s="210"/>
      <c r="E13" s="210"/>
      <c r="F13" s="33"/>
      <c r="G13" s="33" t="str">
        <f t="shared" ref="G13:G21" si="0">IFERROR(SEARCH("/",C13,1)-2,"")</f>
        <v/>
      </c>
      <c r="H13" s="33" t="str">
        <f t="shared" ref="H13:H21" si="1">IFERROR(LEFT(C13,G13),"")</f>
        <v/>
      </c>
      <c r="I13" s="34" t="str">
        <f t="shared" ref="I13:I21" si="2">IF(H13="","",CONCATENATE(H13,";"))</f>
        <v/>
      </c>
      <c r="J13" s="33"/>
      <c r="K13" s="31" t="e">
        <f>IF(#REF!=0,"",#REF!)</f>
        <v>#REF!</v>
      </c>
      <c r="L13" s="32" t="e">
        <f>IF(#REF!=0,"",#REF!)</f>
        <v>#REF!</v>
      </c>
      <c r="M13" s="32" t="e">
        <f>IF(#REF!=0,"",#REF!)</f>
        <v>#REF!</v>
      </c>
      <c r="N13" s="32" t="e">
        <f>IF(#REF!=0,"",#REF!)</f>
        <v>#REF!</v>
      </c>
      <c r="O13" s="32" t="e">
        <f>IF(#REF!=0,"",#REF!)</f>
        <v>#REF!</v>
      </c>
      <c r="P13" s="32" t="e">
        <f>IF(#REF!=0,"",#REF!)</f>
        <v>#REF!</v>
      </c>
      <c r="Q13" s="32" t="e">
        <f>IF(#REF!=0,"",#REF!)</f>
        <v>#REF!</v>
      </c>
      <c r="R13" s="32" t="e">
        <f>IF(#REF!=0,"",#REF!)</f>
        <v>#REF!</v>
      </c>
      <c r="S13" s="32" t="e">
        <f>IF(#REF!=0,"",#REF!)</f>
        <v>#REF!</v>
      </c>
      <c r="T13" s="32" t="e">
        <f>IF(#REF!=0,"",#REF!)</f>
        <v>#REF!</v>
      </c>
      <c r="U13" s="32" t="e">
        <f>IF(#REF!=0,"",#REF!)</f>
        <v>#REF!</v>
      </c>
      <c r="V13" s="32" t="e">
        <f>IF(#REF!=0,"",#REF!)</f>
        <v>#REF!</v>
      </c>
      <c r="W13" s="32" t="e">
        <f>IF(#REF!=0,"",#REF!)</f>
        <v>#REF!</v>
      </c>
      <c r="X13" s="32" t="e">
        <f>IF(#REF!=0,"",#REF!)</f>
        <v>#REF!</v>
      </c>
      <c r="Y13" s="32" t="e">
        <f>IF(#REF!=0,"",#REF!)</f>
        <v>#REF!</v>
      </c>
      <c r="Z13" s="32" t="e">
        <f>IF(#REF!=0,"",#REF!)</f>
        <v>#REF!</v>
      </c>
      <c r="AA13" s="32" t="e">
        <f>IF(#REF!=0,"",#REF!)</f>
        <v>#REF!</v>
      </c>
      <c r="AB13" s="32" t="e">
        <f>IF(#REF!=0,"",#REF!)</f>
        <v>#REF!</v>
      </c>
      <c r="AC13" s="32" t="e">
        <f>IF(#REF!=0,"",#REF!)</f>
        <v>#REF!</v>
      </c>
      <c r="AD13" s="32" t="e">
        <f>IF(#REF!=0,"",#REF!)</f>
        <v>#REF!</v>
      </c>
      <c r="AE13" s="32" t="e">
        <f>IF(#REF!=0,"",#REF!)</f>
        <v>#REF!</v>
      </c>
      <c r="AF13" s="32" t="e">
        <f>IF(#REF!=0,"",#REF!)</f>
        <v>#REF!</v>
      </c>
      <c r="AG13" s="32" t="e">
        <f>IF(#REF!=0,"",#REF!)</f>
        <v>#REF!</v>
      </c>
      <c r="AH13" s="32" t="e">
        <f>IF(#REF!=0,"",#REF!)</f>
        <v>#REF!</v>
      </c>
      <c r="AI13" s="32" t="e">
        <f>IF(#REF!=0,"",#REF!)</f>
        <v>#REF!</v>
      </c>
    </row>
    <row r="14" spans="2:35">
      <c r="B14" s="147"/>
      <c r="C14" s="210"/>
      <c r="D14" s="210"/>
      <c r="E14" s="210"/>
      <c r="F14" s="33"/>
      <c r="G14" s="33" t="str">
        <f t="shared" si="0"/>
        <v/>
      </c>
      <c r="H14" s="33" t="str">
        <f t="shared" si="1"/>
        <v/>
      </c>
      <c r="I14" s="34" t="str">
        <f t="shared" si="2"/>
        <v/>
      </c>
      <c r="J14" s="33"/>
      <c r="K14" s="31" t="e">
        <f>IF(#REF!=0,"",#REF!)</f>
        <v>#REF!</v>
      </c>
      <c r="L14" s="32" t="e">
        <f>IF(#REF!=0,"",#REF!)</f>
        <v>#REF!</v>
      </c>
      <c r="M14" s="32" t="e">
        <f>IF(#REF!=0,"",#REF!)</f>
        <v>#REF!</v>
      </c>
      <c r="N14" s="32" t="e">
        <f>IF(#REF!=0,"",#REF!)</f>
        <v>#REF!</v>
      </c>
      <c r="O14" s="32" t="e">
        <f>IF(#REF!=0,"",#REF!)</f>
        <v>#REF!</v>
      </c>
      <c r="P14" s="32" t="e">
        <f>IF(#REF!=0,"",#REF!)</f>
        <v>#REF!</v>
      </c>
      <c r="Q14" s="32" t="e">
        <f>IF(#REF!=0,"",#REF!)</f>
        <v>#REF!</v>
      </c>
      <c r="R14" s="32" t="e">
        <f>IF(#REF!=0,"",#REF!)</f>
        <v>#REF!</v>
      </c>
      <c r="S14" s="32" t="e">
        <f>IF(#REF!=0,"",#REF!)</f>
        <v>#REF!</v>
      </c>
      <c r="T14" s="32" t="e">
        <f>IF(#REF!=0,"",#REF!)</f>
        <v>#REF!</v>
      </c>
      <c r="U14" s="32" t="e">
        <f>IF(#REF!=0,"",#REF!)</f>
        <v>#REF!</v>
      </c>
      <c r="V14" s="32" t="e">
        <f>IF(#REF!=0,"",#REF!)</f>
        <v>#REF!</v>
      </c>
      <c r="W14" s="32" t="e">
        <f>IF(#REF!=0,"",#REF!)</f>
        <v>#REF!</v>
      </c>
      <c r="X14" s="32" t="e">
        <f>IF(#REF!=0,"",#REF!)</f>
        <v>#REF!</v>
      </c>
      <c r="Y14" s="32" t="e">
        <f>IF(#REF!=0,"",#REF!)</f>
        <v>#REF!</v>
      </c>
      <c r="Z14" s="32" t="e">
        <f>IF(#REF!=0,"",#REF!)</f>
        <v>#REF!</v>
      </c>
      <c r="AA14" s="32" t="e">
        <f>IF(#REF!=0,"",#REF!)</f>
        <v>#REF!</v>
      </c>
      <c r="AB14" s="32" t="e">
        <f>IF(#REF!=0,"",#REF!)</f>
        <v>#REF!</v>
      </c>
      <c r="AC14" s="32" t="e">
        <f>IF(#REF!=0,"",#REF!)</f>
        <v>#REF!</v>
      </c>
      <c r="AD14" s="32" t="e">
        <f>IF(#REF!=0,"",#REF!)</f>
        <v>#REF!</v>
      </c>
      <c r="AE14" s="32" t="e">
        <f>IF(#REF!=0,"",#REF!)</f>
        <v>#REF!</v>
      </c>
      <c r="AF14" s="32" t="e">
        <f>IF(#REF!=0,"",#REF!)</f>
        <v>#REF!</v>
      </c>
      <c r="AG14" s="32" t="e">
        <f>IF(#REF!=0,"",#REF!)</f>
        <v>#REF!</v>
      </c>
      <c r="AH14" s="32" t="e">
        <f>IF(#REF!=0,"",#REF!)</f>
        <v>#REF!</v>
      </c>
      <c r="AI14" s="32" t="e">
        <f>IF(#REF!=0,"",#REF!)</f>
        <v>#REF!</v>
      </c>
    </row>
    <row r="15" spans="2:35">
      <c r="B15" s="147"/>
      <c r="C15" s="210"/>
      <c r="D15" s="210"/>
      <c r="E15" s="210"/>
      <c r="F15" s="33"/>
      <c r="G15" s="33" t="str">
        <f t="shared" si="0"/>
        <v/>
      </c>
      <c r="H15" s="33" t="str">
        <f t="shared" si="1"/>
        <v/>
      </c>
      <c r="I15" s="34" t="str">
        <f t="shared" si="2"/>
        <v/>
      </c>
      <c r="J15" s="33"/>
      <c r="K15" s="31" t="e">
        <f>IF(#REF!=0,"",#REF!)</f>
        <v>#REF!</v>
      </c>
      <c r="L15" s="32" t="e">
        <f>IF(#REF!=0,"",#REF!)</f>
        <v>#REF!</v>
      </c>
      <c r="M15" s="32" t="e">
        <f>IF(#REF!=0,"",#REF!)</f>
        <v>#REF!</v>
      </c>
      <c r="N15" s="32" t="e">
        <f>IF(#REF!=0,"",#REF!)</f>
        <v>#REF!</v>
      </c>
      <c r="O15" s="32" t="e">
        <f>IF(#REF!=0,"",#REF!)</f>
        <v>#REF!</v>
      </c>
      <c r="P15" s="32" t="e">
        <f>IF(#REF!=0,"",#REF!)</f>
        <v>#REF!</v>
      </c>
      <c r="Q15" s="32" t="e">
        <f>IF(#REF!=0,"",#REF!)</f>
        <v>#REF!</v>
      </c>
      <c r="R15" s="32" t="e">
        <f>IF(#REF!=0,"",#REF!)</f>
        <v>#REF!</v>
      </c>
      <c r="S15" s="32" t="e">
        <f>IF(#REF!=0,"",#REF!)</f>
        <v>#REF!</v>
      </c>
      <c r="T15" s="32" t="e">
        <f>IF(#REF!=0,"",#REF!)</f>
        <v>#REF!</v>
      </c>
      <c r="U15" s="32" t="e">
        <f>IF(#REF!=0,"",#REF!)</f>
        <v>#REF!</v>
      </c>
      <c r="V15" s="32" t="e">
        <f>IF(#REF!=0,"",#REF!)</f>
        <v>#REF!</v>
      </c>
      <c r="W15" s="32" t="e">
        <f>IF(#REF!=0,"",#REF!)</f>
        <v>#REF!</v>
      </c>
      <c r="X15" s="32" t="e">
        <f>IF(#REF!=0,"",#REF!)</f>
        <v>#REF!</v>
      </c>
      <c r="Y15" s="32" t="e">
        <f>IF(#REF!=0,"",#REF!)</f>
        <v>#REF!</v>
      </c>
      <c r="Z15" s="32" t="e">
        <f>IF(#REF!=0,"",#REF!)</f>
        <v>#REF!</v>
      </c>
      <c r="AA15" s="32" t="e">
        <f>IF(#REF!=0,"",#REF!)</f>
        <v>#REF!</v>
      </c>
      <c r="AB15" s="32" t="e">
        <f>IF(#REF!=0,"",#REF!)</f>
        <v>#REF!</v>
      </c>
      <c r="AC15" s="32" t="e">
        <f>IF(#REF!=0,"",#REF!)</f>
        <v>#REF!</v>
      </c>
      <c r="AD15" s="32" t="e">
        <f>IF(#REF!=0,"",#REF!)</f>
        <v>#REF!</v>
      </c>
      <c r="AE15" s="32" t="e">
        <f>IF(#REF!=0,"",#REF!)</f>
        <v>#REF!</v>
      </c>
      <c r="AF15" s="32" t="e">
        <f>IF(#REF!=0,"",#REF!)</f>
        <v>#REF!</v>
      </c>
      <c r="AG15" s="32" t="e">
        <f>IF(#REF!=0,"",#REF!)</f>
        <v>#REF!</v>
      </c>
      <c r="AH15" s="32" t="e">
        <f>IF(#REF!=0,"",#REF!)</f>
        <v>#REF!</v>
      </c>
      <c r="AI15" s="32" t="e">
        <f>IF(#REF!=0,"",#REF!)</f>
        <v>#REF!</v>
      </c>
    </row>
    <row r="16" spans="2:35">
      <c r="B16" s="147"/>
      <c r="C16" s="210"/>
      <c r="D16" s="210"/>
      <c r="E16" s="210"/>
      <c r="F16" s="33"/>
      <c r="G16" s="33" t="str">
        <f t="shared" si="0"/>
        <v/>
      </c>
      <c r="H16" s="33" t="str">
        <f t="shared" si="1"/>
        <v/>
      </c>
      <c r="I16" s="34" t="str">
        <f t="shared" si="2"/>
        <v/>
      </c>
      <c r="J16" s="33"/>
      <c r="K16" s="31" t="e">
        <f>IF(#REF!=0,"",#REF!)</f>
        <v>#REF!</v>
      </c>
      <c r="L16" s="32" t="e">
        <f>IF(#REF!=0,"",#REF!)</f>
        <v>#REF!</v>
      </c>
      <c r="M16" s="32" t="e">
        <f>IF(#REF!=0,"",#REF!)</f>
        <v>#REF!</v>
      </c>
      <c r="N16" s="32" t="e">
        <f>IF(#REF!=0,"",#REF!)</f>
        <v>#REF!</v>
      </c>
      <c r="O16" s="32" t="e">
        <f>IF(#REF!=0,"",#REF!)</f>
        <v>#REF!</v>
      </c>
      <c r="P16" s="32" t="e">
        <f>IF(#REF!=0,"",#REF!)</f>
        <v>#REF!</v>
      </c>
      <c r="Q16" s="32" t="e">
        <f>IF(#REF!=0,"",#REF!)</f>
        <v>#REF!</v>
      </c>
      <c r="R16" s="32" t="e">
        <f>IF(#REF!=0,"",#REF!)</f>
        <v>#REF!</v>
      </c>
      <c r="S16" s="32" t="e">
        <f>IF(#REF!=0,"",#REF!)</f>
        <v>#REF!</v>
      </c>
      <c r="T16" s="32" t="e">
        <f>IF(#REF!=0,"",#REF!)</f>
        <v>#REF!</v>
      </c>
      <c r="U16" s="32" t="e">
        <f>IF(#REF!=0,"",#REF!)</f>
        <v>#REF!</v>
      </c>
      <c r="V16" s="32" t="e">
        <f>IF(#REF!=0,"",#REF!)</f>
        <v>#REF!</v>
      </c>
      <c r="W16" s="32" t="e">
        <f>IF(#REF!=0,"",#REF!)</f>
        <v>#REF!</v>
      </c>
      <c r="X16" s="32" t="e">
        <f>IF(#REF!=0,"",#REF!)</f>
        <v>#REF!</v>
      </c>
      <c r="Y16" s="32" t="e">
        <f>IF(#REF!=0,"",#REF!)</f>
        <v>#REF!</v>
      </c>
      <c r="Z16" s="32" t="e">
        <f>IF(#REF!=0,"",#REF!)</f>
        <v>#REF!</v>
      </c>
      <c r="AA16" s="32" t="e">
        <f>IF(#REF!=0,"",#REF!)</f>
        <v>#REF!</v>
      </c>
      <c r="AB16" s="32" t="e">
        <f>IF(#REF!=0,"",#REF!)</f>
        <v>#REF!</v>
      </c>
      <c r="AC16" s="32" t="e">
        <f>IF(#REF!=0,"",#REF!)</f>
        <v>#REF!</v>
      </c>
      <c r="AD16" s="32" t="e">
        <f>IF(#REF!=0,"",#REF!)</f>
        <v>#REF!</v>
      </c>
      <c r="AE16" s="32" t="e">
        <f>IF(#REF!=0,"",#REF!)</f>
        <v>#REF!</v>
      </c>
      <c r="AF16" s="32" t="e">
        <f>IF(#REF!=0,"",#REF!)</f>
        <v>#REF!</v>
      </c>
      <c r="AG16" s="32" t="e">
        <f>IF(#REF!=0,"",#REF!)</f>
        <v>#REF!</v>
      </c>
      <c r="AH16" s="32" t="e">
        <f>IF(#REF!=0,"",#REF!)</f>
        <v>#REF!</v>
      </c>
      <c r="AI16" s="32" t="e">
        <f>IF(#REF!=0,"",#REF!)</f>
        <v>#REF!</v>
      </c>
    </row>
    <row r="17" spans="2:35">
      <c r="B17" s="147"/>
      <c r="C17" s="210"/>
      <c r="D17" s="210"/>
      <c r="E17" s="210"/>
      <c r="F17" s="33"/>
      <c r="G17" s="33" t="str">
        <f t="shared" si="0"/>
        <v/>
      </c>
      <c r="H17" s="33" t="str">
        <f t="shared" si="1"/>
        <v/>
      </c>
      <c r="I17" s="34" t="str">
        <f t="shared" si="2"/>
        <v/>
      </c>
      <c r="J17" s="33"/>
      <c r="K17" s="31" t="e">
        <f>IF(#REF!=0,"",#REF!)</f>
        <v>#REF!</v>
      </c>
      <c r="L17" s="32" t="e">
        <f>IF(#REF!=0,"",#REF!)</f>
        <v>#REF!</v>
      </c>
      <c r="M17" s="32" t="e">
        <f>IF(#REF!=0,"",#REF!)</f>
        <v>#REF!</v>
      </c>
      <c r="N17" s="32" t="e">
        <f>IF(#REF!=0,"",#REF!)</f>
        <v>#REF!</v>
      </c>
      <c r="O17" s="32" t="e">
        <f>IF(#REF!=0,"",#REF!)</f>
        <v>#REF!</v>
      </c>
      <c r="P17" s="32" t="e">
        <f>IF(#REF!=0,"",#REF!)</f>
        <v>#REF!</v>
      </c>
      <c r="Q17" s="32" t="e">
        <f>IF(#REF!=0,"",#REF!)</f>
        <v>#REF!</v>
      </c>
      <c r="R17" s="32" t="e">
        <f>IF(#REF!=0,"",#REF!)</f>
        <v>#REF!</v>
      </c>
      <c r="S17" s="32" t="e">
        <f>IF(#REF!=0,"",#REF!)</f>
        <v>#REF!</v>
      </c>
      <c r="T17" s="32" t="e">
        <f>IF(#REF!=0,"",#REF!)</f>
        <v>#REF!</v>
      </c>
      <c r="U17" s="32" t="e">
        <f>IF(#REF!=0,"",#REF!)</f>
        <v>#REF!</v>
      </c>
      <c r="V17" s="32" t="e">
        <f>IF(#REF!=0,"",#REF!)</f>
        <v>#REF!</v>
      </c>
      <c r="W17" s="32" t="e">
        <f>IF(#REF!=0,"",#REF!)</f>
        <v>#REF!</v>
      </c>
      <c r="X17" s="32" t="e">
        <f>IF(#REF!=0,"",#REF!)</f>
        <v>#REF!</v>
      </c>
      <c r="Y17" s="32" t="e">
        <f>IF(#REF!=0,"",#REF!)</f>
        <v>#REF!</v>
      </c>
      <c r="Z17" s="32" t="e">
        <f>IF(#REF!=0,"",#REF!)</f>
        <v>#REF!</v>
      </c>
      <c r="AA17" s="32" t="e">
        <f>IF(#REF!=0,"",#REF!)</f>
        <v>#REF!</v>
      </c>
      <c r="AB17" s="32" t="e">
        <f>IF(#REF!=0,"",#REF!)</f>
        <v>#REF!</v>
      </c>
      <c r="AC17" s="32" t="e">
        <f>IF(#REF!=0,"",#REF!)</f>
        <v>#REF!</v>
      </c>
      <c r="AD17" s="32" t="e">
        <f>IF(#REF!=0,"",#REF!)</f>
        <v>#REF!</v>
      </c>
      <c r="AE17" s="32" t="e">
        <f>IF(#REF!=0,"",#REF!)</f>
        <v>#REF!</v>
      </c>
      <c r="AF17" s="32" t="e">
        <f>IF(#REF!=0,"",#REF!)</f>
        <v>#REF!</v>
      </c>
      <c r="AG17" s="32" t="e">
        <f>IF(#REF!=0,"",#REF!)</f>
        <v>#REF!</v>
      </c>
      <c r="AH17" s="32" t="e">
        <f>IF(#REF!=0,"",#REF!)</f>
        <v>#REF!</v>
      </c>
      <c r="AI17" s="32" t="e">
        <f>IF(#REF!=0,"",#REF!)</f>
        <v>#REF!</v>
      </c>
    </row>
    <row r="18" spans="2:35">
      <c r="B18" s="147"/>
      <c r="C18" s="210"/>
      <c r="D18" s="210"/>
      <c r="E18" s="210"/>
      <c r="F18" s="33"/>
      <c r="G18" s="33" t="str">
        <f t="shared" si="0"/>
        <v/>
      </c>
      <c r="H18" s="33" t="str">
        <f t="shared" si="1"/>
        <v/>
      </c>
      <c r="I18" s="34" t="str">
        <f t="shared" si="2"/>
        <v/>
      </c>
      <c r="J18" s="33"/>
      <c r="K18" s="31" t="e">
        <f>IF(#REF!=0,"",#REF!)</f>
        <v>#REF!</v>
      </c>
      <c r="L18" s="32" t="e">
        <f>IF(#REF!=0,"",#REF!)</f>
        <v>#REF!</v>
      </c>
      <c r="M18" s="32" t="e">
        <f>IF(#REF!=0,"",#REF!)</f>
        <v>#REF!</v>
      </c>
      <c r="N18" s="32" t="e">
        <f>IF(#REF!=0,"",#REF!)</f>
        <v>#REF!</v>
      </c>
      <c r="O18" s="32" t="e">
        <f>IF(#REF!=0,"",#REF!)</f>
        <v>#REF!</v>
      </c>
      <c r="P18" s="32" t="e">
        <f>IF(#REF!=0,"",#REF!)</f>
        <v>#REF!</v>
      </c>
      <c r="Q18" s="32" t="e">
        <f>IF(#REF!=0,"",#REF!)</f>
        <v>#REF!</v>
      </c>
      <c r="R18" s="32" t="e">
        <f>IF(#REF!=0,"",#REF!)</f>
        <v>#REF!</v>
      </c>
      <c r="S18" s="32" t="e">
        <f>IF(#REF!=0,"",#REF!)</f>
        <v>#REF!</v>
      </c>
      <c r="T18" s="32" t="e">
        <f>IF(#REF!=0,"",#REF!)</f>
        <v>#REF!</v>
      </c>
      <c r="U18" s="32" t="e">
        <f>IF(#REF!=0,"",#REF!)</f>
        <v>#REF!</v>
      </c>
      <c r="V18" s="32" t="e">
        <f>IF(#REF!=0,"",#REF!)</f>
        <v>#REF!</v>
      </c>
      <c r="W18" s="32" t="e">
        <f>IF(#REF!=0,"",#REF!)</f>
        <v>#REF!</v>
      </c>
      <c r="X18" s="32" t="e">
        <f>IF(#REF!=0,"",#REF!)</f>
        <v>#REF!</v>
      </c>
      <c r="Y18" s="32" t="e">
        <f>IF(#REF!=0,"",#REF!)</f>
        <v>#REF!</v>
      </c>
      <c r="Z18" s="32" t="e">
        <f>IF(#REF!=0,"",#REF!)</f>
        <v>#REF!</v>
      </c>
      <c r="AA18" s="32" t="e">
        <f>IF(#REF!=0,"",#REF!)</f>
        <v>#REF!</v>
      </c>
      <c r="AB18" s="32" t="e">
        <f>IF(#REF!=0,"",#REF!)</f>
        <v>#REF!</v>
      </c>
      <c r="AC18" s="32" t="e">
        <f>IF(#REF!=0,"",#REF!)</f>
        <v>#REF!</v>
      </c>
      <c r="AD18" s="32" t="e">
        <f>IF(#REF!=0,"",#REF!)</f>
        <v>#REF!</v>
      </c>
      <c r="AE18" s="32" t="e">
        <f>IF(#REF!=0,"",#REF!)</f>
        <v>#REF!</v>
      </c>
      <c r="AF18" s="32" t="e">
        <f>IF(#REF!=0,"",#REF!)</f>
        <v>#REF!</v>
      </c>
      <c r="AG18" s="32" t="e">
        <f>IF(#REF!=0,"",#REF!)</f>
        <v>#REF!</v>
      </c>
      <c r="AH18" s="32" t="e">
        <f>IF(#REF!=0,"",#REF!)</f>
        <v>#REF!</v>
      </c>
      <c r="AI18" s="32" t="e">
        <f>IF(#REF!=0,"",#REF!)</f>
        <v>#REF!</v>
      </c>
    </row>
    <row r="19" spans="2:35">
      <c r="B19" s="147"/>
      <c r="C19" s="210"/>
      <c r="D19" s="210"/>
      <c r="E19" s="210"/>
      <c r="F19" s="33"/>
      <c r="G19" s="33" t="str">
        <f t="shared" si="0"/>
        <v/>
      </c>
      <c r="H19" s="33" t="str">
        <f t="shared" si="1"/>
        <v/>
      </c>
      <c r="I19" s="34" t="str">
        <f t="shared" si="2"/>
        <v/>
      </c>
      <c r="J19" s="33"/>
      <c r="K19" s="31" t="e">
        <f>IF(#REF!=0,"",#REF!)</f>
        <v>#REF!</v>
      </c>
      <c r="L19" s="32" t="e">
        <f>IF(#REF!=0,"",#REF!)</f>
        <v>#REF!</v>
      </c>
      <c r="M19" s="32" t="e">
        <f>IF(#REF!=0,"",#REF!)</f>
        <v>#REF!</v>
      </c>
      <c r="N19" s="32" t="e">
        <f>IF(#REF!=0,"",#REF!)</f>
        <v>#REF!</v>
      </c>
      <c r="O19" s="32" t="e">
        <f>IF(#REF!=0,"",#REF!)</f>
        <v>#REF!</v>
      </c>
      <c r="P19" s="32" t="e">
        <f>IF(#REF!=0,"",#REF!)</f>
        <v>#REF!</v>
      </c>
      <c r="Q19" s="32" t="e">
        <f>IF(#REF!=0,"",#REF!)</f>
        <v>#REF!</v>
      </c>
      <c r="R19" s="32" t="e">
        <f>IF(#REF!=0,"",#REF!)</f>
        <v>#REF!</v>
      </c>
      <c r="S19" s="32" t="e">
        <f>IF(#REF!=0,"",#REF!)</f>
        <v>#REF!</v>
      </c>
      <c r="T19" s="32" t="e">
        <f>IF(#REF!=0,"",#REF!)</f>
        <v>#REF!</v>
      </c>
      <c r="U19" s="32" t="e">
        <f>IF(#REF!=0,"",#REF!)</f>
        <v>#REF!</v>
      </c>
      <c r="V19" s="32" t="e">
        <f>IF(#REF!=0,"",#REF!)</f>
        <v>#REF!</v>
      </c>
      <c r="W19" s="32" t="e">
        <f>IF(#REF!=0,"",#REF!)</f>
        <v>#REF!</v>
      </c>
      <c r="X19" s="32" t="e">
        <f>IF(#REF!=0,"",#REF!)</f>
        <v>#REF!</v>
      </c>
      <c r="Y19" s="32" t="e">
        <f>IF(#REF!=0,"",#REF!)</f>
        <v>#REF!</v>
      </c>
      <c r="Z19" s="32" t="e">
        <f>IF(#REF!=0,"",#REF!)</f>
        <v>#REF!</v>
      </c>
      <c r="AA19" s="32" t="e">
        <f>IF(#REF!=0,"",#REF!)</f>
        <v>#REF!</v>
      </c>
      <c r="AB19" s="32" t="e">
        <f>IF(#REF!=0,"",#REF!)</f>
        <v>#REF!</v>
      </c>
      <c r="AC19" s="32" t="e">
        <f>IF(#REF!=0,"",#REF!)</f>
        <v>#REF!</v>
      </c>
      <c r="AD19" s="32" t="e">
        <f>IF(#REF!=0,"",#REF!)</f>
        <v>#REF!</v>
      </c>
      <c r="AE19" s="32" t="e">
        <f>IF(#REF!=0,"",#REF!)</f>
        <v>#REF!</v>
      </c>
      <c r="AF19" s="32" t="e">
        <f>IF(#REF!=0,"",#REF!)</f>
        <v>#REF!</v>
      </c>
      <c r="AG19" s="32" t="e">
        <f>IF(#REF!=0,"",#REF!)</f>
        <v>#REF!</v>
      </c>
      <c r="AH19" s="32" t="e">
        <f>IF(#REF!=0,"",#REF!)</f>
        <v>#REF!</v>
      </c>
      <c r="AI19" s="32" t="e">
        <f>IF(#REF!=0,"",#REF!)</f>
        <v>#REF!</v>
      </c>
    </row>
    <row r="20" spans="2:35">
      <c r="B20" s="147"/>
      <c r="C20" s="210"/>
      <c r="D20" s="210"/>
      <c r="E20" s="210"/>
      <c r="F20" s="33"/>
      <c r="G20" s="33" t="str">
        <f t="shared" si="0"/>
        <v/>
      </c>
      <c r="H20" s="33" t="str">
        <f t="shared" si="1"/>
        <v/>
      </c>
      <c r="I20" s="34" t="str">
        <f t="shared" si="2"/>
        <v/>
      </c>
      <c r="J20" s="33"/>
      <c r="K20" s="31" t="e">
        <f>IF(#REF!=0,"",#REF!)</f>
        <v>#REF!</v>
      </c>
      <c r="L20" s="32" t="e">
        <f>IF(#REF!=0,"",#REF!)</f>
        <v>#REF!</v>
      </c>
      <c r="M20" s="32" t="e">
        <f>IF(#REF!=0,"",#REF!)</f>
        <v>#REF!</v>
      </c>
      <c r="N20" s="32" t="e">
        <f>IF(#REF!=0,"",#REF!)</f>
        <v>#REF!</v>
      </c>
      <c r="O20" s="32" t="e">
        <f>IF(#REF!=0,"",#REF!)</f>
        <v>#REF!</v>
      </c>
      <c r="P20" s="32" t="e">
        <f>IF(#REF!=0,"",#REF!)</f>
        <v>#REF!</v>
      </c>
      <c r="Q20" s="32" t="e">
        <f>IF(#REF!=0,"",#REF!)</f>
        <v>#REF!</v>
      </c>
      <c r="R20" s="32" t="e">
        <f>IF(#REF!=0,"",#REF!)</f>
        <v>#REF!</v>
      </c>
      <c r="S20" s="32" t="e">
        <f>IF(#REF!=0,"",#REF!)</f>
        <v>#REF!</v>
      </c>
      <c r="T20" s="32" t="e">
        <f>IF(#REF!=0,"",#REF!)</f>
        <v>#REF!</v>
      </c>
      <c r="U20" s="32" t="e">
        <f>IF(#REF!=0,"",#REF!)</f>
        <v>#REF!</v>
      </c>
      <c r="V20" s="32" t="e">
        <f>IF(#REF!=0,"",#REF!)</f>
        <v>#REF!</v>
      </c>
      <c r="W20" s="32" t="e">
        <f>IF(#REF!=0,"",#REF!)</f>
        <v>#REF!</v>
      </c>
      <c r="X20" s="32" t="e">
        <f>IF(#REF!=0,"",#REF!)</f>
        <v>#REF!</v>
      </c>
      <c r="Y20" s="32" t="e">
        <f>IF(#REF!=0,"",#REF!)</f>
        <v>#REF!</v>
      </c>
      <c r="Z20" s="32" t="e">
        <f>IF(#REF!=0,"",#REF!)</f>
        <v>#REF!</v>
      </c>
      <c r="AA20" s="32" t="e">
        <f>IF(#REF!=0,"",#REF!)</f>
        <v>#REF!</v>
      </c>
      <c r="AB20" s="32" t="e">
        <f>IF(#REF!=0,"",#REF!)</f>
        <v>#REF!</v>
      </c>
      <c r="AC20" s="32" t="e">
        <f>IF(#REF!=0,"",#REF!)</f>
        <v>#REF!</v>
      </c>
      <c r="AD20" s="32" t="e">
        <f>IF(#REF!=0,"",#REF!)</f>
        <v>#REF!</v>
      </c>
      <c r="AE20" s="32" t="e">
        <f>IF(#REF!=0,"",#REF!)</f>
        <v>#REF!</v>
      </c>
      <c r="AF20" s="32" t="e">
        <f>IF(#REF!=0,"",#REF!)</f>
        <v>#REF!</v>
      </c>
      <c r="AG20" s="32" t="e">
        <f>IF(#REF!=0,"",#REF!)</f>
        <v>#REF!</v>
      </c>
      <c r="AH20" s="32" t="e">
        <f>IF(#REF!=0,"",#REF!)</f>
        <v>#REF!</v>
      </c>
      <c r="AI20" s="32" t="e">
        <f>IF(#REF!=0,"",#REF!)</f>
        <v>#REF!</v>
      </c>
    </row>
    <row r="21" spans="2:35">
      <c r="B21" s="147"/>
      <c r="C21" s="210"/>
      <c r="D21" s="210"/>
      <c r="E21" s="210"/>
      <c r="F21" s="33"/>
      <c r="G21" s="33" t="str">
        <f t="shared" si="0"/>
        <v/>
      </c>
      <c r="H21" s="33" t="str">
        <f t="shared" si="1"/>
        <v/>
      </c>
      <c r="I21" s="34" t="str">
        <f t="shared" si="2"/>
        <v/>
      </c>
      <c r="J21" s="33"/>
      <c r="K21" s="31" t="e">
        <f>IF(#REF!=0,"",#REF!)</f>
        <v>#REF!</v>
      </c>
      <c r="L21" s="32" t="e">
        <f>IF(#REF!=0,"",#REF!)</f>
        <v>#REF!</v>
      </c>
      <c r="M21" s="32" t="e">
        <f>IF(#REF!=0,"",#REF!)</f>
        <v>#REF!</v>
      </c>
      <c r="N21" s="32" t="e">
        <f>IF(#REF!=0,"",#REF!)</f>
        <v>#REF!</v>
      </c>
      <c r="O21" s="32" t="e">
        <f>IF(#REF!=0,"",#REF!)</f>
        <v>#REF!</v>
      </c>
      <c r="P21" s="32" t="e">
        <f>IF(#REF!=0,"",#REF!)</f>
        <v>#REF!</v>
      </c>
      <c r="Q21" s="32" t="e">
        <f>IF(#REF!=0,"",#REF!)</f>
        <v>#REF!</v>
      </c>
      <c r="R21" s="32" t="e">
        <f>IF(#REF!=0,"",#REF!)</f>
        <v>#REF!</v>
      </c>
      <c r="S21" s="32" t="e">
        <f>IF(#REF!=0,"",#REF!)</f>
        <v>#REF!</v>
      </c>
      <c r="T21" s="32" t="e">
        <f>IF(#REF!=0,"",#REF!)</f>
        <v>#REF!</v>
      </c>
      <c r="U21" s="32" t="e">
        <f>IF(#REF!=0,"",#REF!)</f>
        <v>#REF!</v>
      </c>
      <c r="V21" s="32" t="e">
        <f>IF(#REF!=0,"",#REF!)</f>
        <v>#REF!</v>
      </c>
      <c r="W21" s="32" t="e">
        <f>IF(#REF!=0,"",#REF!)</f>
        <v>#REF!</v>
      </c>
      <c r="X21" s="32" t="e">
        <f>IF(#REF!=0,"",#REF!)</f>
        <v>#REF!</v>
      </c>
      <c r="Y21" s="32" t="e">
        <f>IF(#REF!=0,"",#REF!)</f>
        <v>#REF!</v>
      </c>
      <c r="Z21" s="32" t="e">
        <f>IF(#REF!=0,"",#REF!)</f>
        <v>#REF!</v>
      </c>
      <c r="AA21" s="32" t="e">
        <f>IF(#REF!=0,"",#REF!)</f>
        <v>#REF!</v>
      </c>
      <c r="AB21" s="32" t="e">
        <f>IF(#REF!=0,"",#REF!)</f>
        <v>#REF!</v>
      </c>
      <c r="AC21" s="32" t="e">
        <f>IF(#REF!=0,"",#REF!)</f>
        <v>#REF!</v>
      </c>
      <c r="AD21" s="32" t="e">
        <f>IF(#REF!=0,"",#REF!)</f>
        <v>#REF!</v>
      </c>
      <c r="AE21" s="32" t="e">
        <f>IF(#REF!=0,"",#REF!)</f>
        <v>#REF!</v>
      </c>
      <c r="AF21" s="32" t="e">
        <f>IF(#REF!=0,"",#REF!)</f>
        <v>#REF!</v>
      </c>
      <c r="AG21" s="32" t="e">
        <f>IF(#REF!=0,"",#REF!)</f>
        <v>#REF!</v>
      </c>
      <c r="AH21" s="32" t="e">
        <f>IF(#REF!=0,"",#REF!)</f>
        <v>#REF!</v>
      </c>
      <c r="AI21" s="32" t="e">
        <f>IF(#REF!=0,"",#REF!)</f>
        <v>#REF!</v>
      </c>
    </row>
    <row r="22" spans="2:35">
      <c r="G22" s="35"/>
      <c r="H22" s="35"/>
      <c r="I22" s="35"/>
      <c r="J22" s="35"/>
      <c r="K22" s="31" t="e">
        <f>IF(#REF!=0,"",#REF!)</f>
        <v>#REF!</v>
      </c>
      <c r="L22" s="32" t="e">
        <f>IF(#REF!=0,"",#REF!)</f>
        <v>#REF!</v>
      </c>
      <c r="M22" s="32" t="e">
        <f>IF(#REF!=0,"",#REF!)</f>
        <v>#REF!</v>
      </c>
      <c r="N22" s="32" t="e">
        <f>IF(#REF!=0,"",#REF!)</f>
        <v>#REF!</v>
      </c>
      <c r="O22" s="32" t="e">
        <f>IF(#REF!=0,"",#REF!)</f>
        <v>#REF!</v>
      </c>
      <c r="P22" s="32" t="e">
        <f>IF(#REF!=0,"",#REF!)</f>
        <v>#REF!</v>
      </c>
      <c r="Q22" s="32" t="e">
        <f>IF(#REF!=0,"",#REF!)</f>
        <v>#REF!</v>
      </c>
      <c r="R22" s="32" t="e">
        <f>IF(#REF!=0,"",#REF!)</f>
        <v>#REF!</v>
      </c>
      <c r="S22" s="32" t="e">
        <f>IF(#REF!=0,"",#REF!)</f>
        <v>#REF!</v>
      </c>
      <c r="T22" s="32" t="e">
        <f>IF(#REF!=0,"",#REF!)</f>
        <v>#REF!</v>
      </c>
      <c r="U22" s="32" t="e">
        <f>IF(#REF!=0,"",#REF!)</f>
        <v>#REF!</v>
      </c>
      <c r="V22" s="32" t="e">
        <f>IF(#REF!=0,"",#REF!)</f>
        <v>#REF!</v>
      </c>
      <c r="W22" s="32" t="e">
        <f>IF(#REF!=0,"",#REF!)</f>
        <v>#REF!</v>
      </c>
      <c r="X22" s="32" t="e">
        <f>IF(#REF!=0,"",#REF!)</f>
        <v>#REF!</v>
      </c>
      <c r="Y22" s="32" t="e">
        <f>IF(#REF!=0,"",#REF!)</f>
        <v>#REF!</v>
      </c>
      <c r="Z22" s="32" t="e">
        <f>IF(#REF!=0,"",#REF!)</f>
        <v>#REF!</v>
      </c>
      <c r="AA22" s="32" t="e">
        <f>IF(#REF!=0,"",#REF!)</f>
        <v>#REF!</v>
      </c>
      <c r="AB22" s="32" t="e">
        <f>IF(#REF!=0,"",#REF!)</f>
        <v>#REF!</v>
      </c>
      <c r="AC22" s="32" t="e">
        <f>IF(#REF!=0,"",#REF!)</f>
        <v>#REF!</v>
      </c>
      <c r="AD22" s="32" t="e">
        <f>IF(#REF!=0,"",#REF!)</f>
        <v>#REF!</v>
      </c>
      <c r="AE22" s="32" t="e">
        <f>IF(#REF!=0,"",#REF!)</f>
        <v>#REF!</v>
      </c>
      <c r="AF22" s="32" t="e">
        <f>IF(#REF!=0,"",#REF!)</f>
        <v>#REF!</v>
      </c>
      <c r="AG22" s="32" t="e">
        <f>IF(#REF!=0,"",#REF!)</f>
        <v>#REF!</v>
      </c>
      <c r="AH22" s="32" t="e">
        <f>IF(#REF!=0,"",#REF!)</f>
        <v>#REF!</v>
      </c>
      <c r="AI22" s="32" t="e">
        <f>IF(#REF!=0,"",#REF!)</f>
        <v>#REF!</v>
      </c>
    </row>
    <row r="23" spans="2:35">
      <c r="B23" s="211" t="s">
        <v>290</v>
      </c>
      <c r="C23" s="211"/>
      <c r="D23" s="211"/>
      <c r="E23" s="211"/>
      <c r="F23" s="41"/>
      <c r="G23" s="35"/>
      <c r="H23" s="35"/>
      <c r="I23" s="35"/>
      <c r="J23" s="35"/>
      <c r="K23" s="31" t="e">
        <f>IF(#REF!=0,"",#REF!)</f>
        <v>#REF!</v>
      </c>
      <c r="L23" s="32" t="e">
        <f>IF(#REF!=0,"",#REF!)</f>
        <v>#REF!</v>
      </c>
      <c r="M23" s="32" t="e">
        <f>IF(#REF!=0,"",#REF!)</f>
        <v>#REF!</v>
      </c>
      <c r="N23" s="32" t="e">
        <f>IF(#REF!=0,"",#REF!)</f>
        <v>#REF!</v>
      </c>
      <c r="O23" s="32" t="e">
        <f>IF(#REF!=0,"",#REF!)</f>
        <v>#REF!</v>
      </c>
      <c r="P23" s="32" t="e">
        <f>IF(#REF!=0,"",#REF!)</f>
        <v>#REF!</v>
      </c>
      <c r="Q23" s="32" t="e">
        <f>IF(#REF!=0,"",#REF!)</f>
        <v>#REF!</v>
      </c>
      <c r="R23" s="32" t="e">
        <f>IF(#REF!=0,"",#REF!)</f>
        <v>#REF!</v>
      </c>
      <c r="S23" s="32" t="e">
        <f>IF(#REF!=0,"",#REF!)</f>
        <v>#REF!</v>
      </c>
      <c r="T23" s="32" t="e">
        <f>IF(#REF!=0,"",#REF!)</f>
        <v>#REF!</v>
      </c>
      <c r="U23" s="32" t="e">
        <f>IF(#REF!=0,"",#REF!)</f>
        <v>#REF!</v>
      </c>
      <c r="V23" s="32" t="e">
        <f>IF(#REF!=0,"",#REF!)</f>
        <v>#REF!</v>
      </c>
      <c r="W23" s="32" t="e">
        <f>IF(#REF!=0,"",#REF!)</f>
        <v>#REF!</v>
      </c>
      <c r="X23" s="32" t="e">
        <f>IF(#REF!=0,"",#REF!)</f>
        <v>#REF!</v>
      </c>
      <c r="Y23" s="32" t="e">
        <f>IF(#REF!=0,"",#REF!)</f>
        <v>#REF!</v>
      </c>
      <c r="Z23" s="32" t="e">
        <f>IF(#REF!=0,"",#REF!)</f>
        <v>#REF!</v>
      </c>
      <c r="AA23" s="32" t="e">
        <f>IF(#REF!=0,"",#REF!)</f>
        <v>#REF!</v>
      </c>
      <c r="AB23" s="32" t="e">
        <f>IF(#REF!=0,"",#REF!)</f>
        <v>#REF!</v>
      </c>
      <c r="AC23" s="32" t="e">
        <f>IF(#REF!=0,"",#REF!)</f>
        <v>#REF!</v>
      </c>
      <c r="AD23" s="32" t="e">
        <f>IF(#REF!=0,"",#REF!)</f>
        <v>#REF!</v>
      </c>
      <c r="AE23" s="32" t="e">
        <f>IF(#REF!=0,"",#REF!)</f>
        <v>#REF!</v>
      </c>
      <c r="AF23" s="32" t="e">
        <f>IF(#REF!=0,"",#REF!)</f>
        <v>#REF!</v>
      </c>
      <c r="AG23" s="32" t="e">
        <f>IF(#REF!=0,"",#REF!)</f>
        <v>#REF!</v>
      </c>
      <c r="AH23" s="32" t="e">
        <f>IF(#REF!=0,"",#REF!)</f>
        <v>#REF!</v>
      </c>
      <c r="AI23" s="32" t="e">
        <f>IF(#REF!=0,"",#REF!)</f>
        <v>#REF!</v>
      </c>
    </row>
    <row r="24" spans="2:35" ht="15" customHeight="1">
      <c r="B24" s="207" t="s">
        <v>153</v>
      </c>
      <c r="C24" s="208"/>
      <c r="D24" s="208"/>
      <c r="E24" s="209"/>
      <c r="F24" s="36"/>
      <c r="G24" s="35"/>
      <c r="H24" s="35"/>
      <c r="I24" s="35"/>
      <c r="J24" s="35"/>
      <c r="K24" s="31" t="e">
        <f>IF(#REF!=0,"",#REF!)</f>
        <v>#REF!</v>
      </c>
      <c r="L24" s="32" t="e">
        <f>IF(#REF!=0,"",#REF!)</f>
        <v>#REF!</v>
      </c>
      <c r="M24" s="32" t="e">
        <f>IF(#REF!=0,"",#REF!)</f>
        <v>#REF!</v>
      </c>
      <c r="N24" s="32" t="e">
        <f>IF(#REF!=0,"",#REF!)</f>
        <v>#REF!</v>
      </c>
      <c r="O24" s="32" t="e">
        <f>IF(#REF!=0,"",#REF!)</f>
        <v>#REF!</v>
      </c>
      <c r="P24" s="32" t="e">
        <f>IF(#REF!=0,"",#REF!)</f>
        <v>#REF!</v>
      </c>
      <c r="Q24" s="32" t="e">
        <f>IF(#REF!=0,"",#REF!)</f>
        <v>#REF!</v>
      </c>
      <c r="R24" s="32" t="e">
        <f>IF(#REF!=0,"",#REF!)</f>
        <v>#REF!</v>
      </c>
      <c r="S24" s="32" t="e">
        <f>IF(#REF!=0,"",#REF!)</f>
        <v>#REF!</v>
      </c>
      <c r="T24" s="32" t="e">
        <f>IF(#REF!=0,"",#REF!)</f>
        <v>#REF!</v>
      </c>
      <c r="U24" s="32" t="e">
        <f>IF(#REF!=0,"",#REF!)</f>
        <v>#REF!</v>
      </c>
      <c r="V24" s="32" t="e">
        <f>IF(#REF!=0,"",#REF!)</f>
        <v>#REF!</v>
      </c>
      <c r="W24" s="32" t="e">
        <f>IF(#REF!=0,"",#REF!)</f>
        <v>#REF!</v>
      </c>
      <c r="X24" s="32" t="e">
        <f>IF(#REF!=0,"",#REF!)</f>
        <v>#REF!</v>
      </c>
      <c r="Y24" s="32" t="e">
        <f>IF(#REF!=0,"",#REF!)</f>
        <v>#REF!</v>
      </c>
      <c r="Z24" s="32" t="e">
        <f>IF(#REF!=0,"",#REF!)</f>
        <v>#REF!</v>
      </c>
      <c r="AA24" s="32" t="e">
        <f>IF(#REF!=0,"",#REF!)</f>
        <v>#REF!</v>
      </c>
      <c r="AB24" s="32" t="e">
        <f>IF(#REF!=0,"",#REF!)</f>
        <v>#REF!</v>
      </c>
      <c r="AC24" s="32" t="e">
        <f>IF(#REF!=0,"",#REF!)</f>
        <v>#REF!</v>
      </c>
      <c r="AD24" s="32" t="e">
        <f>IF(#REF!=0,"",#REF!)</f>
        <v>#REF!</v>
      </c>
      <c r="AE24" s="32" t="e">
        <f>IF(#REF!=0,"",#REF!)</f>
        <v>#REF!</v>
      </c>
      <c r="AF24" s="32" t="e">
        <f>IF(#REF!=0,"",#REF!)</f>
        <v>#REF!</v>
      </c>
      <c r="AG24" s="32" t="e">
        <f>IF(#REF!=0,"",#REF!)</f>
        <v>#REF!</v>
      </c>
      <c r="AH24" s="32" t="e">
        <f>IF(#REF!=0,"",#REF!)</f>
        <v>#REF!</v>
      </c>
      <c r="AI24" s="32" t="e">
        <f>IF(#REF!=0,"",#REF!)</f>
        <v>#REF!</v>
      </c>
    </row>
    <row r="25" spans="2:35" ht="15" customHeight="1">
      <c r="B25" s="204"/>
      <c r="C25" s="205"/>
      <c r="D25" s="205"/>
      <c r="E25" s="206"/>
      <c r="F25" s="37"/>
      <c r="G25" s="35"/>
      <c r="H25" s="35"/>
      <c r="I25" s="35"/>
      <c r="J25" s="35"/>
      <c r="K25" s="31" t="e">
        <f>IF(#REF!=0,"",#REF!)</f>
        <v>#REF!</v>
      </c>
      <c r="L25" s="32" t="e">
        <f>IF(#REF!=0,"",#REF!)</f>
        <v>#REF!</v>
      </c>
      <c r="M25" s="32" t="e">
        <f>IF(#REF!=0,"",#REF!)</f>
        <v>#REF!</v>
      </c>
      <c r="N25" s="32" t="e">
        <f>IF(#REF!=0,"",#REF!)</f>
        <v>#REF!</v>
      </c>
      <c r="O25" s="32" t="e">
        <f>IF(#REF!=0,"",#REF!)</f>
        <v>#REF!</v>
      </c>
      <c r="P25" s="32" t="e">
        <f>IF(#REF!=0,"",#REF!)</f>
        <v>#REF!</v>
      </c>
      <c r="Q25" s="32" t="e">
        <f>IF(#REF!=0,"",#REF!)</f>
        <v>#REF!</v>
      </c>
      <c r="R25" s="32" t="e">
        <f>IF(#REF!=0,"",#REF!)</f>
        <v>#REF!</v>
      </c>
      <c r="S25" s="32" t="e">
        <f>IF(#REF!=0,"",#REF!)</f>
        <v>#REF!</v>
      </c>
      <c r="T25" s="32" t="e">
        <f>IF(#REF!=0,"",#REF!)</f>
        <v>#REF!</v>
      </c>
      <c r="U25" s="32" t="e">
        <f>IF(#REF!=0,"",#REF!)</f>
        <v>#REF!</v>
      </c>
      <c r="V25" s="32" t="e">
        <f>IF(#REF!=0,"",#REF!)</f>
        <v>#REF!</v>
      </c>
      <c r="W25" s="32" t="e">
        <f>IF(#REF!=0,"",#REF!)</f>
        <v>#REF!</v>
      </c>
      <c r="X25" s="32" t="e">
        <f>IF(#REF!=0,"",#REF!)</f>
        <v>#REF!</v>
      </c>
      <c r="Y25" s="32" t="e">
        <f>IF(#REF!=0,"",#REF!)</f>
        <v>#REF!</v>
      </c>
      <c r="Z25" s="32" t="e">
        <f>IF(#REF!=0,"",#REF!)</f>
        <v>#REF!</v>
      </c>
      <c r="AA25" s="32" t="e">
        <f>IF(#REF!=0,"",#REF!)</f>
        <v>#REF!</v>
      </c>
      <c r="AB25" s="32" t="e">
        <f>IF(#REF!=0,"",#REF!)</f>
        <v>#REF!</v>
      </c>
      <c r="AC25" s="32" t="e">
        <f>IF(#REF!=0,"",#REF!)</f>
        <v>#REF!</v>
      </c>
      <c r="AD25" s="32" t="e">
        <f>IF(#REF!=0,"",#REF!)</f>
        <v>#REF!</v>
      </c>
      <c r="AE25" s="32" t="e">
        <f>IF(#REF!=0,"",#REF!)</f>
        <v>#REF!</v>
      </c>
      <c r="AF25" s="32" t="e">
        <f>IF(#REF!=0,"",#REF!)</f>
        <v>#REF!</v>
      </c>
      <c r="AG25" s="32" t="e">
        <f>IF(#REF!=0,"",#REF!)</f>
        <v>#REF!</v>
      </c>
      <c r="AH25" s="32" t="e">
        <f>IF(#REF!=0,"",#REF!)</f>
        <v>#REF!</v>
      </c>
      <c r="AI25" s="32" t="e">
        <f>IF(#REF!=0,"",#REF!)</f>
        <v>#REF!</v>
      </c>
    </row>
    <row r="26" spans="2:35">
      <c r="B26" s="204"/>
      <c r="C26" s="205"/>
      <c r="D26" s="205"/>
      <c r="E26" s="206"/>
      <c r="F26" s="37"/>
      <c r="G26" s="35"/>
      <c r="H26" s="35"/>
      <c r="I26" s="35"/>
      <c r="J26" s="35"/>
      <c r="K26" s="31" t="e">
        <f>IF(#REF!=0,"",#REF!)</f>
        <v>#REF!</v>
      </c>
      <c r="L26" s="32" t="e">
        <f>IF(#REF!=0,"",#REF!)</f>
        <v>#REF!</v>
      </c>
      <c r="M26" s="32" t="e">
        <f>IF(#REF!=0,"",#REF!)</f>
        <v>#REF!</v>
      </c>
      <c r="N26" s="32" t="e">
        <f>IF(#REF!=0,"",#REF!)</f>
        <v>#REF!</v>
      </c>
      <c r="O26" s="32" t="e">
        <f>IF(#REF!=0,"",#REF!)</f>
        <v>#REF!</v>
      </c>
      <c r="P26" s="32" t="e">
        <f>IF(#REF!=0,"",#REF!)</f>
        <v>#REF!</v>
      </c>
      <c r="Q26" s="32" t="e">
        <f>IF(#REF!=0,"",#REF!)</f>
        <v>#REF!</v>
      </c>
      <c r="R26" s="32" t="e">
        <f>IF(#REF!=0,"",#REF!)</f>
        <v>#REF!</v>
      </c>
      <c r="S26" s="32" t="e">
        <f>IF(#REF!=0,"",#REF!)</f>
        <v>#REF!</v>
      </c>
      <c r="T26" s="32" t="e">
        <f>IF(#REF!=0,"",#REF!)</f>
        <v>#REF!</v>
      </c>
      <c r="U26" s="32" t="e">
        <f>IF(#REF!=0,"",#REF!)</f>
        <v>#REF!</v>
      </c>
      <c r="V26" s="32" t="e">
        <f>IF(#REF!=0,"",#REF!)</f>
        <v>#REF!</v>
      </c>
      <c r="W26" s="32" t="e">
        <f>IF(#REF!=0,"",#REF!)</f>
        <v>#REF!</v>
      </c>
      <c r="X26" s="32" t="e">
        <f>IF(#REF!=0,"",#REF!)</f>
        <v>#REF!</v>
      </c>
      <c r="Y26" s="32" t="e">
        <f>IF(#REF!=0,"",#REF!)</f>
        <v>#REF!</v>
      </c>
      <c r="Z26" s="32" t="e">
        <f>IF(#REF!=0,"",#REF!)</f>
        <v>#REF!</v>
      </c>
      <c r="AA26" s="32" t="e">
        <f>IF(#REF!=0,"",#REF!)</f>
        <v>#REF!</v>
      </c>
      <c r="AB26" s="32" t="e">
        <f>IF(#REF!=0,"",#REF!)</f>
        <v>#REF!</v>
      </c>
      <c r="AC26" s="32" t="e">
        <f>IF(#REF!=0,"",#REF!)</f>
        <v>#REF!</v>
      </c>
      <c r="AD26" s="32" t="e">
        <f>IF(#REF!=0,"",#REF!)</f>
        <v>#REF!</v>
      </c>
      <c r="AE26" s="32" t="e">
        <f>IF(#REF!=0,"",#REF!)</f>
        <v>#REF!</v>
      </c>
      <c r="AF26" s="32" t="e">
        <f>IF(#REF!=0,"",#REF!)</f>
        <v>#REF!</v>
      </c>
      <c r="AG26" s="32" t="e">
        <f>IF(#REF!=0,"",#REF!)</f>
        <v>#REF!</v>
      </c>
      <c r="AH26" s="32" t="e">
        <f>IF(#REF!=0,"",#REF!)</f>
        <v>#REF!</v>
      </c>
      <c r="AI26" s="32" t="e">
        <f>IF(#REF!=0,"",#REF!)</f>
        <v>#REF!</v>
      </c>
    </row>
    <row r="27" spans="2:35">
      <c r="B27" s="204"/>
      <c r="C27" s="205"/>
      <c r="D27" s="205"/>
      <c r="E27" s="206"/>
      <c r="F27" s="37"/>
      <c r="G27" s="35"/>
      <c r="H27" s="35"/>
      <c r="I27" s="35"/>
      <c r="J27" s="35"/>
      <c r="K27" s="31" t="e">
        <f>IF(#REF!=0,"",#REF!)</f>
        <v>#REF!</v>
      </c>
      <c r="L27" s="32" t="e">
        <f>IF(#REF!=0,"",#REF!)</f>
        <v>#REF!</v>
      </c>
      <c r="M27" s="32" t="e">
        <f>IF(#REF!=0,"",#REF!)</f>
        <v>#REF!</v>
      </c>
      <c r="N27" s="32" t="e">
        <f>IF(#REF!=0,"",#REF!)</f>
        <v>#REF!</v>
      </c>
      <c r="O27" s="32" t="e">
        <f>IF(#REF!=0,"",#REF!)</f>
        <v>#REF!</v>
      </c>
      <c r="P27" s="32" t="e">
        <f>IF(#REF!=0,"",#REF!)</f>
        <v>#REF!</v>
      </c>
      <c r="Q27" s="32" t="e">
        <f>IF(#REF!=0,"",#REF!)</f>
        <v>#REF!</v>
      </c>
      <c r="R27" s="32" t="e">
        <f>IF(#REF!=0,"",#REF!)</f>
        <v>#REF!</v>
      </c>
      <c r="S27" s="32" t="e">
        <f>IF(#REF!=0,"",#REF!)</f>
        <v>#REF!</v>
      </c>
      <c r="T27" s="32" t="e">
        <f>IF(#REF!=0,"",#REF!)</f>
        <v>#REF!</v>
      </c>
      <c r="U27" s="32" t="e">
        <f>IF(#REF!=0,"",#REF!)</f>
        <v>#REF!</v>
      </c>
      <c r="V27" s="32" t="e">
        <f>IF(#REF!=0,"",#REF!)</f>
        <v>#REF!</v>
      </c>
      <c r="W27" s="32" t="e">
        <f>IF(#REF!=0,"",#REF!)</f>
        <v>#REF!</v>
      </c>
      <c r="X27" s="32" t="e">
        <f>IF(#REF!=0,"",#REF!)</f>
        <v>#REF!</v>
      </c>
      <c r="Y27" s="32" t="e">
        <f>IF(#REF!=0,"",#REF!)</f>
        <v>#REF!</v>
      </c>
      <c r="Z27" s="32" t="e">
        <f>IF(#REF!=0,"",#REF!)</f>
        <v>#REF!</v>
      </c>
      <c r="AA27" s="32" t="e">
        <f>IF(#REF!=0,"",#REF!)</f>
        <v>#REF!</v>
      </c>
      <c r="AB27" s="32" t="e">
        <f>IF(#REF!=0,"",#REF!)</f>
        <v>#REF!</v>
      </c>
      <c r="AC27" s="32" t="e">
        <f>IF(#REF!=0,"",#REF!)</f>
        <v>#REF!</v>
      </c>
      <c r="AD27" s="32" t="e">
        <f>IF(#REF!=0,"",#REF!)</f>
        <v>#REF!</v>
      </c>
      <c r="AE27" s="32" t="e">
        <f>IF(#REF!=0,"",#REF!)</f>
        <v>#REF!</v>
      </c>
      <c r="AF27" s="32" t="e">
        <f>IF(#REF!=0,"",#REF!)</f>
        <v>#REF!</v>
      </c>
      <c r="AG27" s="32" t="e">
        <f>IF(#REF!=0,"",#REF!)</f>
        <v>#REF!</v>
      </c>
      <c r="AH27" s="32" t="e">
        <f>IF(#REF!=0,"",#REF!)</f>
        <v>#REF!</v>
      </c>
      <c r="AI27" s="32" t="e">
        <f>IF(#REF!=0,"",#REF!)</f>
        <v>#REF!</v>
      </c>
    </row>
    <row r="28" spans="2:35">
      <c r="B28" s="204"/>
      <c r="C28" s="205"/>
      <c r="D28" s="205"/>
      <c r="E28" s="206"/>
      <c r="F28" s="37"/>
      <c r="G28" s="35"/>
      <c r="H28" s="35"/>
      <c r="I28" s="35"/>
      <c r="J28" s="35"/>
      <c r="K28" s="31" t="e">
        <f>IF(#REF!=0,"",#REF!)</f>
        <v>#REF!</v>
      </c>
      <c r="L28" s="32" t="e">
        <f>IF(#REF!=0,"",#REF!)</f>
        <v>#REF!</v>
      </c>
      <c r="M28" s="32" t="e">
        <f>IF(#REF!=0,"",#REF!)</f>
        <v>#REF!</v>
      </c>
      <c r="N28" s="32" t="e">
        <f>IF(#REF!=0,"",#REF!)</f>
        <v>#REF!</v>
      </c>
      <c r="O28" s="32" t="e">
        <f>IF(#REF!=0,"",#REF!)</f>
        <v>#REF!</v>
      </c>
      <c r="P28" s="32" t="e">
        <f>IF(#REF!=0,"",#REF!)</f>
        <v>#REF!</v>
      </c>
      <c r="Q28" s="32" t="e">
        <f>IF(#REF!=0,"",#REF!)</f>
        <v>#REF!</v>
      </c>
      <c r="R28" s="32" t="e">
        <f>IF(#REF!=0,"",#REF!)</f>
        <v>#REF!</v>
      </c>
      <c r="S28" s="32" t="e">
        <f>IF(#REF!=0,"",#REF!)</f>
        <v>#REF!</v>
      </c>
      <c r="T28" s="32" t="e">
        <f>IF(#REF!=0,"",#REF!)</f>
        <v>#REF!</v>
      </c>
      <c r="U28" s="32" t="e">
        <f>IF(#REF!=0,"",#REF!)</f>
        <v>#REF!</v>
      </c>
      <c r="V28" s="32" t="e">
        <f>IF(#REF!=0,"",#REF!)</f>
        <v>#REF!</v>
      </c>
      <c r="W28" s="32" t="e">
        <f>IF(#REF!=0,"",#REF!)</f>
        <v>#REF!</v>
      </c>
      <c r="X28" s="32" t="e">
        <f>IF(#REF!=0,"",#REF!)</f>
        <v>#REF!</v>
      </c>
      <c r="Y28" s="32" t="e">
        <f>IF(#REF!=0,"",#REF!)</f>
        <v>#REF!</v>
      </c>
      <c r="Z28" s="32" t="e">
        <f>IF(#REF!=0,"",#REF!)</f>
        <v>#REF!</v>
      </c>
      <c r="AA28" s="32" t="e">
        <f>IF(#REF!=0,"",#REF!)</f>
        <v>#REF!</v>
      </c>
      <c r="AB28" s="32" t="e">
        <f>IF(#REF!=0,"",#REF!)</f>
        <v>#REF!</v>
      </c>
      <c r="AC28" s="32" t="e">
        <f>IF(#REF!=0,"",#REF!)</f>
        <v>#REF!</v>
      </c>
      <c r="AD28" s="32" t="e">
        <f>IF(#REF!=0,"",#REF!)</f>
        <v>#REF!</v>
      </c>
      <c r="AE28" s="32" t="e">
        <f>IF(#REF!=0,"",#REF!)</f>
        <v>#REF!</v>
      </c>
      <c r="AF28" s="32" t="e">
        <f>IF(#REF!=0,"",#REF!)</f>
        <v>#REF!</v>
      </c>
      <c r="AG28" s="32" t="e">
        <f>IF(#REF!=0,"",#REF!)</f>
        <v>#REF!</v>
      </c>
      <c r="AH28" s="32" t="e">
        <f>IF(#REF!=0,"",#REF!)</f>
        <v>#REF!</v>
      </c>
      <c r="AI28" s="32" t="e">
        <f>IF(#REF!=0,"",#REF!)</f>
        <v>#REF!</v>
      </c>
    </row>
    <row r="29" spans="2:35">
      <c r="B29" s="204"/>
      <c r="C29" s="205"/>
      <c r="D29" s="205"/>
      <c r="E29" s="206"/>
      <c r="F29" s="37"/>
      <c r="G29" s="35"/>
      <c r="H29" s="35"/>
      <c r="I29" s="35"/>
      <c r="J29" s="35"/>
      <c r="K29" s="31" t="e">
        <f>IF(#REF!=0,"",#REF!)</f>
        <v>#REF!</v>
      </c>
      <c r="L29" s="32" t="e">
        <f>IF(#REF!=0,"",#REF!)</f>
        <v>#REF!</v>
      </c>
      <c r="M29" s="32" t="e">
        <f>IF(#REF!=0,"",#REF!)</f>
        <v>#REF!</v>
      </c>
      <c r="N29" s="32" t="e">
        <f>IF(#REF!=0,"",#REF!)</f>
        <v>#REF!</v>
      </c>
      <c r="O29" s="32" t="e">
        <f>IF(#REF!=0,"",#REF!)</f>
        <v>#REF!</v>
      </c>
      <c r="P29" s="32" t="e">
        <f>IF(#REF!=0,"",#REF!)</f>
        <v>#REF!</v>
      </c>
      <c r="Q29" s="32" t="e">
        <f>IF(#REF!=0,"",#REF!)</f>
        <v>#REF!</v>
      </c>
      <c r="R29" s="32" t="e">
        <f>IF(#REF!=0,"",#REF!)</f>
        <v>#REF!</v>
      </c>
      <c r="S29" s="32" t="e">
        <f>IF(#REF!=0,"",#REF!)</f>
        <v>#REF!</v>
      </c>
      <c r="T29" s="32" t="e">
        <f>IF(#REF!=0,"",#REF!)</f>
        <v>#REF!</v>
      </c>
      <c r="U29" s="32" t="e">
        <f>IF(#REF!=0,"",#REF!)</f>
        <v>#REF!</v>
      </c>
      <c r="V29" s="32" t="e">
        <f>IF(#REF!=0,"",#REF!)</f>
        <v>#REF!</v>
      </c>
      <c r="W29" s="32" t="e">
        <f>IF(#REF!=0,"",#REF!)</f>
        <v>#REF!</v>
      </c>
      <c r="X29" s="32" t="e">
        <f>IF(#REF!=0,"",#REF!)</f>
        <v>#REF!</v>
      </c>
      <c r="Y29" s="32" t="e">
        <f>IF(#REF!=0,"",#REF!)</f>
        <v>#REF!</v>
      </c>
      <c r="Z29" s="32" t="e">
        <f>IF(#REF!=0,"",#REF!)</f>
        <v>#REF!</v>
      </c>
      <c r="AA29" s="32" t="e">
        <f>IF(#REF!=0,"",#REF!)</f>
        <v>#REF!</v>
      </c>
      <c r="AB29" s="32" t="e">
        <f>IF(#REF!=0,"",#REF!)</f>
        <v>#REF!</v>
      </c>
      <c r="AC29" s="32" t="e">
        <f>IF(#REF!=0,"",#REF!)</f>
        <v>#REF!</v>
      </c>
      <c r="AD29" s="32" t="e">
        <f>IF(#REF!=0,"",#REF!)</f>
        <v>#REF!</v>
      </c>
      <c r="AE29" s="32" t="e">
        <f>IF(#REF!=0,"",#REF!)</f>
        <v>#REF!</v>
      </c>
      <c r="AF29" s="32" t="e">
        <f>IF(#REF!=0,"",#REF!)</f>
        <v>#REF!</v>
      </c>
      <c r="AG29" s="32" t="e">
        <f>IF(#REF!=0,"",#REF!)</f>
        <v>#REF!</v>
      </c>
      <c r="AH29" s="32" t="e">
        <f>IF(#REF!=0,"",#REF!)</f>
        <v>#REF!</v>
      </c>
      <c r="AI29" s="32" t="e">
        <f>IF(#REF!=0,"",#REF!)</f>
        <v>#REF!</v>
      </c>
    </row>
    <row r="30" spans="2:35">
      <c r="B30" s="204"/>
      <c r="C30" s="205"/>
      <c r="D30" s="205"/>
      <c r="E30" s="206"/>
      <c r="F30" s="37"/>
      <c r="G30" s="35"/>
      <c r="H30" s="35"/>
      <c r="I30" s="35"/>
      <c r="J30" s="35"/>
      <c r="K30" s="31" t="e">
        <f>IF(#REF!=0,"",#REF!)</f>
        <v>#REF!</v>
      </c>
      <c r="L30" s="32" t="e">
        <f>IF(#REF!=0,"",#REF!)</f>
        <v>#REF!</v>
      </c>
      <c r="M30" s="32" t="e">
        <f>IF(#REF!=0,"",#REF!)</f>
        <v>#REF!</v>
      </c>
      <c r="N30" s="32" t="e">
        <f>IF(#REF!=0,"",#REF!)</f>
        <v>#REF!</v>
      </c>
      <c r="O30" s="32" t="e">
        <f>IF(#REF!=0,"",#REF!)</f>
        <v>#REF!</v>
      </c>
      <c r="P30" s="32" t="e">
        <f>IF(#REF!=0,"",#REF!)</f>
        <v>#REF!</v>
      </c>
      <c r="Q30" s="32" t="e">
        <f>IF(#REF!=0,"",#REF!)</f>
        <v>#REF!</v>
      </c>
      <c r="R30" s="32" t="e">
        <f>IF(#REF!=0,"",#REF!)</f>
        <v>#REF!</v>
      </c>
      <c r="S30" s="32" t="e">
        <f>IF(#REF!=0,"",#REF!)</f>
        <v>#REF!</v>
      </c>
      <c r="T30" s="32" t="e">
        <f>IF(#REF!=0,"",#REF!)</f>
        <v>#REF!</v>
      </c>
      <c r="U30" s="32" t="e">
        <f>IF(#REF!=0,"",#REF!)</f>
        <v>#REF!</v>
      </c>
      <c r="V30" s="32" t="e">
        <f>IF(#REF!=0,"",#REF!)</f>
        <v>#REF!</v>
      </c>
      <c r="W30" s="32" t="e">
        <f>IF(#REF!=0,"",#REF!)</f>
        <v>#REF!</v>
      </c>
      <c r="X30" s="32" t="e">
        <f>IF(#REF!=0,"",#REF!)</f>
        <v>#REF!</v>
      </c>
      <c r="Y30" s="32" t="e">
        <f>IF(#REF!=0,"",#REF!)</f>
        <v>#REF!</v>
      </c>
      <c r="Z30" s="32" t="e">
        <f>IF(#REF!=0,"",#REF!)</f>
        <v>#REF!</v>
      </c>
      <c r="AA30" s="32" t="e">
        <f>IF(#REF!=0,"",#REF!)</f>
        <v>#REF!</v>
      </c>
      <c r="AB30" s="32" t="e">
        <f>IF(#REF!=0,"",#REF!)</f>
        <v>#REF!</v>
      </c>
      <c r="AC30" s="32" t="e">
        <f>IF(#REF!=0,"",#REF!)</f>
        <v>#REF!</v>
      </c>
      <c r="AD30" s="32" t="e">
        <f>IF(#REF!=0,"",#REF!)</f>
        <v>#REF!</v>
      </c>
      <c r="AE30" s="32" t="e">
        <f>IF(#REF!=0,"",#REF!)</f>
        <v>#REF!</v>
      </c>
      <c r="AF30" s="32" t="e">
        <f>IF(#REF!=0,"",#REF!)</f>
        <v>#REF!</v>
      </c>
      <c r="AG30" s="32" t="e">
        <f>IF(#REF!=0,"",#REF!)</f>
        <v>#REF!</v>
      </c>
      <c r="AH30" s="32" t="e">
        <f>IF(#REF!=0,"",#REF!)</f>
        <v>#REF!</v>
      </c>
      <c r="AI30" s="32" t="e">
        <f>IF(#REF!=0,"",#REF!)</f>
        <v>#REF!</v>
      </c>
    </row>
    <row r="31" spans="2:35">
      <c r="B31" s="204"/>
      <c r="C31" s="205"/>
      <c r="D31" s="205"/>
      <c r="E31" s="206"/>
      <c r="F31" s="35"/>
      <c r="G31" s="35"/>
      <c r="H31" s="35"/>
      <c r="I31" s="35"/>
      <c r="J31" s="35"/>
      <c r="K31" s="31" t="e">
        <f>IF(#REF!=0,"",#REF!)</f>
        <v>#REF!</v>
      </c>
      <c r="L31" s="32" t="e">
        <f>IF(#REF!=0,"",#REF!)</f>
        <v>#REF!</v>
      </c>
      <c r="M31" s="32" t="e">
        <f>IF(#REF!=0,"",#REF!)</f>
        <v>#REF!</v>
      </c>
      <c r="N31" s="32" t="e">
        <f>IF(#REF!=0,"",#REF!)</f>
        <v>#REF!</v>
      </c>
      <c r="O31" s="32" t="e">
        <f>IF(#REF!=0,"",#REF!)</f>
        <v>#REF!</v>
      </c>
      <c r="P31" s="32" t="e">
        <f>IF(#REF!=0,"",#REF!)</f>
        <v>#REF!</v>
      </c>
      <c r="Q31" s="32" t="e">
        <f>IF(#REF!=0,"",#REF!)</f>
        <v>#REF!</v>
      </c>
      <c r="R31" s="32" t="e">
        <f>IF(#REF!=0,"",#REF!)</f>
        <v>#REF!</v>
      </c>
      <c r="S31" s="32" t="e">
        <f>IF(#REF!=0,"",#REF!)</f>
        <v>#REF!</v>
      </c>
      <c r="T31" s="32" t="e">
        <f>IF(#REF!=0,"",#REF!)</f>
        <v>#REF!</v>
      </c>
      <c r="U31" s="32" t="e">
        <f>IF(#REF!=0,"",#REF!)</f>
        <v>#REF!</v>
      </c>
      <c r="V31" s="32" t="e">
        <f>IF(#REF!=0,"",#REF!)</f>
        <v>#REF!</v>
      </c>
      <c r="W31" s="32" t="e">
        <f>IF(#REF!=0,"",#REF!)</f>
        <v>#REF!</v>
      </c>
      <c r="X31" s="32" t="e">
        <f>IF(#REF!=0,"",#REF!)</f>
        <v>#REF!</v>
      </c>
      <c r="Y31" s="32" t="e">
        <f>IF(#REF!=0,"",#REF!)</f>
        <v>#REF!</v>
      </c>
      <c r="Z31" s="32" t="e">
        <f>IF(#REF!=0,"",#REF!)</f>
        <v>#REF!</v>
      </c>
      <c r="AA31" s="32" t="e">
        <f>IF(#REF!=0,"",#REF!)</f>
        <v>#REF!</v>
      </c>
      <c r="AB31" s="32" t="e">
        <f>IF(#REF!=0,"",#REF!)</f>
        <v>#REF!</v>
      </c>
      <c r="AC31" s="32" t="e">
        <f>IF(#REF!=0,"",#REF!)</f>
        <v>#REF!</v>
      </c>
      <c r="AD31" s="32" t="e">
        <f>IF(#REF!=0,"",#REF!)</f>
        <v>#REF!</v>
      </c>
      <c r="AE31" s="32" t="e">
        <f>IF(#REF!=0,"",#REF!)</f>
        <v>#REF!</v>
      </c>
      <c r="AF31" s="32" t="e">
        <f>IF(#REF!=0,"",#REF!)</f>
        <v>#REF!</v>
      </c>
      <c r="AG31" s="32" t="e">
        <f>IF(#REF!=0,"",#REF!)</f>
        <v>#REF!</v>
      </c>
      <c r="AH31" s="32" t="e">
        <f>IF(#REF!=0,"",#REF!)</f>
        <v>#REF!</v>
      </c>
      <c r="AI31" s="32" t="e">
        <f>IF(#REF!=0,"",#REF!)</f>
        <v>#REF!</v>
      </c>
    </row>
    <row r="32" spans="2:35">
      <c r="B32" s="204"/>
      <c r="C32" s="205"/>
      <c r="D32" s="205"/>
      <c r="E32" s="206"/>
      <c r="F32" s="35"/>
      <c r="G32" s="35"/>
      <c r="H32" s="35"/>
      <c r="I32" s="35"/>
      <c r="J32" s="35"/>
      <c r="K32" s="31" t="e">
        <f>IF(#REF!=0,"",#REF!)</f>
        <v>#REF!</v>
      </c>
      <c r="L32" s="32" t="e">
        <f>IF(#REF!=0,"",#REF!)</f>
        <v>#REF!</v>
      </c>
      <c r="M32" s="32" t="e">
        <f>IF(#REF!=0,"",#REF!)</f>
        <v>#REF!</v>
      </c>
      <c r="N32" s="32" t="e">
        <f>IF(#REF!=0,"",#REF!)</f>
        <v>#REF!</v>
      </c>
      <c r="O32" s="32" t="e">
        <f>IF(#REF!=0,"",#REF!)</f>
        <v>#REF!</v>
      </c>
      <c r="P32" s="32" t="e">
        <f>IF(#REF!=0,"",#REF!)</f>
        <v>#REF!</v>
      </c>
      <c r="Q32" s="32" t="e">
        <f>IF(#REF!=0,"",#REF!)</f>
        <v>#REF!</v>
      </c>
      <c r="R32" s="32" t="e">
        <f>IF(#REF!=0,"",#REF!)</f>
        <v>#REF!</v>
      </c>
      <c r="S32" s="32" t="e">
        <f>IF(#REF!=0,"",#REF!)</f>
        <v>#REF!</v>
      </c>
      <c r="T32" s="32" t="e">
        <f>IF(#REF!=0,"",#REF!)</f>
        <v>#REF!</v>
      </c>
      <c r="U32" s="32" t="e">
        <f>IF(#REF!=0,"",#REF!)</f>
        <v>#REF!</v>
      </c>
      <c r="V32" s="32" t="e">
        <f>IF(#REF!=0,"",#REF!)</f>
        <v>#REF!</v>
      </c>
      <c r="W32" s="32" t="e">
        <f>IF(#REF!=0,"",#REF!)</f>
        <v>#REF!</v>
      </c>
      <c r="X32" s="32" t="e">
        <f>IF(#REF!=0,"",#REF!)</f>
        <v>#REF!</v>
      </c>
      <c r="Y32" s="32" t="e">
        <f>IF(#REF!=0,"",#REF!)</f>
        <v>#REF!</v>
      </c>
      <c r="Z32" s="32" t="e">
        <f>IF(#REF!=0,"",#REF!)</f>
        <v>#REF!</v>
      </c>
      <c r="AA32" s="32" t="e">
        <f>IF(#REF!=0,"",#REF!)</f>
        <v>#REF!</v>
      </c>
      <c r="AB32" s="32" t="e">
        <f>IF(#REF!=0,"",#REF!)</f>
        <v>#REF!</v>
      </c>
      <c r="AC32" s="32" t="e">
        <f>IF(#REF!=0,"",#REF!)</f>
        <v>#REF!</v>
      </c>
      <c r="AD32" s="32" t="e">
        <f>IF(#REF!=0,"",#REF!)</f>
        <v>#REF!</v>
      </c>
      <c r="AE32" s="32" t="e">
        <f>IF(#REF!=0,"",#REF!)</f>
        <v>#REF!</v>
      </c>
      <c r="AF32" s="32" t="e">
        <f>IF(#REF!=0,"",#REF!)</f>
        <v>#REF!</v>
      </c>
      <c r="AG32" s="32" t="e">
        <f>IF(#REF!=0,"",#REF!)</f>
        <v>#REF!</v>
      </c>
      <c r="AH32" s="32" t="e">
        <f>IF(#REF!=0,"",#REF!)</f>
        <v>#REF!</v>
      </c>
      <c r="AI32" s="32" t="e">
        <f>IF(#REF!=0,"",#REF!)</f>
        <v>#REF!</v>
      </c>
    </row>
    <row r="33" spans="2:35">
      <c r="B33" s="204"/>
      <c r="C33" s="205"/>
      <c r="D33" s="205"/>
      <c r="E33" s="206"/>
      <c r="G33" s="35"/>
      <c r="H33" s="35"/>
      <c r="I33" s="35"/>
      <c r="J33" s="35"/>
      <c r="K33" s="31" t="e">
        <f>IF(#REF!=0,"",#REF!)</f>
        <v>#REF!</v>
      </c>
      <c r="L33" s="32" t="e">
        <f>IF(#REF!=0,"",#REF!)</f>
        <v>#REF!</v>
      </c>
      <c r="M33" s="32" t="e">
        <f>IF(#REF!=0,"",#REF!)</f>
        <v>#REF!</v>
      </c>
      <c r="N33" s="32" t="e">
        <f>IF(#REF!=0,"",#REF!)</f>
        <v>#REF!</v>
      </c>
      <c r="O33" s="32" t="e">
        <f>IF(#REF!=0,"",#REF!)</f>
        <v>#REF!</v>
      </c>
      <c r="P33" s="32" t="e">
        <f>IF(#REF!=0,"",#REF!)</f>
        <v>#REF!</v>
      </c>
      <c r="Q33" s="32" t="e">
        <f>IF(#REF!=0,"",#REF!)</f>
        <v>#REF!</v>
      </c>
      <c r="R33" s="32" t="e">
        <f>IF(#REF!=0,"",#REF!)</f>
        <v>#REF!</v>
      </c>
      <c r="S33" s="32" t="e">
        <f>IF(#REF!=0,"",#REF!)</f>
        <v>#REF!</v>
      </c>
      <c r="T33" s="32" t="e">
        <f>IF(#REF!=0,"",#REF!)</f>
        <v>#REF!</v>
      </c>
      <c r="U33" s="32" t="e">
        <f>IF(#REF!=0,"",#REF!)</f>
        <v>#REF!</v>
      </c>
      <c r="V33" s="32" t="e">
        <f>IF(#REF!=0,"",#REF!)</f>
        <v>#REF!</v>
      </c>
      <c r="W33" s="32" t="e">
        <f>IF(#REF!=0,"",#REF!)</f>
        <v>#REF!</v>
      </c>
      <c r="X33" s="32" t="e">
        <f>IF(#REF!=0,"",#REF!)</f>
        <v>#REF!</v>
      </c>
      <c r="Y33" s="32" t="e">
        <f>IF(#REF!=0,"",#REF!)</f>
        <v>#REF!</v>
      </c>
      <c r="Z33" s="32" t="e">
        <f>IF(#REF!=0,"",#REF!)</f>
        <v>#REF!</v>
      </c>
      <c r="AA33" s="32" t="e">
        <f>IF(#REF!=0,"",#REF!)</f>
        <v>#REF!</v>
      </c>
      <c r="AB33" s="32" t="e">
        <f>IF(#REF!=0,"",#REF!)</f>
        <v>#REF!</v>
      </c>
      <c r="AC33" s="32" t="e">
        <f>IF(#REF!=0,"",#REF!)</f>
        <v>#REF!</v>
      </c>
      <c r="AD33" s="32" t="e">
        <f>IF(#REF!=0,"",#REF!)</f>
        <v>#REF!</v>
      </c>
      <c r="AE33" s="32" t="e">
        <f>IF(#REF!=0,"",#REF!)</f>
        <v>#REF!</v>
      </c>
      <c r="AF33" s="32" t="e">
        <f>IF(#REF!=0,"",#REF!)</f>
        <v>#REF!</v>
      </c>
      <c r="AG33" s="32" t="e">
        <f>IF(#REF!=0,"",#REF!)</f>
        <v>#REF!</v>
      </c>
      <c r="AH33" s="32" t="e">
        <f>IF(#REF!=0,"",#REF!)</f>
        <v>#REF!</v>
      </c>
      <c r="AI33" s="32" t="e">
        <f>IF(#REF!=0,"",#REF!)</f>
        <v>#REF!</v>
      </c>
    </row>
    <row r="34" spans="2:35">
      <c r="B34" s="204"/>
      <c r="C34" s="205"/>
      <c r="D34" s="205"/>
      <c r="E34" s="206"/>
      <c r="K34" s="38"/>
      <c r="L34" s="38"/>
      <c r="M34" s="38"/>
      <c r="N34" s="38"/>
      <c r="O34" s="38"/>
      <c r="P34" s="38"/>
      <c r="Q34" s="38"/>
      <c r="R34" s="38"/>
      <c r="S34" s="38"/>
      <c r="T34" s="38"/>
      <c r="U34" s="38"/>
      <c r="V34" s="38"/>
      <c r="W34" s="38"/>
      <c r="X34" s="38"/>
      <c r="Y34" s="38"/>
      <c r="Z34" s="38"/>
      <c r="AA34" s="38"/>
      <c r="AB34" s="38"/>
      <c r="AC34" s="38"/>
      <c r="AD34" s="38"/>
      <c r="AE34" s="38"/>
      <c r="AF34" s="38"/>
      <c r="AG34" s="38"/>
      <c r="AH34" s="38"/>
      <c r="AI34" s="38"/>
    </row>
    <row r="35" spans="2:35">
      <c r="B35" s="204"/>
      <c r="C35" s="205"/>
      <c r="D35" s="205"/>
      <c r="E35" s="206"/>
      <c r="K35" s="38"/>
      <c r="L35" s="38"/>
      <c r="M35" s="38"/>
      <c r="N35" s="38"/>
      <c r="O35" s="38"/>
      <c r="P35" s="38"/>
      <c r="Q35" s="38"/>
      <c r="R35" s="38"/>
      <c r="S35" s="38"/>
      <c r="T35" s="38"/>
      <c r="U35" s="38"/>
      <c r="V35" s="38"/>
      <c r="W35" s="38"/>
      <c r="X35" s="38"/>
      <c r="Y35" s="38"/>
      <c r="Z35" s="38"/>
      <c r="AA35" s="38"/>
      <c r="AB35" s="38"/>
      <c r="AC35" s="38"/>
      <c r="AD35" s="38"/>
      <c r="AE35" s="38"/>
      <c r="AF35" s="38"/>
      <c r="AG35" s="38"/>
      <c r="AH35" s="38"/>
      <c r="AI35" s="38"/>
    </row>
    <row r="36" spans="2:35">
      <c r="B36" s="51"/>
      <c r="C36" s="51"/>
      <c r="D36" s="51"/>
      <c r="E36" s="51"/>
      <c r="K36" s="38"/>
      <c r="L36" s="38"/>
      <c r="M36" s="38"/>
      <c r="N36" s="38"/>
      <c r="O36" s="38"/>
      <c r="P36" s="38"/>
      <c r="Q36" s="38"/>
      <c r="R36" s="38"/>
      <c r="S36" s="38"/>
      <c r="T36" s="38"/>
      <c r="U36" s="38"/>
      <c r="V36" s="38"/>
      <c r="W36" s="38"/>
      <c r="X36" s="38"/>
      <c r="Y36" s="38"/>
      <c r="Z36" s="38"/>
      <c r="AA36" s="38"/>
      <c r="AB36" s="38"/>
      <c r="AC36" s="38"/>
      <c r="AD36" s="38"/>
      <c r="AE36" s="38"/>
      <c r="AF36" s="38"/>
      <c r="AG36" s="38"/>
      <c r="AH36" s="38"/>
      <c r="AI36" s="38"/>
    </row>
    <row r="37" spans="2:35">
      <c r="B37" s="51"/>
      <c r="C37" s="51"/>
      <c r="D37" s="51"/>
      <c r="E37" s="51"/>
      <c r="K37" s="38"/>
      <c r="L37" s="38"/>
      <c r="M37" s="38"/>
      <c r="N37" s="38"/>
      <c r="O37" s="38"/>
      <c r="P37" s="38"/>
      <c r="Q37" s="38"/>
      <c r="R37" s="38"/>
      <c r="S37" s="38"/>
      <c r="T37" s="38"/>
      <c r="U37" s="38"/>
      <c r="V37" s="38"/>
      <c r="W37" s="38"/>
      <c r="X37" s="38"/>
      <c r="Y37" s="38"/>
      <c r="Z37" s="38"/>
      <c r="AA37" s="38"/>
      <c r="AB37" s="38"/>
      <c r="AC37" s="38"/>
      <c r="AD37" s="38"/>
      <c r="AE37" s="38"/>
      <c r="AF37" s="38"/>
      <c r="AG37" s="38"/>
      <c r="AH37" s="38"/>
      <c r="AI37" s="38"/>
    </row>
    <row r="38" spans="2:35">
      <c r="B38" s="51"/>
      <c r="C38" s="51"/>
      <c r="D38" s="51"/>
      <c r="E38" s="51"/>
      <c r="K38" s="38"/>
      <c r="L38" s="38"/>
      <c r="M38" s="38"/>
      <c r="N38" s="38"/>
      <c r="O38" s="38"/>
      <c r="P38" s="38"/>
      <c r="Q38" s="38"/>
      <c r="R38" s="38"/>
      <c r="S38" s="38"/>
      <c r="T38" s="38"/>
      <c r="U38" s="38"/>
      <c r="V38" s="38"/>
      <c r="W38" s="38"/>
      <c r="X38" s="38"/>
      <c r="Y38" s="38"/>
      <c r="Z38" s="38"/>
      <c r="AA38" s="38"/>
      <c r="AB38" s="38"/>
      <c r="AC38" s="38"/>
      <c r="AD38" s="38"/>
      <c r="AE38" s="38"/>
      <c r="AF38" s="38"/>
      <c r="AG38" s="38"/>
      <c r="AH38" s="38"/>
      <c r="AI38" s="38"/>
    </row>
    <row r="39" spans="2:35">
      <c r="B39" s="51"/>
      <c r="C39" s="51"/>
      <c r="D39" s="51"/>
      <c r="E39" s="51"/>
      <c r="K39" s="38"/>
      <c r="L39" s="38"/>
      <c r="M39" s="38"/>
      <c r="N39" s="38"/>
      <c r="O39" s="38"/>
      <c r="P39" s="38"/>
      <c r="Q39" s="38"/>
      <c r="R39" s="38"/>
      <c r="S39" s="38"/>
      <c r="T39" s="38"/>
      <c r="U39" s="38"/>
      <c r="V39" s="38"/>
      <c r="W39" s="38"/>
      <c r="X39" s="38"/>
      <c r="Y39" s="38"/>
      <c r="Z39" s="38"/>
      <c r="AA39" s="38"/>
      <c r="AB39" s="38"/>
      <c r="AC39" s="38"/>
      <c r="AD39" s="38"/>
      <c r="AE39" s="38"/>
      <c r="AF39" s="38"/>
      <c r="AG39" s="38"/>
      <c r="AH39" s="38"/>
      <c r="AI39" s="38"/>
    </row>
    <row r="40" spans="2:35">
      <c r="B40" s="51"/>
      <c r="C40" s="51"/>
      <c r="D40" s="51"/>
      <c r="E40" s="51"/>
    </row>
    <row r="41" spans="2:35">
      <c r="B41" s="51"/>
      <c r="C41" s="51"/>
      <c r="D41" s="51"/>
      <c r="E41" s="51"/>
    </row>
    <row r="42" spans="2:35">
      <c r="B42" s="51"/>
      <c r="C42" s="51"/>
      <c r="D42" s="51"/>
      <c r="E42" s="51"/>
    </row>
    <row r="43" spans="2:35">
      <c r="B43" s="51"/>
      <c r="C43" s="51"/>
      <c r="D43" s="51"/>
      <c r="E43" s="51"/>
    </row>
  </sheetData>
  <sheetProtection algorithmName="SHA-512" hashValue="UqwTV5bS6xGJtibSTaNn/bJVgvsz3t9aa42fJ7dO5ssC50MLAszBOH8tk73rU7aZ2I874XbB39QCjEVvGKPubQ==" saltValue="XNelIPvw5M8M02AeaZruEQ==" spinCount="100000" sheet="1" formatRows="0"/>
  <customSheetViews>
    <customSheetView guid="{77A8CDE7-0C4B-4AA6-8C4B-62BFC960DC0D}" showPageBreaks="1" showGridLines="0" printArea="1" hiddenColumns="1">
      <selection activeCell="B12" sqref="B12"/>
      <pageMargins left="0" right="0" top="0" bottom="0" header="0.31496062992125984" footer="0.31496062992125984"/>
      <pageSetup orientation="portrait" r:id="rId1"/>
    </customSheetView>
  </customSheetViews>
  <mergeCells count="29">
    <mergeCell ref="B33:E33"/>
    <mergeCell ref="B34:E34"/>
    <mergeCell ref="B35:E35"/>
    <mergeCell ref="B24:E24"/>
    <mergeCell ref="B27:E27"/>
    <mergeCell ref="B28:E28"/>
    <mergeCell ref="B29:E29"/>
    <mergeCell ref="B30:E30"/>
    <mergeCell ref="B31:E31"/>
    <mergeCell ref="B25:E25"/>
    <mergeCell ref="B26:E26"/>
    <mergeCell ref="C19:E19"/>
    <mergeCell ref="C20:E20"/>
    <mergeCell ref="C21:E21"/>
    <mergeCell ref="B23:E23"/>
    <mergeCell ref="B32:E32"/>
    <mergeCell ref="B2:E2"/>
    <mergeCell ref="B4:E4"/>
    <mergeCell ref="B3:E3"/>
    <mergeCell ref="B6:E6"/>
    <mergeCell ref="C18:E18"/>
    <mergeCell ref="C17:E17"/>
    <mergeCell ref="B10:E10"/>
    <mergeCell ref="C11:E11"/>
    <mergeCell ref="C12:E12"/>
    <mergeCell ref="C13:E13"/>
    <mergeCell ref="C15:E15"/>
    <mergeCell ref="C14:E14"/>
    <mergeCell ref="C16:E16"/>
  </mergeCells>
  <pageMargins left="0" right="0" top="0" bottom="0" header="0.31496062992125984" footer="0.31496062992125984"/>
  <pageSetup orientation="portrait"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
  <sheetViews>
    <sheetView workbookViewId="0"/>
  </sheetViews>
  <sheetFormatPr defaultColWidth="11.42578125"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AA122"/>
  <sheetViews>
    <sheetView topLeftCell="A64" zoomScaleNormal="100" zoomScaleSheetLayoutView="100" workbookViewId="0">
      <selection activeCell="B64" sqref="B64:E64"/>
    </sheetView>
  </sheetViews>
  <sheetFormatPr defaultColWidth="11.42578125" defaultRowHeight="13.5"/>
  <cols>
    <col min="1" max="1" width="1.140625" style="47" customWidth="1"/>
    <col min="2" max="2" width="34.140625" style="50" customWidth="1"/>
    <col min="3" max="3" width="98.7109375" style="47" customWidth="1"/>
    <col min="4" max="4" width="21.7109375" style="47" customWidth="1"/>
    <col min="5" max="5" width="12.42578125" style="47" customWidth="1"/>
    <col min="6" max="6" width="4.28515625" style="47" customWidth="1"/>
    <col min="7" max="9" width="11.42578125" style="47" customWidth="1"/>
    <col min="10" max="16384" width="11.42578125" style="47"/>
  </cols>
  <sheetData>
    <row r="1" spans="1:27" s="44" customFormat="1" ht="12" customHeight="1">
      <c r="B1" s="49"/>
    </row>
    <row r="2" spans="1:27" s="44" customFormat="1">
      <c r="B2" s="215" t="s">
        <v>256</v>
      </c>
      <c r="C2" s="216"/>
      <c r="D2" s="216"/>
      <c r="E2" s="217"/>
    </row>
    <row r="3" spans="1:27" s="44" customFormat="1" ht="12" customHeight="1">
      <c r="B3" s="218" t="s">
        <v>263</v>
      </c>
      <c r="C3" s="219"/>
      <c r="D3" s="219"/>
      <c r="E3" s="220"/>
    </row>
    <row r="4" spans="1:27" s="44" customFormat="1" ht="7.5" customHeight="1">
      <c r="B4" s="221"/>
      <c r="C4" s="222"/>
      <c r="D4" s="222"/>
      <c r="E4" s="223"/>
    </row>
    <row r="5" spans="1:27" s="44" customFormat="1" ht="10.5" customHeight="1">
      <c r="B5" s="221"/>
      <c r="C5" s="222"/>
      <c r="D5" s="222"/>
      <c r="E5" s="223"/>
    </row>
    <row r="6" spans="1:27" s="44" customFormat="1" ht="62.25" customHeight="1">
      <c r="B6" s="224"/>
      <c r="C6" s="225"/>
      <c r="D6" s="225"/>
      <c r="E6" s="226"/>
    </row>
    <row r="7" spans="1:27" s="44" customFormat="1" ht="12" customHeight="1">
      <c r="B7" s="227"/>
      <c r="C7" s="228"/>
      <c r="D7" s="228"/>
      <c r="E7" s="229"/>
    </row>
    <row r="8" spans="1:27" s="44" customFormat="1" ht="15" customHeight="1">
      <c r="B8" s="215" t="s">
        <v>26</v>
      </c>
      <c r="C8" s="216"/>
      <c r="D8" s="216"/>
      <c r="E8" s="217"/>
    </row>
    <row r="9" spans="1:27" s="44" customFormat="1" ht="14.25" thickBot="1">
      <c r="B9" s="230" t="s">
        <v>155</v>
      </c>
      <c r="C9" s="230"/>
      <c r="D9" s="230"/>
      <c r="E9" s="230"/>
    </row>
    <row r="10" spans="1:27" s="44" customFormat="1" ht="12" customHeight="1" thickBot="1">
      <c r="B10" s="149" t="s">
        <v>27</v>
      </c>
      <c r="C10" s="149" t="s">
        <v>28</v>
      </c>
      <c r="D10" s="149" t="s">
        <v>21</v>
      </c>
      <c r="E10" s="149" t="s">
        <v>29</v>
      </c>
    </row>
    <row r="11" spans="1:27" ht="27">
      <c r="A11" s="44"/>
      <c r="B11" s="150" t="s">
        <v>0</v>
      </c>
      <c r="C11" s="151" t="s">
        <v>30</v>
      </c>
      <c r="D11" s="151" t="s">
        <v>31</v>
      </c>
      <c r="E11" s="152" t="s">
        <v>32</v>
      </c>
      <c r="F11" s="44"/>
      <c r="G11" s="44"/>
      <c r="H11" s="44"/>
      <c r="I11" s="44"/>
      <c r="J11" s="44"/>
      <c r="K11" s="44"/>
      <c r="L11" s="44"/>
      <c r="M11" s="44"/>
      <c r="N11" s="44"/>
      <c r="O11" s="44"/>
      <c r="P11" s="45"/>
      <c r="Q11" s="45"/>
      <c r="R11" s="46"/>
      <c r="S11" s="46"/>
      <c r="T11" s="46"/>
      <c r="U11" s="46"/>
      <c r="V11" s="46"/>
      <c r="W11" s="46"/>
      <c r="X11" s="46"/>
      <c r="Y11" s="46"/>
      <c r="Z11" s="46"/>
      <c r="AA11" s="46"/>
    </row>
    <row r="12" spans="1:27">
      <c r="A12" s="44"/>
      <c r="B12" s="150" t="s">
        <v>2</v>
      </c>
      <c r="C12" s="153" t="s">
        <v>34</v>
      </c>
      <c r="D12" s="153" t="s">
        <v>24</v>
      </c>
      <c r="E12" s="152" t="s">
        <v>32</v>
      </c>
      <c r="F12" s="44"/>
      <c r="G12" s="44"/>
      <c r="H12" s="44"/>
      <c r="I12" s="44"/>
      <c r="J12" s="44"/>
      <c r="K12" s="44"/>
      <c r="L12" s="44"/>
      <c r="M12" s="44"/>
      <c r="N12" s="44"/>
      <c r="O12" s="44"/>
      <c r="P12" s="45"/>
      <c r="Q12" s="45"/>
      <c r="R12" s="46"/>
      <c r="S12" s="46"/>
      <c r="T12" s="46"/>
      <c r="U12" s="46"/>
      <c r="V12" s="46"/>
      <c r="W12" s="46"/>
      <c r="X12" s="46"/>
      <c r="Y12" s="46"/>
      <c r="Z12" s="46"/>
      <c r="AA12" s="46"/>
    </row>
    <row r="13" spans="1:27" ht="40.5">
      <c r="A13" s="48"/>
      <c r="B13" s="154" t="s">
        <v>1</v>
      </c>
      <c r="C13" s="153" t="s">
        <v>156</v>
      </c>
      <c r="D13" s="153" t="s">
        <v>24</v>
      </c>
      <c r="E13" s="152" t="s">
        <v>32</v>
      </c>
      <c r="F13" s="44"/>
      <c r="G13" s="44"/>
      <c r="H13" s="44"/>
      <c r="I13" s="44"/>
      <c r="J13" s="44"/>
      <c r="K13" s="44"/>
      <c r="L13" s="44"/>
      <c r="M13" s="44"/>
      <c r="N13" s="44"/>
      <c r="O13" s="44"/>
      <c r="P13" s="45"/>
      <c r="Q13" s="45"/>
      <c r="R13" s="46"/>
      <c r="S13" s="46"/>
      <c r="T13" s="46"/>
      <c r="U13" s="46"/>
      <c r="V13" s="46"/>
      <c r="W13" s="46"/>
      <c r="X13" s="46"/>
      <c r="Y13" s="46"/>
      <c r="Z13" s="46"/>
      <c r="AA13" s="46"/>
    </row>
    <row r="14" spans="1:27" ht="24.75" customHeight="1">
      <c r="A14" s="48"/>
      <c r="B14" s="154" t="s">
        <v>211</v>
      </c>
      <c r="C14" s="153" t="s">
        <v>157</v>
      </c>
      <c r="D14" s="153" t="s">
        <v>24</v>
      </c>
      <c r="E14" s="152" t="s">
        <v>32</v>
      </c>
      <c r="F14" s="44"/>
      <c r="G14" s="44"/>
      <c r="H14" s="44"/>
      <c r="I14" s="44"/>
      <c r="J14" s="44"/>
      <c r="K14" s="44"/>
      <c r="L14" s="44"/>
      <c r="M14" s="44"/>
      <c r="N14" s="44"/>
      <c r="O14" s="44"/>
      <c r="P14" s="45"/>
      <c r="Q14" s="45"/>
      <c r="R14" s="46"/>
      <c r="S14" s="46"/>
      <c r="T14" s="46"/>
      <c r="U14" s="46"/>
      <c r="V14" s="46"/>
      <c r="W14" s="46"/>
      <c r="X14" s="46"/>
      <c r="Y14" s="46"/>
      <c r="Z14" s="46"/>
      <c r="AA14" s="46"/>
    </row>
    <row r="15" spans="1:27">
      <c r="A15" s="48"/>
      <c r="B15" s="150" t="s">
        <v>229</v>
      </c>
      <c r="C15" s="153" t="s">
        <v>158</v>
      </c>
      <c r="D15" s="153" t="s">
        <v>24</v>
      </c>
      <c r="E15" s="152" t="s">
        <v>32</v>
      </c>
      <c r="F15" s="44"/>
      <c r="G15" s="44"/>
      <c r="H15" s="44"/>
      <c r="I15" s="44"/>
      <c r="J15" s="44"/>
      <c r="K15" s="44"/>
      <c r="L15" s="44"/>
      <c r="M15" s="44"/>
      <c r="N15" s="44"/>
      <c r="O15" s="44"/>
    </row>
    <row r="16" spans="1:27" ht="27">
      <c r="A16" s="48"/>
      <c r="B16" s="150" t="s">
        <v>5</v>
      </c>
      <c r="C16" s="153" t="s">
        <v>233</v>
      </c>
      <c r="D16" s="153" t="s">
        <v>24</v>
      </c>
      <c r="E16" s="152" t="s">
        <v>32</v>
      </c>
      <c r="F16" s="44"/>
      <c r="G16" s="44"/>
      <c r="H16" s="44"/>
      <c r="I16" s="44"/>
      <c r="J16" s="44"/>
      <c r="K16" s="44"/>
      <c r="L16" s="44"/>
      <c r="M16" s="44"/>
      <c r="N16" s="44"/>
      <c r="O16" s="44"/>
    </row>
    <row r="17" spans="1:17" ht="27">
      <c r="A17" s="48"/>
      <c r="B17" s="155" t="s">
        <v>3</v>
      </c>
      <c r="C17" s="153" t="s">
        <v>231</v>
      </c>
      <c r="D17" s="153" t="s">
        <v>24</v>
      </c>
      <c r="E17" s="152" t="s">
        <v>32</v>
      </c>
      <c r="F17" s="44"/>
      <c r="G17" s="44"/>
      <c r="H17" s="44"/>
      <c r="I17" s="44"/>
      <c r="J17" s="44"/>
      <c r="K17" s="44"/>
      <c r="L17" s="44"/>
      <c r="M17" s="44"/>
      <c r="N17" s="44"/>
      <c r="O17" s="44"/>
      <c r="P17" s="45"/>
      <c r="Q17" s="45"/>
    </row>
    <row r="18" spans="1:17">
      <c r="A18" s="48"/>
      <c r="B18" s="155" t="s">
        <v>4</v>
      </c>
      <c r="C18" s="153" t="s">
        <v>159</v>
      </c>
      <c r="D18" s="153" t="s">
        <v>24</v>
      </c>
      <c r="E18" s="152" t="s">
        <v>32</v>
      </c>
      <c r="F18" s="44"/>
      <c r="G18" s="44"/>
      <c r="H18" s="44"/>
      <c r="I18" s="44"/>
      <c r="J18" s="44"/>
      <c r="K18" s="44"/>
      <c r="L18" s="44"/>
      <c r="M18" s="44"/>
      <c r="N18" s="44"/>
      <c r="O18" s="44"/>
      <c r="P18" s="45"/>
      <c r="Q18" s="45"/>
    </row>
    <row r="19" spans="1:17">
      <c r="A19" s="48"/>
      <c r="B19" s="150" t="s">
        <v>28</v>
      </c>
      <c r="C19" s="153" t="s">
        <v>35</v>
      </c>
      <c r="D19" s="153" t="s">
        <v>24</v>
      </c>
      <c r="E19" s="152" t="s">
        <v>32</v>
      </c>
      <c r="F19" s="44"/>
      <c r="G19" s="44"/>
      <c r="H19" s="44"/>
      <c r="I19" s="44"/>
      <c r="J19" s="44"/>
      <c r="K19" s="44"/>
      <c r="L19" s="44"/>
      <c r="M19" s="44"/>
      <c r="N19" s="44"/>
      <c r="O19" s="44"/>
      <c r="P19" s="45"/>
      <c r="Q19" s="45"/>
    </row>
    <row r="20" spans="1:17" ht="25.5" customHeight="1">
      <c r="A20" s="48"/>
      <c r="B20" s="155" t="s">
        <v>190</v>
      </c>
      <c r="C20" s="153" t="s">
        <v>160</v>
      </c>
      <c r="D20" s="153" t="s">
        <v>24</v>
      </c>
      <c r="E20" s="152" t="s">
        <v>32</v>
      </c>
      <c r="F20" s="44"/>
      <c r="G20" s="44"/>
      <c r="H20" s="44"/>
      <c r="I20" s="44"/>
      <c r="J20" s="44"/>
      <c r="K20" s="44"/>
      <c r="L20" s="44"/>
      <c r="M20" s="44"/>
      <c r="N20" s="44"/>
      <c r="O20" s="44"/>
      <c r="P20" s="45"/>
      <c r="Q20" s="45"/>
    </row>
    <row r="21" spans="1:17" ht="27">
      <c r="A21" s="48"/>
      <c r="B21" s="155" t="s">
        <v>189</v>
      </c>
      <c r="C21" s="153" t="s">
        <v>161</v>
      </c>
      <c r="D21" s="153" t="s">
        <v>24</v>
      </c>
      <c r="E21" s="152" t="s">
        <v>32</v>
      </c>
      <c r="F21" s="44"/>
      <c r="G21" s="44"/>
      <c r="H21" s="44"/>
      <c r="I21" s="44"/>
      <c r="J21" s="44"/>
      <c r="K21" s="44"/>
      <c r="L21" s="44"/>
      <c r="M21" s="44"/>
      <c r="N21" s="44"/>
      <c r="O21" s="44"/>
      <c r="P21" s="45"/>
      <c r="Q21" s="45"/>
    </row>
    <row r="22" spans="1:17" ht="27">
      <c r="A22" s="48"/>
      <c r="B22" s="150" t="s">
        <v>280</v>
      </c>
      <c r="C22" s="153" t="s">
        <v>162</v>
      </c>
      <c r="D22" s="153" t="s">
        <v>24</v>
      </c>
      <c r="E22" s="152" t="s">
        <v>32</v>
      </c>
      <c r="F22" s="44"/>
      <c r="G22" s="44"/>
      <c r="H22" s="44"/>
      <c r="I22" s="44"/>
      <c r="J22" s="44"/>
      <c r="K22" s="44"/>
      <c r="L22" s="44"/>
      <c r="M22" s="44"/>
      <c r="N22" s="44"/>
      <c r="O22" s="44"/>
      <c r="P22" s="45"/>
      <c r="Q22" s="45"/>
    </row>
    <row r="23" spans="1:17" ht="40.5">
      <c r="A23" s="48"/>
      <c r="B23" s="150" t="s">
        <v>230</v>
      </c>
      <c r="C23" s="153" t="s">
        <v>281</v>
      </c>
      <c r="D23" s="153" t="s">
        <v>24</v>
      </c>
      <c r="E23" s="152" t="s">
        <v>32</v>
      </c>
      <c r="F23" s="44"/>
      <c r="G23" s="44"/>
      <c r="H23" s="44"/>
      <c r="I23" s="44"/>
      <c r="J23" s="44"/>
      <c r="K23" s="44"/>
      <c r="L23" s="44"/>
      <c r="M23" s="44"/>
      <c r="N23" s="44"/>
      <c r="O23" s="44"/>
      <c r="P23" s="45"/>
      <c r="Q23" s="45"/>
    </row>
    <row r="24" spans="1:17" ht="40.5">
      <c r="A24" s="48"/>
      <c r="B24" s="150" t="s">
        <v>185</v>
      </c>
      <c r="C24" s="153" t="s">
        <v>232</v>
      </c>
      <c r="D24" s="153" t="s">
        <v>24</v>
      </c>
      <c r="E24" s="152" t="s">
        <v>32</v>
      </c>
      <c r="F24" s="44"/>
      <c r="G24" s="44"/>
      <c r="H24" s="44"/>
      <c r="I24" s="44"/>
      <c r="J24" s="44"/>
      <c r="K24" s="44"/>
      <c r="L24" s="44"/>
      <c r="M24" s="44"/>
      <c r="N24" s="44"/>
      <c r="O24" s="44"/>
      <c r="P24" s="45"/>
      <c r="Q24" s="45"/>
    </row>
    <row r="25" spans="1:17" ht="27">
      <c r="A25" s="48"/>
      <c r="B25" s="150" t="s">
        <v>186</v>
      </c>
      <c r="C25" s="153" t="s">
        <v>163</v>
      </c>
      <c r="D25" s="153" t="s">
        <v>24</v>
      </c>
      <c r="E25" s="152" t="s">
        <v>32</v>
      </c>
      <c r="F25" s="44"/>
      <c r="G25" s="44"/>
      <c r="H25" s="44"/>
      <c r="I25" s="44"/>
      <c r="J25" s="44"/>
      <c r="K25" s="44"/>
      <c r="L25" s="44"/>
      <c r="M25" s="44"/>
      <c r="N25" s="44"/>
      <c r="O25" s="44"/>
      <c r="P25" s="45"/>
      <c r="Q25" s="45"/>
    </row>
    <row r="26" spans="1:17" ht="40.5">
      <c r="A26" s="48"/>
      <c r="B26" s="155" t="s">
        <v>213</v>
      </c>
      <c r="C26" s="153" t="s">
        <v>234</v>
      </c>
      <c r="D26" s="153" t="s">
        <v>24</v>
      </c>
      <c r="E26" s="152" t="s">
        <v>32</v>
      </c>
      <c r="F26" s="44"/>
      <c r="G26" s="44"/>
      <c r="H26" s="44"/>
      <c r="I26" s="44"/>
      <c r="J26" s="44"/>
      <c r="K26" s="44"/>
      <c r="L26" s="44"/>
      <c r="M26" s="44"/>
      <c r="N26" s="44"/>
      <c r="O26" s="44"/>
      <c r="P26" s="45"/>
      <c r="Q26" s="45"/>
    </row>
    <row r="27" spans="1:17" ht="38.25" customHeight="1">
      <c r="A27" s="48"/>
      <c r="B27" s="150" t="s">
        <v>6</v>
      </c>
      <c r="C27" s="153" t="s">
        <v>164</v>
      </c>
      <c r="D27" s="153" t="s">
        <v>24</v>
      </c>
      <c r="E27" s="152" t="s">
        <v>32</v>
      </c>
      <c r="F27" s="44"/>
      <c r="G27" s="44"/>
      <c r="H27" s="44"/>
      <c r="I27" s="44"/>
      <c r="J27" s="44"/>
      <c r="K27" s="44"/>
      <c r="L27" s="44"/>
      <c r="M27" s="44"/>
      <c r="N27" s="44"/>
      <c r="O27" s="44"/>
      <c r="P27" s="45"/>
      <c r="Q27" s="45"/>
    </row>
    <row r="28" spans="1:17" ht="27.75" customHeight="1">
      <c r="A28" s="48"/>
      <c r="B28" s="156" t="s">
        <v>7</v>
      </c>
      <c r="C28" s="153" t="s">
        <v>165</v>
      </c>
      <c r="D28" s="153" t="s">
        <v>191</v>
      </c>
      <c r="E28" s="152" t="s">
        <v>32</v>
      </c>
      <c r="F28" s="44"/>
      <c r="G28" s="44"/>
      <c r="H28" s="44"/>
      <c r="I28" s="44"/>
      <c r="J28" s="44"/>
      <c r="K28" s="44"/>
      <c r="L28" s="44"/>
      <c r="M28" s="44"/>
      <c r="N28" s="44"/>
      <c r="O28" s="44"/>
      <c r="P28" s="45"/>
      <c r="Q28" s="45"/>
    </row>
    <row r="29" spans="1:17" ht="27">
      <c r="A29" s="48"/>
      <c r="B29" s="157" t="s">
        <v>8</v>
      </c>
      <c r="C29" s="153" t="s">
        <v>166</v>
      </c>
      <c r="D29" s="153" t="s">
        <v>191</v>
      </c>
      <c r="E29" s="152" t="s">
        <v>32</v>
      </c>
      <c r="F29" s="44"/>
      <c r="G29" s="44"/>
      <c r="H29" s="44"/>
      <c r="I29" s="44"/>
      <c r="J29" s="44"/>
      <c r="K29" s="44"/>
      <c r="L29" s="44"/>
      <c r="M29" s="44"/>
      <c r="N29" s="44"/>
      <c r="O29" s="44"/>
      <c r="P29" s="45"/>
      <c r="Q29" s="45"/>
    </row>
    <row r="30" spans="1:17" ht="27">
      <c r="A30" s="48"/>
      <c r="B30" s="157" t="s">
        <v>235</v>
      </c>
      <c r="C30" s="153" t="s">
        <v>36</v>
      </c>
      <c r="D30" s="153" t="s">
        <v>191</v>
      </c>
      <c r="E30" s="152" t="s">
        <v>32</v>
      </c>
      <c r="F30" s="44"/>
      <c r="G30" s="44"/>
      <c r="H30" s="44"/>
      <c r="I30" s="44"/>
      <c r="J30" s="44"/>
      <c r="K30" s="44"/>
      <c r="L30" s="44"/>
      <c r="M30" s="44"/>
      <c r="N30" s="44"/>
      <c r="O30" s="44"/>
      <c r="P30" s="45"/>
      <c r="Q30" s="45"/>
    </row>
    <row r="31" spans="1:17" ht="27">
      <c r="A31" s="48"/>
      <c r="B31" s="157" t="s">
        <v>16</v>
      </c>
      <c r="C31" s="153" t="s">
        <v>167</v>
      </c>
      <c r="D31" s="153" t="s">
        <v>191</v>
      </c>
      <c r="E31" s="152" t="s">
        <v>32</v>
      </c>
      <c r="F31" s="44"/>
      <c r="G31" s="44"/>
      <c r="H31" s="44"/>
      <c r="I31" s="44"/>
      <c r="J31" s="44"/>
      <c r="K31" s="44"/>
      <c r="L31" s="44"/>
      <c r="M31" s="44"/>
      <c r="N31" s="44"/>
      <c r="O31" s="44"/>
      <c r="P31" s="45"/>
      <c r="Q31" s="45"/>
    </row>
    <row r="32" spans="1:17" ht="40.5">
      <c r="A32" s="48"/>
      <c r="B32" s="156" t="s">
        <v>282</v>
      </c>
      <c r="C32" s="153" t="s">
        <v>37</v>
      </c>
      <c r="D32" s="153" t="s">
        <v>191</v>
      </c>
      <c r="E32" s="152" t="s">
        <v>32</v>
      </c>
      <c r="F32" s="44"/>
      <c r="G32" s="44"/>
      <c r="H32" s="44"/>
      <c r="I32" s="44"/>
      <c r="J32" s="44"/>
      <c r="K32" s="44"/>
      <c r="L32" s="44"/>
      <c r="M32" s="44"/>
      <c r="N32" s="44"/>
      <c r="O32" s="44"/>
      <c r="P32" s="45"/>
      <c r="Q32" s="45"/>
    </row>
    <row r="33" spans="1:17" ht="27">
      <c r="A33" s="48"/>
      <c r="B33" s="156" t="s">
        <v>283</v>
      </c>
      <c r="C33" s="153" t="s">
        <v>168</v>
      </c>
      <c r="D33" s="153" t="s">
        <v>191</v>
      </c>
      <c r="E33" s="152" t="s">
        <v>32</v>
      </c>
      <c r="F33" s="44"/>
      <c r="G33" s="44"/>
      <c r="H33" s="44"/>
      <c r="I33" s="44"/>
      <c r="J33" s="44"/>
      <c r="K33" s="44"/>
      <c r="L33" s="44"/>
      <c r="M33" s="44"/>
      <c r="N33" s="44"/>
      <c r="O33" s="44"/>
      <c r="P33" s="45"/>
      <c r="Q33" s="45"/>
    </row>
    <row r="34" spans="1:17" ht="27">
      <c r="A34" s="48"/>
      <c r="B34" s="157" t="s">
        <v>284</v>
      </c>
      <c r="C34" s="153" t="s">
        <v>169</v>
      </c>
      <c r="D34" s="153" t="s">
        <v>191</v>
      </c>
      <c r="E34" s="152" t="s">
        <v>32</v>
      </c>
      <c r="F34" s="44"/>
      <c r="G34" s="44"/>
      <c r="H34" s="44"/>
      <c r="I34" s="44"/>
      <c r="J34" s="44"/>
      <c r="K34" s="44"/>
      <c r="L34" s="44"/>
      <c r="M34" s="44"/>
      <c r="N34" s="44"/>
      <c r="O34" s="44"/>
      <c r="P34" s="45"/>
      <c r="Q34" s="45"/>
    </row>
    <row r="35" spans="1:17" ht="27">
      <c r="A35" s="48"/>
      <c r="B35" s="157" t="s">
        <v>188</v>
      </c>
      <c r="C35" s="153" t="s">
        <v>38</v>
      </c>
      <c r="D35" s="153" t="s">
        <v>191</v>
      </c>
      <c r="E35" s="152" t="s">
        <v>32</v>
      </c>
      <c r="F35" s="44"/>
      <c r="G35" s="44"/>
      <c r="H35" s="44"/>
      <c r="I35" s="44"/>
      <c r="J35" s="44"/>
      <c r="K35" s="44"/>
      <c r="L35" s="44"/>
      <c r="M35" s="44"/>
      <c r="N35" s="44"/>
      <c r="O35" s="44"/>
      <c r="P35" s="45"/>
      <c r="Q35" s="45"/>
    </row>
    <row r="36" spans="1:17" ht="40.5">
      <c r="A36" s="48"/>
      <c r="B36" s="156" t="s">
        <v>76</v>
      </c>
      <c r="C36" s="153" t="s">
        <v>236</v>
      </c>
      <c r="D36" s="153" t="s">
        <v>191</v>
      </c>
      <c r="E36" s="152" t="s">
        <v>32</v>
      </c>
      <c r="F36" s="44"/>
      <c r="G36" s="44"/>
      <c r="H36" s="44"/>
      <c r="I36" s="44"/>
      <c r="J36" s="44"/>
      <c r="K36" s="44"/>
      <c r="L36" s="44"/>
      <c r="M36" s="44"/>
      <c r="N36" s="44"/>
      <c r="O36" s="44"/>
      <c r="P36" s="45"/>
      <c r="Q36" s="45"/>
    </row>
    <row r="37" spans="1:17" ht="40.5">
      <c r="A37" s="48"/>
      <c r="B37" s="156" t="s">
        <v>77</v>
      </c>
      <c r="C37" s="153" t="s">
        <v>237</v>
      </c>
      <c r="D37" s="153" t="s">
        <v>191</v>
      </c>
      <c r="E37" s="152" t="s">
        <v>32</v>
      </c>
      <c r="F37" s="44"/>
      <c r="G37" s="44"/>
      <c r="H37" s="44"/>
      <c r="I37" s="44"/>
      <c r="J37" s="44"/>
      <c r="K37" s="44"/>
      <c r="L37" s="44"/>
      <c r="M37" s="44"/>
      <c r="N37" s="44"/>
      <c r="O37" s="44"/>
      <c r="P37" s="45"/>
      <c r="Q37" s="45"/>
    </row>
    <row r="38" spans="1:17" ht="27">
      <c r="A38" s="48"/>
      <c r="B38" s="157" t="s">
        <v>39</v>
      </c>
      <c r="C38" s="153" t="s">
        <v>170</v>
      </c>
      <c r="D38" s="153" t="s">
        <v>191</v>
      </c>
      <c r="E38" s="152" t="s">
        <v>32</v>
      </c>
      <c r="F38" s="44"/>
      <c r="G38" s="44"/>
      <c r="H38" s="44"/>
      <c r="I38" s="44"/>
      <c r="J38" s="44"/>
      <c r="K38" s="44"/>
      <c r="L38" s="44"/>
      <c r="M38" s="44"/>
      <c r="N38" s="44"/>
      <c r="O38" s="44"/>
      <c r="P38" s="45"/>
      <c r="Q38" s="45"/>
    </row>
    <row r="39" spans="1:17" ht="40.5">
      <c r="A39" s="48"/>
      <c r="B39" s="156" t="s">
        <v>9</v>
      </c>
      <c r="C39" s="153" t="s">
        <v>64</v>
      </c>
      <c r="D39" s="153" t="s">
        <v>191</v>
      </c>
      <c r="E39" s="152" t="s">
        <v>32</v>
      </c>
      <c r="F39" s="44"/>
      <c r="G39" s="44"/>
      <c r="H39" s="44"/>
      <c r="I39" s="44"/>
      <c r="J39" s="44"/>
      <c r="K39" s="44"/>
      <c r="L39" s="44"/>
      <c r="M39" s="44"/>
      <c r="N39" s="44"/>
      <c r="O39" s="44"/>
      <c r="P39" s="45"/>
      <c r="Q39" s="45"/>
    </row>
    <row r="40" spans="1:17" ht="27">
      <c r="A40" s="48"/>
      <c r="B40" s="156" t="s">
        <v>40</v>
      </c>
      <c r="C40" s="153" t="s">
        <v>65</v>
      </c>
      <c r="D40" s="153" t="s">
        <v>191</v>
      </c>
      <c r="E40" s="152" t="s">
        <v>32</v>
      </c>
      <c r="F40" s="44"/>
      <c r="G40" s="44"/>
      <c r="H40" s="44"/>
      <c r="I40" s="44"/>
      <c r="J40" s="44"/>
      <c r="K40" s="44"/>
      <c r="L40" s="44"/>
      <c r="M40" s="44"/>
      <c r="N40" s="44"/>
      <c r="O40" s="44"/>
      <c r="P40" s="45"/>
      <c r="Q40" s="45"/>
    </row>
    <row r="41" spans="1:17" ht="27">
      <c r="A41" s="48"/>
      <c r="B41" s="157" t="s">
        <v>10</v>
      </c>
      <c r="C41" s="158" t="s">
        <v>241</v>
      </c>
      <c r="D41" s="153" t="s">
        <v>191</v>
      </c>
      <c r="E41" s="152" t="s">
        <v>32</v>
      </c>
      <c r="F41" s="44"/>
      <c r="G41" s="44"/>
      <c r="H41" s="44"/>
      <c r="I41" s="44"/>
      <c r="J41" s="44"/>
      <c r="K41" s="44"/>
      <c r="L41" s="44"/>
      <c r="M41" s="44"/>
      <c r="N41" s="44"/>
      <c r="O41" s="44"/>
      <c r="P41" s="45"/>
      <c r="Q41" s="45"/>
    </row>
    <row r="42" spans="1:17" ht="27">
      <c r="A42" s="48"/>
      <c r="B42" s="156" t="s">
        <v>25</v>
      </c>
      <c r="C42" s="153" t="s">
        <v>242</v>
      </c>
      <c r="D42" s="153" t="s">
        <v>191</v>
      </c>
      <c r="E42" s="152" t="s">
        <v>32</v>
      </c>
      <c r="F42" s="44"/>
      <c r="G42" s="44"/>
      <c r="H42" s="44"/>
      <c r="I42" s="44"/>
      <c r="J42" s="44"/>
      <c r="K42" s="44"/>
      <c r="L42" s="44"/>
      <c r="M42" s="44"/>
      <c r="N42" s="44"/>
      <c r="O42" s="44"/>
      <c r="P42" s="45"/>
      <c r="Q42" s="45"/>
    </row>
    <row r="43" spans="1:17" ht="26.25" customHeight="1">
      <c r="A43" s="48"/>
      <c r="B43" s="159" t="s">
        <v>285</v>
      </c>
      <c r="C43" s="153" t="s">
        <v>239</v>
      </c>
      <c r="D43" s="153" t="s">
        <v>191</v>
      </c>
      <c r="E43" s="160" t="s">
        <v>32</v>
      </c>
      <c r="F43" s="44"/>
      <c r="G43" s="44"/>
      <c r="H43" s="44"/>
      <c r="I43" s="44"/>
      <c r="J43" s="44"/>
      <c r="K43" s="44"/>
      <c r="L43" s="44"/>
      <c r="M43" s="44"/>
      <c r="N43" s="44"/>
      <c r="O43" s="44"/>
      <c r="P43" s="45"/>
      <c r="Q43" s="45"/>
    </row>
    <row r="44" spans="1:17" ht="27" customHeight="1">
      <c r="A44" s="48"/>
      <c r="B44" s="159" t="s">
        <v>286</v>
      </c>
      <c r="C44" s="158" t="s">
        <v>240</v>
      </c>
      <c r="D44" s="153" t="s">
        <v>191</v>
      </c>
      <c r="E44" s="160" t="s">
        <v>32</v>
      </c>
      <c r="F44" s="44"/>
      <c r="G44" s="44"/>
      <c r="H44" s="44"/>
      <c r="I44" s="44"/>
      <c r="J44" s="44"/>
      <c r="K44" s="44"/>
      <c r="L44" s="44"/>
      <c r="M44" s="44"/>
      <c r="N44" s="44"/>
      <c r="O44" s="44"/>
      <c r="P44" s="45"/>
      <c r="Q44" s="45"/>
    </row>
    <row r="45" spans="1:17" ht="28.5" customHeight="1">
      <c r="A45" s="48"/>
      <c r="B45" s="159" t="s">
        <v>238</v>
      </c>
      <c r="C45" s="158" t="s">
        <v>172</v>
      </c>
      <c r="D45" s="153" t="s">
        <v>191</v>
      </c>
      <c r="E45" s="160" t="s">
        <v>32</v>
      </c>
      <c r="F45" s="44"/>
      <c r="G45" s="44"/>
      <c r="H45" s="44"/>
      <c r="I45" s="44"/>
      <c r="J45" s="44"/>
      <c r="K45" s="44"/>
      <c r="L45" s="44"/>
      <c r="M45" s="44"/>
      <c r="N45" s="44"/>
      <c r="O45" s="44"/>
      <c r="P45" s="45"/>
      <c r="Q45" s="45"/>
    </row>
    <row r="46" spans="1:17" ht="18.75" customHeight="1">
      <c r="A46" s="48"/>
      <c r="B46" s="161" t="s">
        <v>69</v>
      </c>
      <c r="C46" s="158" t="s">
        <v>243</v>
      </c>
      <c r="D46" s="153" t="s">
        <v>191</v>
      </c>
      <c r="E46" s="160" t="s">
        <v>33</v>
      </c>
      <c r="F46" s="44"/>
      <c r="G46" s="44"/>
      <c r="H46" s="44"/>
      <c r="I46" s="44"/>
      <c r="J46" s="44"/>
      <c r="K46" s="44"/>
      <c r="L46" s="44"/>
      <c r="M46" s="44"/>
      <c r="N46" s="44"/>
      <c r="O46" s="44"/>
      <c r="P46" s="45"/>
      <c r="Q46" s="45"/>
    </row>
    <row r="47" spans="1:17" ht="27.75" customHeight="1">
      <c r="A47" s="48"/>
      <c r="B47" s="161" t="s">
        <v>245</v>
      </c>
      <c r="C47" s="158" t="s">
        <v>173</v>
      </c>
      <c r="D47" s="153" t="s">
        <v>191</v>
      </c>
      <c r="E47" s="160"/>
      <c r="F47" s="44"/>
      <c r="G47" s="44"/>
      <c r="H47" s="44"/>
      <c r="I47" s="44"/>
      <c r="J47" s="44"/>
      <c r="K47" s="44"/>
      <c r="L47" s="44"/>
      <c r="M47" s="44"/>
      <c r="N47" s="44"/>
      <c r="O47" s="44"/>
      <c r="P47" s="45"/>
      <c r="Q47" s="45"/>
    </row>
    <row r="48" spans="1:17" ht="27">
      <c r="A48" s="48"/>
      <c r="B48" s="162" t="s">
        <v>12</v>
      </c>
      <c r="C48" s="153" t="s">
        <v>248</v>
      </c>
      <c r="D48" s="153" t="s">
        <v>191</v>
      </c>
      <c r="E48" s="160" t="s">
        <v>32</v>
      </c>
      <c r="F48" s="44"/>
      <c r="G48" s="44"/>
      <c r="H48" s="44"/>
      <c r="I48" s="44"/>
      <c r="J48" s="44"/>
      <c r="K48" s="44"/>
      <c r="L48" s="44"/>
      <c r="M48" s="44"/>
      <c r="N48" s="44"/>
      <c r="O48" s="44"/>
      <c r="P48" s="45"/>
      <c r="Q48" s="45"/>
    </row>
    <row r="49" spans="1:17" ht="27">
      <c r="A49" s="48"/>
      <c r="B49" s="162" t="s">
        <v>11</v>
      </c>
      <c r="C49" s="153" t="s">
        <v>41</v>
      </c>
      <c r="D49" s="153" t="s">
        <v>191</v>
      </c>
      <c r="E49" s="160" t="s">
        <v>32</v>
      </c>
      <c r="F49" s="44"/>
      <c r="G49" s="44"/>
      <c r="H49" s="44"/>
      <c r="I49" s="44"/>
      <c r="J49" s="44"/>
      <c r="K49" s="44"/>
      <c r="L49" s="44"/>
      <c r="M49" s="44"/>
      <c r="N49" s="44"/>
      <c r="O49" s="44"/>
      <c r="P49" s="45"/>
      <c r="Q49" s="45"/>
    </row>
    <row r="50" spans="1:17" ht="27">
      <c r="A50" s="48"/>
      <c r="B50" s="162" t="s">
        <v>246</v>
      </c>
      <c r="C50" s="153" t="s">
        <v>42</v>
      </c>
      <c r="D50" s="153" t="s">
        <v>191</v>
      </c>
      <c r="E50" s="160" t="s">
        <v>32</v>
      </c>
      <c r="F50" s="44"/>
      <c r="G50" s="44"/>
      <c r="H50" s="44"/>
      <c r="I50" s="44"/>
      <c r="J50" s="44"/>
      <c r="K50" s="44"/>
      <c r="L50" s="44"/>
      <c r="M50" s="44"/>
      <c r="N50" s="44"/>
      <c r="O50" s="44"/>
      <c r="P50" s="45"/>
      <c r="Q50" s="45"/>
    </row>
    <row r="51" spans="1:17" ht="42" customHeight="1">
      <c r="A51" s="48"/>
      <c r="B51" s="163" t="s">
        <v>265</v>
      </c>
      <c r="C51" s="158" t="s">
        <v>267</v>
      </c>
      <c r="D51" s="153" t="s">
        <v>24</v>
      </c>
      <c r="E51" s="160" t="s">
        <v>32</v>
      </c>
      <c r="F51" s="44"/>
      <c r="G51" s="44"/>
      <c r="H51" s="44"/>
      <c r="I51" s="44"/>
      <c r="J51" s="44"/>
      <c r="K51" s="44"/>
      <c r="L51" s="44"/>
      <c r="M51" s="44"/>
      <c r="N51" s="44"/>
      <c r="O51" s="44"/>
      <c r="P51" s="45"/>
      <c r="Q51" s="45"/>
    </row>
    <row r="52" spans="1:17" ht="42" customHeight="1">
      <c r="A52" s="48"/>
      <c r="B52" s="163" t="s">
        <v>266</v>
      </c>
      <c r="C52" s="158" t="s">
        <v>174</v>
      </c>
      <c r="D52" s="153" t="s">
        <v>24</v>
      </c>
      <c r="E52" s="160" t="s">
        <v>32</v>
      </c>
      <c r="F52" s="44"/>
      <c r="G52" s="44"/>
      <c r="H52" s="44"/>
      <c r="I52" s="44"/>
      <c r="J52" s="44"/>
      <c r="K52" s="44"/>
      <c r="L52" s="44"/>
      <c r="M52" s="44"/>
      <c r="N52" s="44"/>
      <c r="O52" s="44"/>
      <c r="P52" s="45"/>
      <c r="Q52" s="45"/>
    </row>
    <row r="53" spans="1:17">
      <c r="A53" s="48"/>
      <c r="B53" s="164"/>
      <c r="C53" s="158"/>
      <c r="D53" s="158"/>
      <c r="E53" s="160"/>
      <c r="F53" s="44"/>
      <c r="G53" s="44"/>
      <c r="H53" s="44"/>
      <c r="I53" s="44"/>
      <c r="J53" s="44"/>
      <c r="K53" s="44"/>
      <c r="L53" s="44"/>
      <c r="M53" s="44"/>
      <c r="N53" s="44"/>
      <c r="O53" s="44"/>
      <c r="P53" s="45"/>
      <c r="Q53" s="45"/>
    </row>
    <row r="54" spans="1:17" ht="14.25" thickBot="1">
      <c r="A54" s="48"/>
      <c r="B54" s="213" t="s">
        <v>43</v>
      </c>
      <c r="C54" s="213"/>
      <c r="D54" s="213"/>
      <c r="E54" s="213"/>
      <c r="F54" s="44"/>
      <c r="G54" s="44"/>
      <c r="H54" s="44"/>
      <c r="I54" s="44"/>
      <c r="J54" s="44"/>
      <c r="K54" s="44"/>
      <c r="L54" s="44"/>
      <c r="M54" s="44"/>
      <c r="N54" s="44"/>
      <c r="O54" s="44"/>
      <c r="P54" s="45"/>
      <c r="Q54" s="45"/>
    </row>
    <row r="55" spans="1:17" ht="14.25" thickBot="1">
      <c r="A55" s="48"/>
      <c r="B55" s="149" t="s">
        <v>27</v>
      </c>
      <c r="C55" s="149" t="s">
        <v>28</v>
      </c>
      <c r="D55" s="149" t="s">
        <v>21</v>
      </c>
      <c r="E55" s="149" t="s">
        <v>29</v>
      </c>
      <c r="F55" s="44"/>
      <c r="G55" s="44"/>
      <c r="H55" s="44"/>
      <c r="I55" s="44"/>
      <c r="J55" s="44"/>
      <c r="K55" s="44"/>
      <c r="L55" s="44"/>
      <c r="M55" s="44"/>
      <c r="N55" s="44"/>
      <c r="O55" s="44"/>
      <c r="P55" s="45"/>
      <c r="Q55" s="45"/>
    </row>
    <row r="56" spans="1:17" ht="40.5">
      <c r="A56" s="48"/>
      <c r="B56" s="165" t="s">
        <v>13</v>
      </c>
      <c r="C56" s="153" t="s">
        <v>44</v>
      </c>
      <c r="D56" s="153" t="s">
        <v>192</v>
      </c>
      <c r="E56" s="152" t="s">
        <v>32</v>
      </c>
      <c r="F56" s="44"/>
      <c r="G56" s="44"/>
      <c r="H56" s="44"/>
      <c r="I56" s="44"/>
      <c r="J56" s="44"/>
      <c r="K56" s="44"/>
      <c r="L56" s="44"/>
      <c r="M56" s="44"/>
      <c r="N56" s="44"/>
      <c r="O56" s="44"/>
      <c r="P56" s="45"/>
      <c r="Q56" s="45"/>
    </row>
    <row r="57" spans="1:17" ht="40.5">
      <c r="A57" s="48"/>
      <c r="B57" s="165" t="s">
        <v>14</v>
      </c>
      <c r="C57" s="153" t="s">
        <v>45</v>
      </c>
      <c r="D57" s="153" t="s">
        <v>192</v>
      </c>
      <c r="E57" s="152" t="s">
        <v>32</v>
      </c>
      <c r="F57" s="44"/>
      <c r="G57" s="44"/>
      <c r="H57" s="44"/>
      <c r="I57" s="44"/>
      <c r="J57" s="44"/>
      <c r="K57" s="44"/>
      <c r="L57" s="44"/>
      <c r="M57" s="44"/>
      <c r="N57" s="44"/>
      <c r="O57" s="44"/>
      <c r="P57" s="45"/>
      <c r="Q57" s="45"/>
    </row>
    <row r="58" spans="1:17" ht="27">
      <c r="A58" s="48"/>
      <c r="B58" s="165" t="s">
        <v>249</v>
      </c>
      <c r="C58" s="153" t="s">
        <v>251</v>
      </c>
      <c r="D58" s="153" t="s">
        <v>191</v>
      </c>
      <c r="E58" s="152" t="s">
        <v>32</v>
      </c>
      <c r="F58" s="44"/>
      <c r="G58" s="44"/>
      <c r="H58" s="44"/>
      <c r="I58" s="44"/>
      <c r="J58" s="44"/>
      <c r="K58" s="44"/>
      <c r="L58" s="44"/>
      <c r="M58" s="44"/>
      <c r="N58" s="44"/>
      <c r="O58" s="44"/>
      <c r="P58" s="45"/>
      <c r="Q58" s="45"/>
    </row>
    <row r="59" spans="1:17" ht="27">
      <c r="A59" s="48"/>
      <c r="B59" s="165" t="s">
        <v>15</v>
      </c>
      <c r="C59" s="153" t="s">
        <v>46</v>
      </c>
      <c r="D59" s="153" t="s">
        <v>191</v>
      </c>
      <c r="E59" s="152" t="s">
        <v>33</v>
      </c>
      <c r="F59" s="44"/>
      <c r="G59" s="44"/>
      <c r="H59" s="44"/>
      <c r="I59" s="44"/>
      <c r="J59" s="44"/>
      <c r="K59" s="44"/>
      <c r="L59" s="44"/>
      <c r="M59" s="44"/>
      <c r="N59" s="44"/>
      <c r="O59" s="44"/>
      <c r="P59" s="45"/>
      <c r="Q59" s="45"/>
    </row>
    <row r="60" spans="1:17" ht="27">
      <c r="A60" s="48"/>
      <c r="B60" s="165" t="s">
        <v>16</v>
      </c>
      <c r="C60" s="153" t="s">
        <v>175</v>
      </c>
      <c r="D60" s="153" t="s">
        <v>191</v>
      </c>
      <c r="E60" s="152" t="s">
        <v>32</v>
      </c>
      <c r="F60" s="44"/>
      <c r="G60" s="44"/>
      <c r="H60" s="44"/>
      <c r="I60" s="44"/>
      <c r="J60" s="44"/>
      <c r="K60" s="44"/>
      <c r="L60" s="44"/>
      <c r="M60" s="44"/>
      <c r="N60" s="44"/>
      <c r="O60" s="44"/>
      <c r="P60" s="45"/>
      <c r="Q60" s="45"/>
    </row>
    <row r="61" spans="1:17">
      <c r="A61" s="48"/>
      <c r="B61" s="153"/>
      <c r="C61" s="153"/>
      <c r="D61" s="153"/>
      <c r="E61" s="153"/>
      <c r="F61" s="44"/>
      <c r="G61" s="44"/>
      <c r="H61" s="44"/>
      <c r="I61" s="44"/>
      <c r="J61" s="44"/>
      <c r="K61" s="44"/>
      <c r="L61" s="44"/>
      <c r="M61" s="44"/>
      <c r="N61" s="44"/>
      <c r="O61" s="44"/>
      <c r="P61" s="45"/>
      <c r="Q61" s="45"/>
    </row>
    <row r="62" spans="1:17" ht="14.25" thickBot="1">
      <c r="A62" s="48"/>
      <c r="B62" s="213" t="s">
        <v>47</v>
      </c>
      <c r="C62" s="213"/>
      <c r="D62" s="213"/>
      <c r="E62" s="213"/>
      <c r="F62" s="44"/>
      <c r="G62" s="44"/>
      <c r="H62" s="44"/>
      <c r="I62" s="44"/>
      <c r="J62" s="44"/>
      <c r="K62" s="44"/>
      <c r="L62" s="44"/>
      <c r="M62" s="44"/>
      <c r="N62" s="44"/>
      <c r="O62" s="44"/>
      <c r="P62" s="45"/>
      <c r="Q62" s="45"/>
    </row>
    <row r="63" spans="1:17" ht="14.25" thickBot="1">
      <c r="A63" s="48"/>
      <c r="B63" s="213" t="s">
        <v>48</v>
      </c>
      <c r="C63" s="213"/>
      <c r="D63" s="213"/>
      <c r="E63" s="213"/>
      <c r="F63" s="44"/>
      <c r="G63" s="44"/>
      <c r="H63" s="44"/>
      <c r="I63" s="44"/>
      <c r="J63" s="44"/>
      <c r="K63" s="44"/>
      <c r="L63" s="44"/>
      <c r="M63" s="44"/>
      <c r="N63" s="44"/>
      <c r="O63" s="44"/>
      <c r="P63" s="45"/>
      <c r="Q63" s="45"/>
    </row>
    <row r="64" spans="1:17" ht="327" customHeight="1" thickBot="1">
      <c r="A64" s="48"/>
      <c r="B64" s="214" t="s">
        <v>252</v>
      </c>
      <c r="C64" s="214"/>
      <c r="D64" s="214"/>
      <c r="E64" s="214"/>
      <c r="F64" s="44"/>
      <c r="G64" s="44"/>
      <c r="H64" s="44"/>
      <c r="I64" s="44"/>
      <c r="J64" s="44"/>
      <c r="K64" s="44"/>
      <c r="L64" s="44"/>
      <c r="M64" s="44"/>
      <c r="N64" s="44"/>
      <c r="O64" s="44"/>
      <c r="P64" s="45"/>
      <c r="Q64" s="45"/>
    </row>
    <row r="65" spans="1:17" ht="24.75" customHeight="1" thickBot="1">
      <c r="A65" s="48"/>
      <c r="B65" s="166"/>
      <c r="C65" s="166"/>
      <c r="D65" s="166"/>
      <c r="E65" s="166"/>
      <c r="F65" s="44"/>
      <c r="G65" s="44"/>
      <c r="H65" s="44"/>
      <c r="I65" s="44"/>
      <c r="J65" s="44"/>
      <c r="K65" s="44"/>
      <c r="L65" s="44"/>
      <c r="M65" s="44"/>
      <c r="N65" s="44"/>
      <c r="O65" s="44"/>
      <c r="P65" s="45"/>
      <c r="Q65" s="45"/>
    </row>
    <row r="66" spans="1:17" ht="14.25" thickBot="1">
      <c r="A66" s="48"/>
      <c r="B66" s="149" t="s">
        <v>27</v>
      </c>
      <c r="C66" s="149" t="s">
        <v>28</v>
      </c>
      <c r="D66" s="149" t="s">
        <v>21</v>
      </c>
      <c r="E66" s="149" t="s">
        <v>29</v>
      </c>
      <c r="F66" s="44"/>
      <c r="G66" s="44"/>
      <c r="H66" s="44"/>
      <c r="I66" s="44"/>
      <c r="J66" s="44"/>
      <c r="K66" s="44"/>
      <c r="L66" s="44"/>
      <c r="M66" s="44"/>
      <c r="N66" s="44"/>
      <c r="O66" s="44"/>
      <c r="P66" s="45"/>
      <c r="Q66" s="45"/>
    </row>
    <row r="67" spans="1:17" ht="40.5">
      <c r="A67" s="48"/>
      <c r="B67" s="165" t="s">
        <v>17</v>
      </c>
      <c r="C67" s="153" t="s">
        <v>253</v>
      </c>
      <c r="D67" s="153" t="s">
        <v>192</v>
      </c>
      <c r="E67" s="152" t="s">
        <v>32</v>
      </c>
      <c r="F67" s="44"/>
      <c r="G67" s="44"/>
      <c r="H67" s="44"/>
      <c r="I67" s="44"/>
      <c r="J67" s="44"/>
      <c r="K67" s="44"/>
      <c r="L67" s="44"/>
      <c r="M67" s="44"/>
      <c r="N67" s="44"/>
      <c r="O67" s="44"/>
      <c r="P67" s="45"/>
      <c r="Q67" s="45"/>
    </row>
    <row r="68" spans="1:17" ht="40.5">
      <c r="A68" s="48"/>
      <c r="B68" s="165" t="s">
        <v>18</v>
      </c>
      <c r="C68" s="153" t="s">
        <v>176</v>
      </c>
      <c r="D68" s="153" t="s">
        <v>192</v>
      </c>
      <c r="E68" s="152" t="s">
        <v>32</v>
      </c>
      <c r="F68" s="44"/>
      <c r="G68" s="44"/>
      <c r="H68" s="44"/>
      <c r="I68" s="44"/>
      <c r="J68" s="44"/>
      <c r="K68" s="44"/>
      <c r="L68" s="44"/>
      <c r="M68" s="44"/>
      <c r="N68" s="44"/>
      <c r="O68" s="44"/>
      <c r="P68" s="45"/>
      <c r="Q68" s="45"/>
    </row>
    <row r="69" spans="1:17" ht="40.5">
      <c r="A69" s="48"/>
      <c r="B69" s="165" t="s">
        <v>19</v>
      </c>
      <c r="C69" s="153" t="s">
        <v>49</v>
      </c>
      <c r="D69" s="153" t="s">
        <v>192</v>
      </c>
      <c r="E69" s="152" t="s">
        <v>32</v>
      </c>
      <c r="F69" s="44"/>
      <c r="G69" s="44"/>
      <c r="H69" s="44"/>
      <c r="I69" s="44"/>
      <c r="J69" s="44"/>
      <c r="K69" s="44"/>
      <c r="L69" s="44"/>
      <c r="M69" s="44"/>
      <c r="N69" s="44"/>
      <c r="O69" s="44"/>
      <c r="P69" s="45"/>
      <c r="Q69" s="45"/>
    </row>
    <row r="70" spans="1:17" ht="40.5">
      <c r="A70" s="48"/>
      <c r="B70" s="165" t="s">
        <v>20</v>
      </c>
      <c r="C70" s="153" t="s">
        <v>50</v>
      </c>
      <c r="D70" s="153" t="s">
        <v>192</v>
      </c>
      <c r="E70" s="152" t="s">
        <v>32</v>
      </c>
      <c r="F70" s="44"/>
      <c r="G70" s="44"/>
      <c r="H70" s="44"/>
      <c r="I70" s="44"/>
      <c r="J70" s="44"/>
      <c r="K70" s="44"/>
      <c r="L70" s="44"/>
      <c r="M70" s="44"/>
      <c r="N70" s="44"/>
      <c r="O70" s="44"/>
      <c r="P70" s="45"/>
      <c r="Q70" s="45"/>
    </row>
    <row r="71" spans="1:17" ht="40.5">
      <c r="A71" s="48"/>
      <c r="B71" s="165" t="s">
        <v>223</v>
      </c>
      <c r="C71" s="153" t="s">
        <v>254</v>
      </c>
      <c r="D71" s="153" t="s">
        <v>192</v>
      </c>
      <c r="E71" s="152" t="s">
        <v>32</v>
      </c>
      <c r="F71" s="44"/>
      <c r="G71" s="44"/>
      <c r="H71" s="44"/>
      <c r="I71" s="44"/>
      <c r="J71" s="44"/>
      <c r="K71" s="44"/>
      <c r="L71" s="44"/>
      <c r="M71" s="44"/>
      <c r="N71" s="44"/>
      <c r="O71" s="44"/>
      <c r="P71" s="45"/>
      <c r="Q71" s="45"/>
    </row>
    <row r="72" spans="1:17" ht="40.5">
      <c r="A72" s="48"/>
      <c r="B72" s="165" t="s">
        <v>60</v>
      </c>
      <c r="C72" s="153" t="s">
        <v>255</v>
      </c>
      <c r="D72" s="153" t="s">
        <v>192</v>
      </c>
      <c r="E72" s="152" t="s">
        <v>32</v>
      </c>
      <c r="F72" s="44"/>
      <c r="G72" s="44"/>
      <c r="H72" s="44"/>
      <c r="I72" s="44"/>
      <c r="J72" s="44"/>
      <c r="K72" s="44"/>
      <c r="L72" s="44"/>
      <c r="M72" s="44"/>
      <c r="N72" s="44"/>
      <c r="O72" s="44"/>
      <c r="P72" s="45"/>
      <c r="Q72" s="45"/>
    </row>
    <row r="73" spans="1:17" ht="40.5">
      <c r="A73" s="48"/>
      <c r="B73" s="165" t="s">
        <v>54</v>
      </c>
      <c r="C73" s="231" t="s">
        <v>177</v>
      </c>
      <c r="D73" s="153" t="s">
        <v>192</v>
      </c>
      <c r="E73" s="152" t="s">
        <v>32</v>
      </c>
      <c r="F73" s="44"/>
      <c r="G73" s="44"/>
      <c r="H73" s="44"/>
      <c r="I73" s="44"/>
      <c r="J73" s="44"/>
      <c r="K73" s="44"/>
      <c r="L73" s="44"/>
      <c r="M73" s="44"/>
      <c r="N73" s="44"/>
      <c r="O73" s="44"/>
      <c r="P73" s="45"/>
      <c r="Q73" s="45"/>
    </row>
    <row r="74" spans="1:17" ht="40.5">
      <c r="A74" s="48"/>
      <c r="B74" s="165" t="s">
        <v>178</v>
      </c>
      <c r="C74" s="232"/>
      <c r="D74" s="153" t="s">
        <v>192</v>
      </c>
      <c r="E74" s="152" t="s">
        <v>32</v>
      </c>
      <c r="F74" s="44"/>
      <c r="G74" s="44"/>
      <c r="H74" s="44"/>
      <c r="I74" s="44"/>
      <c r="J74" s="44"/>
      <c r="K74" s="44"/>
      <c r="L74" s="44"/>
      <c r="M74" s="44"/>
      <c r="N74" s="44"/>
      <c r="O74" s="44"/>
      <c r="P74" s="45"/>
      <c r="Q74" s="45"/>
    </row>
    <row r="75" spans="1:17" ht="40.5">
      <c r="A75" s="48"/>
      <c r="B75" s="165" t="s">
        <v>224</v>
      </c>
      <c r="C75" s="153" t="s">
        <v>51</v>
      </c>
      <c r="D75" s="153" t="s">
        <v>192</v>
      </c>
      <c r="E75" s="152" t="s">
        <v>32</v>
      </c>
      <c r="F75" s="44"/>
      <c r="G75" s="44"/>
      <c r="H75" s="44"/>
      <c r="I75" s="44"/>
      <c r="J75" s="44"/>
      <c r="K75" s="44"/>
      <c r="L75" s="44"/>
      <c r="M75" s="44"/>
      <c r="N75" s="44"/>
      <c r="O75" s="44"/>
      <c r="P75" s="45"/>
      <c r="Q75" s="45"/>
    </row>
    <row r="76" spans="1:17" ht="40.5">
      <c r="A76" s="48"/>
      <c r="B76" s="165" t="s">
        <v>22</v>
      </c>
      <c r="C76" s="153" t="s">
        <v>52</v>
      </c>
      <c r="D76" s="153" t="s">
        <v>192</v>
      </c>
      <c r="E76" s="152" t="s">
        <v>32</v>
      </c>
      <c r="F76" s="44"/>
      <c r="G76" s="44"/>
      <c r="H76" s="44"/>
      <c r="I76" s="44"/>
      <c r="J76" s="44"/>
      <c r="K76" s="44"/>
      <c r="L76" s="44"/>
      <c r="M76" s="44"/>
      <c r="N76" s="44"/>
      <c r="O76" s="44"/>
      <c r="P76" s="45"/>
      <c r="Q76" s="45"/>
    </row>
    <row r="77" spans="1:17">
      <c r="A77" s="48"/>
      <c r="B77" s="158"/>
      <c r="C77" s="158"/>
      <c r="D77" s="158"/>
      <c r="E77" s="158"/>
      <c r="F77" s="44"/>
      <c r="G77" s="44"/>
      <c r="H77" s="44"/>
      <c r="I77" s="44"/>
      <c r="J77" s="44"/>
      <c r="K77" s="44"/>
      <c r="L77" s="44"/>
      <c r="M77" s="44"/>
      <c r="N77" s="44"/>
      <c r="O77" s="44"/>
      <c r="P77" s="45"/>
      <c r="Q77" s="45"/>
    </row>
    <row r="78" spans="1:17">
      <c r="A78" s="48"/>
      <c r="B78" s="158"/>
      <c r="C78" s="158"/>
      <c r="D78" s="158"/>
      <c r="E78" s="158"/>
      <c r="F78" s="44"/>
      <c r="G78" s="44"/>
      <c r="H78" s="44"/>
      <c r="I78" s="44"/>
      <c r="J78" s="44"/>
      <c r="K78" s="44"/>
      <c r="L78" s="44"/>
      <c r="M78" s="44"/>
      <c r="N78" s="44"/>
      <c r="O78" s="44"/>
      <c r="P78" s="45"/>
      <c r="Q78" s="45"/>
    </row>
    <row r="79" spans="1:17">
      <c r="A79" s="48"/>
      <c r="B79" s="158"/>
      <c r="C79" s="158"/>
      <c r="D79" s="158"/>
      <c r="E79" s="158"/>
      <c r="F79" s="44"/>
      <c r="G79" s="44"/>
      <c r="H79" s="44"/>
      <c r="I79" s="44"/>
      <c r="J79" s="44"/>
      <c r="K79" s="44"/>
      <c r="L79" s="44"/>
      <c r="M79" s="44"/>
      <c r="N79" s="44"/>
      <c r="O79" s="44"/>
      <c r="P79" s="45"/>
      <c r="Q79" s="45"/>
    </row>
    <row r="80" spans="1:17">
      <c r="A80" s="48"/>
      <c r="B80" s="158"/>
      <c r="C80" s="158"/>
      <c r="D80" s="158"/>
      <c r="E80" s="158"/>
      <c r="F80" s="44"/>
      <c r="G80" s="44"/>
      <c r="H80" s="44"/>
      <c r="I80" s="44"/>
      <c r="J80" s="44"/>
      <c r="K80" s="44"/>
      <c r="L80" s="44"/>
      <c r="M80" s="44"/>
      <c r="N80" s="44"/>
      <c r="O80" s="44"/>
      <c r="P80" s="45"/>
      <c r="Q80" s="45"/>
    </row>
    <row r="81" spans="1:17" ht="14.25" thickBot="1">
      <c r="A81" s="48"/>
      <c r="B81" s="213" t="s">
        <v>53</v>
      </c>
      <c r="C81" s="213"/>
      <c r="D81" s="213"/>
      <c r="E81" s="213"/>
      <c r="F81" s="44"/>
      <c r="G81" s="44"/>
      <c r="H81" s="44"/>
      <c r="I81" s="44"/>
      <c r="J81" s="44"/>
      <c r="K81" s="44"/>
      <c r="L81" s="44"/>
      <c r="M81" s="44"/>
      <c r="N81" s="44"/>
      <c r="O81" s="44"/>
      <c r="P81" s="45"/>
      <c r="Q81" s="45"/>
    </row>
    <row r="82" spans="1:17" ht="14.25" thickBot="1">
      <c r="A82" s="48"/>
      <c r="B82" s="213" t="s">
        <v>48</v>
      </c>
      <c r="C82" s="213"/>
      <c r="D82" s="213"/>
      <c r="E82" s="213"/>
      <c r="F82" s="44"/>
      <c r="G82" s="44"/>
      <c r="H82" s="44"/>
      <c r="I82" s="44"/>
      <c r="J82" s="44"/>
      <c r="K82" s="44"/>
      <c r="L82" s="44"/>
      <c r="M82" s="44"/>
      <c r="N82" s="44"/>
      <c r="O82" s="44"/>
      <c r="P82" s="45"/>
      <c r="Q82" s="45"/>
    </row>
    <row r="83" spans="1:17" ht="62.25" customHeight="1" thickBot="1">
      <c r="A83" s="48"/>
      <c r="B83" s="214" t="s">
        <v>269</v>
      </c>
      <c r="C83" s="214"/>
      <c r="D83" s="214"/>
      <c r="E83" s="214"/>
      <c r="F83" s="44"/>
      <c r="G83" s="44"/>
      <c r="H83" s="44"/>
      <c r="I83" s="44"/>
      <c r="J83" s="44"/>
      <c r="K83" s="44"/>
      <c r="L83" s="44"/>
      <c r="M83" s="44"/>
      <c r="N83" s="44"/>
      <c r="O83" s="44"/>
      <c r="P83" s="45"/>
      <c r="Q83" s="45"/>
    </row>
    <row r="84" spans="1:17" ht="26.25" customHeight="1">
      <c r="A84" s="48"/>
      <c r="B84" s="167" t="s">
        <v>268</v>
      </c>
      <c r="C84" s="168" t="s">
        <v>193</v>
      </c>
      <c r="D84" s="153" t="s">
        <v>24</v>
      </c>
      <c r="E84" s="152" t="s">
        <v>32</v>
      </c>
      <c r="F84" s="44"/>
      <c r="G84" s="44"/>
      <c r="H84" s="44"/>
      <c r="I84" s="44"/>
      <c r="J84" s="44"/>
      <c r="K84" s="44"/>
      <c r="L84" s="44"/>
      <c r="M84" s="44"/>
      <c r="N84" s="44"/>
      <c r="O84" s="44"/>
      <c r="P84" s="45"/>
      <c r="Q84" s="45"/>
    </row>
    <row r="85" spans="1:17" ht="27">
      <c r="A85" s="48"/>
      <c r="B85" s="167" t="s">
        <v>151</v>
      </c>
      <c r="C85" s="153" t="s">
        <v>271</v>
      </c>
      <c r="D85" s="153" t="s">
        <v>264</v>
      </c>
      <c r="E85" s="152" t="s">
        <v>32</v>
      </c>
      <c r="F85" s="44"/>
      <c r="G85" s="44"/>
      <c r="H85" s="44"/>
      <c r="I85" s="44"/>
      <c r="J85" s="44"/>
      <c r="K85" s="44"/>
      <c r="L85" s="44"/>
      <c r="M85" s="44"/>
      <c r="N85" s="44"/>
      <c r="O85" s="44"/>
      <c r="P85" s="45"/>
      <c r="Q85" s="45"/>
    </row>
    <row r="86" spans="1:17">
      <c r="A86" s="48"/>
      <c r="B86" s="167" t="s">
        <v>171</v>
      </c>
      <c r="C86" s="153" t="s">
        <v>270</v>
      </c>
      <c r="D86" s="153" t="s">
        <v>31</v>
      </c>
      <c r="E86" s="152" t="s">
        <v>32</v>
      </c>
      <c r="F86" s="44"/>
      <c r="G86" s="44"/>
      <c r="H86" s="44"/>
      <c r="I86" s="44"/>
      <c r="J86" s="44"/>
      <c r="K86" s="44"/>
      <c r="L86" s="44"/>
      <c r="M86" s="44"/>
      <c r="N86" s="44"/>
      <c r="O86" s="44"/>
      <c r="P86" s="45"/>
      <c r="Q86" s="45"/>
    </row>
    <row r="87" spans="1:17" ht="27">
      <c r="A87" s="48"/>
      <c r="B87" s="167" t="s">
        <v>292</v>
      </c>
      <c r="C87" s="153" t="s">
        <v>294</v>
      </c>
      <c r="D87" s="153" t="s">
        <v>264</v>
      </c>
      <c r="E87" s="152" t="s">
        <v>33</v>
      </c>
      <c r="F87" s="44"/>
      <c r="G87" s="44"/>
      <c r="H87" s="44"/>
      <c r="I87" s="44"/>
      <c r="J87" s="44"/>
      <c r="K87" s="44"/>
      <c r="L87" s="44"/>
      <c r="M87" s="44"/>
      <c r="N87" s="44"/>
      <c r="O87" s="44"/>
    </row>
    <row r="88" spans="1:17" ht="30.75" customHeight="1" thickBot="1">
      <c r="A88" s="44"/>
      <c r="B88" s="213" t="s">
        <v>291</v>
      </c>
      <c r="C88" s="213"/>
      <c r="D88" s="213"/>
      <c r="E88" s="213"/>
      <c r="F88" s="44"/>
      <c r="G88" s="44"/>
      <c r="H88" s="44"/>
      <c r="I88" s="44"/>
      <c r="J88" s="44"/>
      <c r="K88" s="44"/>
      <c r="L88" s="44"/>
      <c r="M88" s="44"/>
      <c r="N88" s="44"/>
      <c r="O88" s="44"/>
    </row>
    <row r="89" spans="1:17" ht="30.75" customHeight="1" thickBot="1">
      <c r="A89" s="44"/>
      <c r="B89" s="214" t="s">
        <v>293</v>
      </c>
      <c r="C89" s="214"/>
      <c r="D89" s="214"/>
      <c r="E89" s="214"/>
      <c r="F89" s="44"/>
      <c r="G89" s="44"/>
      <c r="H89" s="44"/>
      <c r="I89" s="44"/>
      <c r="J89" s="44"/>
      <c r="K89" s="44"/>
      <c r="L89" s="44"/>
      <c r="M89" s="44"/>
      <c r="N89" s="44"/>
      <c r="O89" s="44"/>
    </row>
    <row r="90" spans="1:17" ht="30.75" customHeight="1">
      <c r="A90" s="44"/>
      <c r="B90" s="49"/>
      <c r="C90" s="44"/>
      <c r="D90" s="44"/>
      <c r="E90" s="44"/>
      <c r="F90" s="44"/>
      <c r="G90" s="44"/>
      <c r="H90" s="44"/>
      <c r="I90" s="44"/>
      <c r="J90" s="44"/>
      <c r="K90" s="44"/>
      <c r="L90" s="44"/>
      <c r="M90" s="44"/>
      <c r="N90" s="44"/>
      <c r="O90" s="44"/>
    </row>
    <row r="91" spans="1:17" ht="30.75" customHeight="1">
      <c r="A91" s="44"/>
      <c r="B91" s="49"/>
      <c r="C91" s="44"/>
      <c r="D91" s="44"/>
      <c r="E91" s="44"/>
      <c r="F91" s="44"/>
      <c r="G91" s="44"/>
      <c r="H91" s="44"/>
      <c r="I91" s="44"/>
      <c r="J91" s="44"/>
      <c r="K91" s="44"/>
      <c r="L91" s="44"/>
      <c r="M91" s="44"/>
      <c r="N91" s="44"/>
      <c r="O91" s="44"/>
    </row>
    <row r="92" spans="1:17" ht="30.75" customHeight="1">
      <c r="A92" s="44"/>
      <c r="B92" s="49"/>
      <c r="C92" s="44"/>
      <c r="D92" s="44"/>
      <c r="E92" s="44"/>
      <c r="F92" s="44"/>
      <c r="G92" s="44"/>
      <c r="H92" s="44"/>
      <c r="I92" s="44"/>
      <c r="J92" s="44"/>
      <c r="K92" s="44"/>
      <c r="L92" s="44"/>
      <c r="M92" s="44"/>
      <c r="N92" s="44"/>
      <c r="O92" s="44"/>
    </row>
    <row r="93" spans="1:17" ht="30.75" customHeight="1">
      <c r="A93" s="44"/>
      <c r="B93" s="49"/>
      <c r="C93" s="44"/>
      <c r="D93" s="44"/>
      <c r="E93" s="44"/>
      <c r="F93" s="44"/>
      <c r="G93" s="44"/>
      <c r="H93" s="44"/>
      <c r="I93" s="44"/>
      <c r="J93" s="44"/>
      <c r="K93" s="44"/>
      <c r="L93" s="44"/>
      <c r="M93" s="44"/>
      <c r="N93" s="44"/>
      <c r="O93" s="44"/>
    </row>
    <row r="94" spans="1:17" ht="30.75" customHeight="1">
      <c r="A94" s="44"/>
      <c r="B94" s="49"/>
      <c r="C94" s="44"/>
      <c r="D94" s="44"/>
      <c r="E94" s="44"/>
      <c r="F94" s="44"/>
      <c r="G94" s="44"/>
      <c r="H94" s="44"/>
      <c r="I94" s="44"/>
      <c r="J94" s="44"/>
      <c r="K94" s="44"/>
      <c r="L94" s="44"/>
      <c r="M94" s="44"/>
      <c r="N94" s="44"/>
      <c r="O94" s="44"/>
    </row>
    <row r="95" spans="1:17" ht="30.75" customHeight="1">
      <c r="A95" s="44"/>
      <c r="B95" s="49"/>
      <c r="C95" s="44"/>
      <c r="D95" s="44"/>
      <c r="E95" s="44"/>
      <c r="F95" s="44"/>
      <c r="G95" s="44"/>
      <c r="H95" s="44"/>
      <c r="I95" s="44"/>
      <c r="J95" s="44"/>
      <c r="K95" s="44"/>
      <c r="L95" s="44"/>
      <c r="M95" s="44"/>
      <c r="N95" s="44"/>
      <c r="O95" s="44"/>
    </row>
    <row r="96" spans="1:17" ht="30.75" customHeight="1">
      <c r="A96" s="44"/>
      <c r="B96" s="49"/>
      <c r="C96" s="44"/>
      <c r="D96" s="44"/>
      <c r="E96" s="44"/>
      <c r="F96" s="44"/>
      <c r="G96" s="44"/>
      <c r="H96" s="44"/>
      <c r="I96" s="44"/>
      <c r="J96" s="44"/>
      <c r="K96" s="44"/>
      <c r="L96" s="44"/>
      <c r="M96" s="44"/>
      <c r="N96" s="44"/>
      <c r="O96" s="44"/>
    </row>
    <row r="97" spans="1:15" ht="30.75" customHeight="1">
      <c r="A97" s="44"/>
      <c r="B97" s="49"/>
      <c r="C97" s="44"/>
      <c r="D97" s="44"/>
      <c r="E97" s="44"/>
      <c r="F97" s="44"/>
      <c r="G97" s="44"/>
      <c r="H97" s="44"/>
      <c r="I97" s="44"/>
      <c r="J97" s="44"/>
      <c r="K97" s="44"/>
      <c r="L97" s="44"/>
      <c r="M97" s="44"/>
      <c r="N97" s="44"/>
      <c r="O97" s="44"/>
    </row>
    <row r="98" spans="1:15" ht="30.75" customHeight="1">
      <c r="A98" s="44"/>
      <c r="B98" s="49"/>
      <c r="C98" s="44"/>
      <c r="D98" s="44"/>
      <c r="E98" s="44"/>
      <c r="F98" s="44"/>
      <c r="G98" s="44"/>
      <c r="H98" s="44"/>
      <c r="I98" s="44"/>
      <c r="J98" s="44"/>
      <c r="K98" s="44"/>
      <c r="L98" s="44"/>
      <c r="M98" s="44"/>
      <c r="N98" s="44"/>
      <c r="O98" s="44"/>
    </row>
    <row r="99" spans="1:15" ht="30.75" customHeight="1">
      <c r="A99" s="44"/>
      <c r="B99" s="49"/>
      <c r="C99" s="44"/>
      <c r="D99" s="44"/>
      <c r="E99" s="44"/>
      <c r="F99" s="44"/>
      <c r="G99" s="44"/>
      <c r="H99" s="44"/>
      <c r="I99" s="44"/>
      <c r="J99" s="44"/>
      <c r="K99" s="44"/>
      <c r="L99" s="44"/>
      <c r="M99" s="44"/>
      <c r="N99" s="44"/>
      <c r="O99" s="44"/>
    </row>
    <row r="100" spans="1:15" ht="30.75" customHeight="1">
      <c r="A100" s="44"/>
      <c r="B100" s="49"/>
      <c r="C100" s="44"/>
      <c r="D100" s="44"/>
      <c r="E100" s="44"/>
      <c r="F100" s="44"/>
      <c r="G100" s="44"/>
      <c r="H100" s="44"/>
      <c r="I100" s="44"/>
      <c r="J100" s="44"/>
      <c r="K100" s="44"/>
      <c r="L100" s="44"/>
      <c r="M100" s="44"/>
      <c r="N100" s="44"/>
      <c r="O100" s="44"/>
    </row>
    <row r="101" spans="1:15" ht="30.75" customHeight="1">
      <c r="A101" s="44"/>
      <c r="B101" s="49"/>
      <c r="C101" s="44"/>
      <c r="D101" s="44"/>
      <c r="E101" s="44"/>
      <c r="F101" s="44"/>
      <c r="G101" s="44"/>
      <c r="H101" s="44"/>
      <c r="I101" s="44"/>
      <c r="J101" s="44"/>
      <c r="K101" s="44"/>
      <c r="L101" s="44"/>
      <c r="M101" s="44"/>
      <c r="N101" s="44"/>
      <c r="O101" s="44"/>
    </row>
    <row r="102" spans="1:15" ht="30.75" customHeight="1">
      <c r="A102" s="44"/>
      <c r="B102" s="49"/>
      <c r="C102" s="44"/>
      <c r="D102" s="44"/>
      <c r="E102" s="44"/>
      <c r="F102" s="44"/>
      <c r="G102" s="44"/>
      <c r="H102" s="44"/>
      <c r="I102" s="44"/>
      <c r="J102" s="44"/>
      <c r="K102" s="44"/>
      <c r="L102" s="44"/>
      <c r="M102" s="44"/>
      <c r="N102" s="44"/>
      <c r="O102" s="44"/>
    </row>
    <row r="103" spans="1:15" ht="30.75" customHeight="1">
      <c r="A103" s="44"/>
      <c r="B103" s="49"/>
      <c r="C103" s="44"/>
      <c r="D103" s="44"/>
      <c r="E103" s="44"/>
      <c r="F103" s="44"/>
      <c r="G103" s="44"/>
      <c r="H103" s="44"/>
      <c r="I103" s="44"/>
      <c r="J103" s="44"/>
      <c r="K103" s="44"/>
      <c r="L103" s="44"/>
      <c r="M103" s="44"/>
      <c r="N103" s="44"/>
      <c r="O103" s="44"/>
    </row>
    <row r="104" spans="1:15" ht="30.75" customHeight="1">
      <c r="A104" s="44"/>
      <c r="B104" s="49"/>
      <c r="C104" s="44"/>
      <c r="D104" s="44"/>
      <c r="E104" s="44"/>
      <c r="F104" s="44"/>
      <c r="G104" s="44"/>
      <c r="H104" s="44"/>
      <c r="I104" s="44"/>
      <c r="J104" s="44"/>
      <c r="K104" s="44"/>
      <c r="L104" s="44"/>
      <c r="M104" s="44"/>
      <c r="N104" s="44"/>
      <c r="O104" s="44"/>
    </row>
    <row r="105" spans="1:15" ht="30.75" customHeight="1">
      <c r="A105" s="44"/>
      <c r="B105" s="49"/>
      <c r="C105" s="44"/>
      <c r="D105" s="44"/>
      <c r="E105" s="44"/>
      <c r="F105" s="44"/>
      <c r="G105" s="44"/>
      <c r="H105" s="44"/>
      <c r="I105" s="44"/>
      <c r="J105" s="44"/>
      <c r="K105" s="44"/>
      <c r="L105" s="44"/>
      <c r="M105" s="44"/>
      <c r="N105" s="44"/>
      <c r="O105" s="44"/>
    </row>
    <row r="106" spans="1:15" ht="30.75" customHeight="1">
      <c r="A106" s="44"/>
      <c r="B106" s="49"/>
      <c r="C106" s="44"/>
      <c r="D106" s="44"/>
      <c r="E106" s="44"/>
      <c r="F106" s="44"/>
      <c r="G106" s="44"/>
      <c r="H106" s="44"/>
      <c r="I106" s="44"/>
      <c r="J106" s="44"/>
      <c r="K106" s="44"/>
      <c r="L106" s="44"/>
      <c r="M106" s="44"/>
      <c r="N106" s="44"/>
      <c r="O106" s="44"/>
    </row>
    <row r="107" spans="1:15" ht="30.75" customHeight="1">
      <c r="A107" s="44"/>
      <c r="B107" s="49"/>
      <c r="C107" s="44"/>
      <c r="D107" s="44"/>
      <c r="E107" s="44"/>
      <c r="F107" s="44"/>
      <c r="G107" s="44"/>
      <c r="H107" s="44"/>
      <c r="I107" s="44"/>
      <c r="J107" s="44"/>
      <c r="K107" s="44"/>
      <c r="L107" s="44"/>
      <c r="M107" s="44"/>
      <c r="N107" s="44"/>
      <c r="O107" s="44"/>
    </row>
    <row r="108" spans="1:15" ht="30.75" customHeight="1">
      <c r="A108" s="44"/>
      <c r="B108" s="49"/>
      <c r="C108" s="44"/>
      <c r="D108" s="44"/>
      <c r="E108" s="44"/>
      <c r="F108" s="44"/>
      <c r="G108" s="44"/>
      <c r="H108" s="44"/>
      <c r="I108" s="44"/>
      <c r="J108" s="44"/>
      <c r="K108" s="44"/>
      <c r="L108" s="44"/>
      <c r="M108" s="44"/>
      <c r="N108" s="44"/>
      <c r="O108" s="44"/>
    </row>
    <row r="109" spans="1:15" ht="30.75" customHeight="1">
      <c r="A109" s="44"/>
      <c r="B109" s="49"/>
      <c r="C109" s="44"/>
      <c r="D109" s="44"/>
      <c r="E109" s="44"/>
      <c r="F109" s="44"/>
      <c r="G109" s="44"/>
      <c r="H109" s="44"/>
      <c r="I109" s="44"/>
      <c r="J109" s="44"/>
      <c r="K109" s="44"/>
      <c r="L109" s="44"/>
      <c r="M109" s="44"/>
      <c r="N109" s="44"/>
      <c r="O109" s="44"/>
    </row>
    <row r="110" spans="1:15" ht="30.75" customHeight="1">
      <c r="A110" s="44"/>
      <c r="B110" s="49"/>
      <c r="C110" s="44"/>
      <c r="D110" s="44"/>
      <c r="E110" s="44"/>
      <c r="F110" s="44"/>
      <c r="G110" s="44"/>
      <c r="H110" s="44"/>
      <c r="I110" s="44"/>
      <c r="J110" s="44"/>
      <c r="K110" s="44"/>
      <c r="L110" s="44"/>
      <c r="M110" s="44"/>
      <c r="N110" s="44"/>
      <c r="O110" s="44"/>
    </row>
    <row r="111" spans="1:15" ht="30.75" customHeight="1">
      <c r="A111" s="44"/>
      <c r="B111" s="49"/>
      <c r="C111" s="44"/>
      <c r="D111" s="44"/>
      <c r="E111" s="44"/>
      <c r="F111" s="44"/>
      <c r="G111" s="44"/>
      <c r="H111" s="44"/>
      <c r="I111" s="44"/>
      <c r="J111" s="44"/>
      <c r="K111" s="44"/>
      <c r="L111" s="44"/>
      <c r="M111" s="44"/>
      <c r="N111" s="44"/>
      <c r="O111" s="44"/>
    </row>
    <row r="112" spans="1:15" ht="30.75" customHeight="1">
      <c r="A112" s="44"/>
      <c r="B112" s="49"/>
      <c r="C112" s="44"/>
      <c r="D112" s="44"/>
      <c r="E112" s="44"/>
      <c r="F112" s="44"/>
    </row>
    <row r="113" spans="1:6" ht="30.75" customHeight="1">
      <c r="A113" s="44"/>
      <c r="B113" s="49"/>
      <c r="C113" s="44"/>
      <c r="D113" s="44"/>
      <c r="E113" s="44"/>
      <c r="F113" s="44"/>
    </row>
    <row r="114" spans="1:6" ht="30.75" customHeight="1">
      <c r="A114" s="44"/>
      <c r="B114" s="49"/>
      <c r="C114" s="44"/>
      <c r="D114" s="44"/>
      <c r="E114" s="44"/>
      <c r="F114" s="44"/>
    </row>
    <row r="115" spans="1:6" ht="30.75" customHeight="1">
      <c r="A115" s="44"/>
      <c r="B115" s="49"/>
      <c r="D115" s="44"/>
      <c r="E115" s="44"/>
      <c r="F115" s="44"/>
    </row>
    <row r="116" spans="1:6" ht="30.75" customHeight="1">
      <c r="A116" s="44"/>
      <c r="B116" s="49"/>
      <c r="D116" s="44"/>
      <c r="E116" s="44"/>
      <c r="F116" s="44"/>
    </row>
    <row r="117" spans="1:6" ht="30.75" customHeight="1">
      <c r="A117" s="44"/>
      <c r="B117" s="49"/>
      <c r="D117" s="44"/>
      <c r="E117" s="44"/>
      <c r="F117" s="44"/>
    </row>
    <row r="118" spans="1:6" ht="30.75" customHeight="1">
      <c r="A118" s="44"/>
      <c r="B118" s="49"/>
      <c r="D118" s="44"/>
      <c r="F118" s="44"/>
    </row>
    <row r="119" spans="1:6">
      <c r="A119" s="44"/>
      <c r="B119" s="49"/>
    </row>
    <row r="120" spans="1:6">
      <c r="B120" s="49"/>
    </row>
    <row r="121" spans="1:6">
      <c r="B121" s="49"/>
    </row>
    <row r="122" spans="1:6">
      <c r="B122" s="49"/>
    </row>
  </sheetData>
  <sheetProtection algorithmName="SHA-512" hashValue="1aH7TaMzDtKZD6iwIKCCrENFJn9fEMzBIoN1RJ1ABqfzCU4tdSo/4A3ULLlZUew24aNPfsu+AER6W43KEGhN5w==" saltValue="vYmEsxzanlwiCWjkOWxeZQ==" spinCount="100000" sheet="1" objects="1" scenarios="1"/>
  <customSheetViews>
    <customSheetView guid="{77A8CDE7-0C4B-4AA6-8C4B-62BFC960DC0D}" showPageBreaks="1" printArea="1" topLeftCell="A74">
      <selection activeCell="C93" sqref="C93"/>
      <pageMargins left="0.19685039370078741" right="0.19685039370078741" top="0.39370078740157483" bottom="0.74803149606299213" header="0.31496062992125984" footer="0.31496062992125984"/>
      <pageSetup scale="61" orientation="portrait" r:id="rId1"/>
      <headerFooter>
        <oddFooter>&amp;C&amp;P de&amp;N</oddFooter>
      </headerFooter>
    </customSheetView>
  </customSheetViews>
  <mergeCells count="15">
    <mergeCell ref="B88:E88"/>
    <mergeCell ref="B89:E89"/>
    <mergeCell ref="B83:E83"/>
    <mergeCell ref="B2:E2"/>
    <mergeCell ref="B3:E6"/>
    <mergeCell ref="B7:E7"/>
    <mergeCell ref="B8:E8"/>
    <mergeCell ref="B9:E9"/>
    <mergeCell ref="B54:E54"/>
    <mergeCell ref="B62:E62"/>
    <mergeCell ref="B63:E63"/>
    <mergeCell ref="B64:E64"/>
    <mergeCell ref="B81:E81"/>
    <mergeCell ref="B82:E82"/>
    <mergeCell ref="C73:C74"/>
  </mergeCells>
  <dataValidations count="3">
    <dataValidation allowBlank="1" showInputMessage="1" showErrorMessage="1" promptTitle="Indetificador de el SAT" prompt="Mensaje" sqref="B2:B3 B62:B66 B54:B55 B7:B11 B81:B83 B88:B89"/>
    <dataValidation allowBlank="1" showInputMessage="1" promptTitle="Prioridad" prompt="Selecciona la prioridad tomando encuenta factores como el tipo de ambiente, si requiere ventana, etc." sqref="C29 C38"/>
    <dataValidation allowBlank="1" showInputMessage="1" showErrorMessage="1" promptTitle="Objetivo" prompt="Qué vas hacer? Qué se pretende hacer con el cambio. _x000a_Debe describir de manera concreta lo que se hará en la ventana iniciando con un verbo en infinitivo (instalar, copiar, elimianar, etc), qué, dónde, a quién." sqref="B17"/>
  </dataValidations>
  <pageMargins left="0.19685039370078741" right="0.19685039370078741" top="0.39370078740157483" bottom="0.74803149606299213" header="0.31496062992125984" footer="0.31496062992125984"/>
  <pageSetup scale="61" orientation="portrait" r:id="rId2"/>
  <headerFooter>
    <oddFooter>&amp;C&amp;P de&amp;N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Q2"/>
  <sheetViews>
    <sheetView zoomScale="80" zoomScaleNormal="80" workbookViewId="0">
      <selection activeCell="H2" sqref="H2"/>
    </sheetView>
  </sheetViews>
  <sheetFormatPr defaultColWidth="9.140625" defaultRowHeight="15"/>
  <cols>
    <col min="1" max="1" width="12.5703125" customWidth="1"/>
    <col min="5" max="5" width="20.140625" customWidth="1"/>
    <col min="6" max="6" width="19.140625" customWidth="1"/>
    <col min="7" max="7" width="19.85546875" customWidth="1"/>
    <col min="8" max="8" width="12.42578125" customWidth="1"/>
    <col min="9" max="9" width="16.140625" customWidth="1"/>
    <col min="11" max="11" width="15.7109375" customWidth="1"/>
    <col min="12" max="12" width="11" customWidth="1"/>
    <col min="13" max="13" width="13.42578125" customWidth="1"/>
    <col min="15" max="15" width="17.42578125" customWidth="1"/>
    <col min="16" max="16" width="12.85546875" customWidth="1"/>
    <col min="17" max="17" width="15.85546875" customWidth="1"/>
    <col min="18" max="18" width="18.42578125" customWidth="1"/>
    <col min="19" max="19" width="15.85546875" customWidth="1"/>
    <col min="20" max="20" width="22.42578125" customWidth="1"/>
    <col min="21" max="21" width="18.5703125" customWidth="1"/>
    <col min="22" max="22" width="20.7109375" customWidth="1"/>
    <col min="23" max="23" width="27.42578125" customWidth="1"/>
    <col min="24" max="24" width="25" customWidth="1"/>
    <col min="25" max="25" width="25.7109375" customWidth="1"/>
    <col min="26" max="26" width="20.7109375" customWidth="1"/>
    <col min="27" max="27" width="24.28515625" customWidth="1"/>
    <col min="28" max="28" width="16.85546875" customWidth="1"/>
    <col min="29" max="29" width="14.140625" customWidth="1"/>
    <col min="30" max="30" width="13.42578125" customWidth="1"/>
    <col min="31" max="31" width="13.7109375" customWidth="1"/>
    <col min="32" max="32" width="11.140625" customWidth="1"/>
    <col min="33" max="33" width="13" customWidth="1"/>
    <col min="34" max="34" width="11.85546875" customWidth="1"/>
    <col min="35" max="35" width="30.5703125" customWidth="1"/>
    <col min="36" max="36" width="16.7109375" customWidth="1"/>
    <col min="37" max="37" width="15.7109375" customWidth="1"/>
    <col min="40" max="40" width="14" customWidth="1"/>
    <col min="42" max="42" width="12" customWidth="1"/>
    <col min="50" max="50" width="12.28515625" customWidth="1"/>
    <col min="51" max="51" width="14.5703125" customWidth="1"/>
    <col min="52" max="52" width="14.28515625" customWidth="1"/>
    <col min="53" max="53" width="19" customWidth="1"/>
    <col min="55" max="55" width="14.5703125" customWidth="1"/>
    <col min="59" max="59" width="16.7109375" customWidth="1"/>
    <col min="62" max="62" width="14.42578125" customWidth="1"/>
    <col min="63" max="63" width="14.7109375" customWidth="1"/>
    <col min="64" max="64" width="15.42578125" customWidth="1"/>
    <col min="65" max="65" width="21.5703125" customWidth="1"/>
    <col min="67" max="67" width="13.42578125" customWidth="1"/>
    <col min="68" max="68" width="15" customWidth="1"/>
  </cols>
  <sheetData>
    <row r="1" spans="1:69" ht="45">
      <c r="A1" s="1" t="s">
        <v>81</v>
      </c>
      <c r="B1" s="1" t="s">
        <v>82</v>
      </c>
      <c r="C1" s="1" t="s">
        <v>83</v>
      </c>
      <c r="D1" s="1" t="s">
        <v>84</v>
      </c>
      <c r="E1" s="1" t="s">
        <v>85</v>
      </c>
      <c r="F1" s="1" t="s">
        <v>86</v>
      </c>
      <c r="G1" s="1" t="s">
        <v>87</v>
      </c>
      <c r="H1" s="1" t="s">
        <v>88</v>
      </c>
      <c r="I1" s="1" t="s">
        <v>89</v>
      </c>
      <c r="J1" s="1" t="s">
        <v>90</v>
      </c>
      <c r="K1" s="1" t="s">
        <v>91</v>
      </c>
      <c r="L1" s="1" t="s">
        <v>92</v>
      </c>
      <c r="M1" s="1" t="s">
        <v>93</v>
      </c>
      <c r="N1" s="1" t="s">
        <v>94</v>
      </c>
      <c r="O1" s="1" t="s">
        <v>95</v>
      </c>
      <c r="P1" s="1" t="s">
        <v>4</v>
      </c>
      <c r="Q1" s="2" t="s">
        <v>96</v>
      </c>
      <c r="R1" s="2" t="s">
        <v>97</v>
      </c>
      <c r="S1" s="2" t="s">
        <v>98</v>
      </c>
      <c r="T1" s="3" t="s">
        <v>99</v>
      </c>
      <c r="U1" s="3" t="s">
        <v>100</v>
      </c>
      <c r="V1" s="3" t="s">
        <v>101</v>
      </c>
      <c r="W1" s="2" t="s">
        <v>102</v>
      </c>
      <c r="X1" s="3" t="s">
        <v>103</v>
      </c>
      <c r="Y1" s="2" t="s">
        <v>104</v>
      </c>
      <c r="Z1" s="3" t="s">
        <v>105</v>
      </c>
      <c r="AA1" s="3" t="s">
        <v>106</v>
      </c>
      <c r="AB1" s="3" t="s">
        <v>107</v>
      </c>
      <c r="AC1" s="3" t="s">
        <v>108</v>
      </c>
      <c r="AD1" s="3" t="s">
        <v>109</v>
      </c>
      <c r="AE1" s="4" t="s">
        <v>110</v>
      </c>
      <c r="AF1" s="4" t="s">
        <v>111</v>
      </c>
      <c r="AG1" s="4" t="s">
        <v>70</v>
      </c>
      <c r="AH1" s="4" t="s">
        <v>112</v>
      </c>
      <c r="AI1" s="4" t="s">
        <v>113</v>
      </c>
      <c r="AJ1" s="4" t="s">
        <v>114</v>
      </c>
      <c r="AK1" s="5" t="s">
        <v>115</v>
      </c>
      <c r="AL1" s="5" t="s">
        <v>116</v>
      </c>
      <c r="AM1" s="5" t="s">
        <v>117</v>
      </c>
      <c r="AN1" s="6" t="s">
        <v>118</v>
      </c>
      <c r="AO1" s="5" t="s">
        <v>119</v>
      </c>
      <c r="AP1" s="6" t="s">
        <v>120</v>
      </c>
      <c r="AQ1" s="6" t="s">
        <v>121</v>
      </c>
      <c r="AR1" s="6" t="s">
        <v>122</v>
      </c>
      <c r="AS1" s="6" t="s">
        <v>123</v>
      </c>
      <c r="AT1" s="6" t="s">
        <v>124</v>
      </c>
      <c r="AU1" s="7" t="s">
        <v>125</v>
      </c>
      <c r="AV1" s="7" t="s">
        <v>75</v>
      </c>
      <c r="AW1" s="7" t="s">
        <v>5</v>
      </c>
      <c r="AX1" s="7" t="s">
        <v>126</v>
      </c>
      <c r="AY1" s="8" t="s">
        <v>127</v>
      </c>
      <c r="AZ1" s="8" t="s">
        <v>128</v>
      </c>
      <c r="BA1" s="8" t="s">
        <v>129</v>
      </c>
      <c r="BB1" s="8" t="s">
        <v>130</v>
      </c>
      <c r="BC1" s="9" t="s">
        <v>131</v>
      </c>
      <c r="BD1" s="10" t="s">
        <v>132</v>
      </c>
      <c r="BE1" s="10" t="s">
        <v>133</v>
      </c>
      <c r="BF1" s="10" t="s">
        <v>134</v>
      </c>
      <c r="BG1" s="10" t="s">
        <v>135</v>
      </c>
      <c r="BH1" s="10" t="s">
        <v>136</v>
      </c>
      <c r="BI1" s="10" t="s">
        <v>137</v>
      </c>
      <c r="BJ1" s="10" t="s">
        <v>138</v>
      </c>
      <c r="BK1" s="10" t="s">
        <v>139</v>
      </c>
      <c r="BL1" s="10" t="s">
        <v>140</v>
      </c>
      <c r="BM1" s="10" t="s">
        <v>141</v>
      </c>
      <c r="BN1" s="10" t="s">
        <v>142</v>
      </c>
      <c r="BO1" s="10" t="s">
        <v>143</v>
      </c>
      <c r="BP1" s="10" t="s">
        <v>144</v>
      </c>
      <c r="BQ1" s="10" t="s">
        <v>145</v>
      </c>
    </row>
    <row r="2" spans="1:69" ht="106.5" customHeight="1">
      <c r="A2" s="11" t="str">
        <f>UPPER('Matriz de comunicación'!B8)</f>
        <v/>
      </c>
      <c r="B2" s="11">
        <v>0</v>
      </c>
      <c r="C2" s="12" t="str">
        <f>CONCATENATE(IGC!C18, CHAR(10),IGC!D18)</f>
        <v xml:space="preserve">
</v>
      </c>
      <c r="D2" s="13"/>
      <c r="E2" s="12" t="str">
        <f>CONCATENATE(IGC!C8, CHAR(10),"Antecedentes: ",IGC!C10, CHAR(10),"Descripción: ",IGC!C9)</f>
        <v>Instalar un certificado de seguridad en los equipos IDE_WEB y CUN_WEB
Antecedentes: La instalación de los certificados son necesarios para la protección de flujos y tener una comunicación segura entre los servidores IDE_WEB y CUN-WEB
Descripción: Se solicita la generación de un Request (CSR - certificate signing request) , y posterior instalación de dicho certificado en los equipos de IDE_WEB y CUN-WEB</v>
      </c>
      <c r="F2" s="14">
        <f>IGC!C23</f>
        <v>44025.708333333336</v>
      </c>
      <c r="G2" s="14" t="str">
        <f>IGC!E23</f>
        <v>Captura Actividad Macro FIN en pestaña Plan</v>
      </c>
      <c r="H2" s="15" t="e">
        <f>G2-F2</f>
        <v>#VALUE!</v>
      </c>
      <c r="I2" s="16" t="str">
        <f>CONCATENATE(IGC!C25, " - ",IGC!E25)</f>
        <v>Captura Actividad Macro VTI pestaña PIan - Captura Actividad Macro VTF Pestaña Plan</v>
      </c>
      <c r="J2" s="17"/>
      <c r="K2" s="18" t="e">
        <f>CONCATENATE("Análisis de Riesgos: ", CHAR(10), "Plan de trabajo: ",CHAR(10),"Tareas: ",CHAR(10),"F. Programación: ",CHAR(10),"CI´s: "," ",CHAR(10),"VoBo: ",'Matriz de comunicación'!#REF!,CHAR(10),'Matriz de comunicación'!C10,CHAR(10),'Matriz de comunicación'!C11,CHAR(10),'Matriz de comunicación'!C12,CHAR(10),'Matriz de comunicación'!C13,CHAR(10),'Matriz de comunicación'!C14,CHAR(10),'Matriz de comunicación'!C15,CHAR(10),'Matriz de comunicación'!C16,CHAR(10),'Matriz de comunicación'!C17,CHAR(10),"Relación: ",CHAR(10),"Comunicado: ",CHAR(10),"Revisión Tecnica: ")</f>
        <v>#REF!</v>
      </c>
      <c r="L2" s="17"/>
      <c r="M2" s="18"/>
      <c r="N2" s="18" t="str">
        <f>IGC!C7</f>
        <v>N/A</v>
      </c>
      <c r="O2" s="18"/>
      <c r="P2" s="18" t="str">
        <f>IGC!E8</f>
        <v>UAT/Pruebas</v>
      </c>
      <c r="Q2" s="18">
        <f>IGC!C17</f>
        <v>0</v>
      </c>
      <c r="R2" s="28" t="str">
        <f>CONCATENATE(CIs!C5,CHAR(10),CIs!D6,CHAR(10),CIs!D7,CHAR(10),CIs!D8,CHAR(10),CIs!D9,CHAR(10),CIs!D10,CHAR(10),CIs!D11,CHAR(10),CIs!D12,CHAR(10),CIs!D13,CHAR(10),CIs!D14,CHAR(10),CIs!D15,CHAR(10),CIs!D16,CHAR(10),CIs!D17,CHAR(10),CIs!D18,CHAR(10),CIs!D19,CHAR(10),CIs!D20,CHAR(10),CIs!D21,CHAR(10),CIs!D22,CHAR(10),CIs!D23,CHAR(10),CIs!D24,CHAR(10),CIs!D25,CHAR(10),CIs!D26,CHAR(10),CIs!D27,CHAR(10),CIs!D28,CHAR(10),CIs!D29,CHAR(10),CIs!D30,CHAR(10),CIs!D31,CHAR(10),CIs!D32,CHAR(10),CIs!D33,CHAR(10),CIs!D34,CHAR(10),CIs!D35,CHAR(10),CIs!D36,CHAR(10),CIs!D37,CHAR(10),CIs!D38,CHAR(10),CIs!D39,CHAR(10),CIs!D40,CHAR(10),CIs!D41,CHAR(10),CIs!D42,CHAR(10),CIs!D43,CHAR(10),CIs!D44,CHAR(10),CIs!D45,CHAR(10),CIs!D46,CHAR(10),CIs!D47,CHAR(10),CIs!D48,CHAR(10),CIs!D49,CIs!D50,CHAR(10),CIs!D51,CHAR(10),CIs!D52,CHAR(10),CIs!D53,CHAR(10),CIs!D54,CHAR(10),CIs!D55,CHAR(10),CIs!D56,CHAR(10),CIs!D57,CHAR(10),CIs!D58,CHAR(10),CIs!D59)</f>
        <v xml:space="preserve">cpidwuatiise01
</v>
      </c>
      <c r="S2" s="18"/>
      <c r="T2" s="14" t="str">
        <f>IGC!C10</f>
        <v>La instalación de los certificados son necesarios para la protección de flujos y tener una comunicación segura entre los servidores IDE_WEB y CUN-WEB</v>
      </c>
      <c r="U2" s="18" t="str">
        <f>CONCATENATE("Impacto: ",IGC!D18,CHAR(10),IGC!D19,"Impacto en caso de falla: ",IGC!C21,CHAR(10),"Periodo: ",TEXT(IGC!C19,"dd/mm/aaaa hh:mm")," - ",TEXT(IGC!C19,"dd/mm/aaaa hh:mm"),CHAR(10),"Riesgo de implementación: ",IGC!E21)</f>
        <v xml:space="preserve">Impacto: 
Impacto en caso de falla: 
Periodo: 00/01/1900 00:00 - 00/01/1900 00:00
Riesgo de implementación: </v>
      </c>
      <c r="V2" s="18" t="str">
        <f>IGC!C12</f>
        <v>No se tendrá comunicación segura entre los servidores para la generación del pdf de las declaraciones que se certifican en la CUN-WEB</v>
      </c>
      <c r="W2" s="19"/>
      <c r="X2" s="20"/>
      <c r="Y2" s="21"/>
      <c r="Z2" s="14"/>
      <c r="AA2" s="14"/>
      <c r="AB2" s="22"/>
      <c r="AC2" s="18">
        <f>SELECCION11</f>
        <v>0</v>
      </c>
      <c r="AD2" s="18">
        <f>'Matriz de comunicación'!D8</f>
        <v>0</v>
      </c>
      <c r="AE2" s="18"/>
      <c r="AF2" s="13"/>
      <c r="AG2" s="18"/>
      <c r="AH2" s="13"/>
      <c r="AI2" s="18" t="str">
        <f>CONCATENATE("Plan de Regreso: ",CHAR(10),"En qué condiciones se aplica: ",CHAR(10),"Plan de regreso total o parcial: ",CHAR(10),"El plan de regreso fue probado: ",CHAR(10),"Hubo pruebas previamente?: ",IGC!C13," ",IGC!E13,CHAR(10),"En qué consiste las validaciones: ",CHAR(10),"Tiene dependencias?: ",IGC!C32)</f>
        <v xml:space="preserve">Plan de Regreso: 
En qué condiciones se aplica: 
Plan de regreso total o parcial: 
El plan de regreso fue probado: 
Hubo pruebas previamente?: No 
En qué consiste las validaciones: 
Tiene dependencias?: </v>
      </c>
      <c r="AJ2" s="18"/>
      <c r="AK2" s="18"/>
      <c r="AL2" s="23"/>
      <c r="AM2" s="23"/>
      <c r="AN2" s="18" t="s">
        <v>146</v>
      </c>
      <c r="AO2" s="24"/>
      <c r="AP2" s="18" t="str">
        <f>UPPER(IGC!C11)</f>
        <v>NORMAL</v>
      </c>
      <c r="AQ2" s="18"/>
      <c r="AR2" s="13"/>
      <c r="AS2" s="18"/>
      <c r="AT2" s="25"/>
      <c r="AU2" s="26" t="s">
        <v>147</v>
      </c>
      <c r="AV2" s="18" t="str">
        <f>IGC!C13</f>
        <v>No</v>
      </c>
      <c r="AW2" s="18"/>
      <c r="AX2" s="18"/>
      <c r="AY2" s="18"/>
      <c r="AZ2" s="18"/>
      <c r="BA2" s="18"/>
      <c r="BB2" s="18"/>
      <c r="BC2" s="27"/>
      <c r="BD2" s="18"/>
      <c r="BE2" s="18"/>
      <c r="BF2" s="18"/>
      <c r="BG2" s="18"/>
      <c r="BH2" s="18"/>
      <c r="BI2" s="18"/>
      <c r="BJ2" s="18"/>
      <c r="BK2" s="18"/>
      <c r="BL2" s="18"/>
      <c r="BM2" s="18"/>
      <c r="BN2" s="18"/>
      <c r="BO2" s="18"/>
      <c r="BP2" s="18"/>
      <c r="BQ2" s="18"/>
    </row>
  </sheetData>
  <customSheetViews>
    <customSheetView guid="{77A8CDE7-0C4B-4AA6-8C4B-62BFC960DC0D}" scale="80" state="hidden">
      <selection activeCell="E6" sqref="E6"/>
      <pageMargins left="0.7" right="0.7" top="0.75" bottom="0.75" header="0.3" footer="0.3"/>
    </customSheetView>
  </customSheetViews>
  <conditionalFormatting sqref="AO2:AT2 B2 D2 F2:G2 I2:S2 U2:AM2">
    <cfRule type="cellIs" dxfId="414" priority="418" stopIfTrue="1" operator="equal">
      <formula>"Authorized"</formula>
    </cfRule>
    <cfRule type="cellIs" dxfId="413" priority="419" stopIfTrue="1" operator="equal">
      <formula>"Rejected"</formula>
    </cfRule>
    <cfRule type="cellIs" dxfId="412" priority="420" stopIfTrue="1" operator="equal">
      <formula>"Conditioned"</formula>
    </cfRule>
  </conditionalFormatting>
  <conditionalFormatting sqref="AO2:AT2 B2 D2 F2:G2 I2:S2 U2:AM2">
    <cfRule type="cellIs" dxfId="411" priority="415" stopIfTrue="1" operator="equal">
      <formula>"Authorized"</formula>
    </cfRule>
    <cfRule type="cellIs" dxfId="410" priority="416" stopIfTrue="1" operator="equal">
      <formula>"Rejected"</formula>
    </cfRule>
    <cfRule type="cellIs" dxfId="409" priority="417" stopIfTrue="1" operator="equal">
      <formula>"Conditioned"</formula>
    </cfRule>
  </conditionalFormatting>
  <conditionalFormatting sqref="I2:M2">
    <cfRule type="cellIs" dxfId="408" priority="412" stopIfTrue="1" operator="equal">
      <formula>"Authorized"</formula>
    </cfRule>
    <cfRule type="cellIs" dxfId="407" priority="413" stopIfTrue="1" operator="equal">
      <formula>"Rejected"</formula>
    </cfRule>
    <cfRule type="cellIs" dxfId="406" priority="414" stopIfTrue="1" operator="equal">
      <formula>"Conditioned"</formula>
    </cfRule>
  </conditionalFormatting>
  <conditionalFormatting sqref="I2:M2">
    <cfRule type="cellIs" dxfId="405" priority="409" stopIfTrue="1" operator="equal">
      <formula>"Authorized"</formula>
    </cfRule>
    <cfRule type="cellIs" dxfId="404" priority="410" stopIfTrue="1" operator="equal">
      <formula>"Rejected"</formula>
    </cfRule>
    <cfRule type="cellIs" dxfId="403" priority="411" stopIfTrue="1" operator="equal">
      <formula>"Conditioned"</formula>
    </cfRule>
  </conditionalFormatting>
  <conditionalFormatting sqref="AO2 AH2:AK2 J2:L2 AS2:AT2 N2:S2 U2:AF2">
    <cfRule type="cellIs" dxfId="402" priority="406" stopIfTrue="1" operator="equal">
      <formula>"Finished"</formula>
    </cfRule>
    <cfRule type="cellIs" dxfId="401" priority="407" stopIfTrue="1" operator="equal">
      <formula>"Cancell"</formula>
    </cfRule>
    <cfRule type="cellIs" dxfId="400" priority="408" stopIfTrue="1" operator="equal">
      <formula>"Reschedule"</formula>
    </cfRule>
  </conditionalFormatting>
  <conditionalFormatting sqref="AO2 AH2:AK2 J2:L2 AS2:AT2 N2:S2 U2:AF2">
    <cfRule type="cellIs" dxfId="399" priority="403" stopIfTrue="1" operator="equal">
      <formula>"Finished"</formula>
    </cfRule>
    <cfRule type="cellIs" dxfId="398" priority="404" stopIfTrue="1" operator="equal">
      <formula>"Canceled"</formula>
    </cfRule>
    <cfRule type="cellIs" dxfId="397" priority="405" stopIfTrue="1" operator="equal">
      <formula>"Rescheduled"</formula>
    </cfRule>
  </conditionalFormatting>
  <conditionalFormatting sqref="AO2 J2:L2 AR2:AT2 N2:S2 U2:AK2">
    <cfRule type="cellIs" dxfId="396" priority="400" stopIfTrue="1" operator="equal">
      <formula>"Finished"</formula>
    </cfRule>
    <cfRule type="cellIs" dxfId="395" priority="401" stopIfTrue="1" operator="equal">
      <formula>"Canceled"</formula>
    </cfRule>
    <cfRule type="cellIs" dxfId="394" priority="402" stopIfTrue="1" operator="equal">
      <formula>"Rescheduled"</formula>
    </cfRule>
  </conditionalFormatting>
  <conditionalFormatting sqref="AH2:AK2 AO2 J2:L2 AB2:AF2 AS2:AT2 P2:S2 U2:Z2">
    <cfRule type="cellIs" dxfId="393" priority="391" stopIfTrue="1" operator="equal">
      <formula>"Finished"</formula>
    </cfRule>
    <cfRule type="cellIs" dxfId="392" priority="392" stopIfTrue="1" operator="equal">
      <formula>"Cancell"</formula>
    </cfRule>
    <cfRule type="cellIs" dxfId="391" priority="393" stopIfTrue="1" operator="equal">
      <formula>"Reschedule"</formula>
    </cfRule>
    <cfRule type="cellIs" dxfId="390" priority="394" stopIfTrue="1" operator="equal">
      <formula>"Finished"</formula>
    </cfRule>
    <cfRule type="cellIs" dxfId="389" priority="395" stopIfTrue="1" operator="equal">
      <formula>"Canceled"</formula>
    </cfRule>
    <cfRule type="cellIs" dxfId="388" priority="396" stopIfTrue="1" operator="equal">
      <formula>"Rescheduled"</formula>
    </cfRule>
    <cfRule type="cellIs" dxfId="387" priority="397" stopIfTrue="1" operator="equal">
      <formula>"Finished"</formula>
    </cfRule>
    <cfRule type="cellIs" dxfId="386" priority="398" stopIfTrue="1" operator="equal">
      <formula>"Canceled"</formula>
    </cfRule>
    <cfRule type="cellIs" dxfId="385" priority="399" stopIfTrue="1" operator="equal">
      <formula>"Rescheduled"</formula>
    </cfRule>
  </conditionalFormatting>
  <conditionalFormatting sqref="AH2:AK2 AO2 J2:L2 AB2:AF2 R2:S2 U2:Z2">
    <cfRule type="cellIs" dxfId="384" priority="388" stopIfTrue="1" operator="equal">
      <formula>"Finished"</formula>
    </cfRule>
    <cfRule type="cellIs" dxfId="383" priority="389" stopIfTrue="1" operator="equal">
      <formula>"Canceled"</formula>
    </cfRule>
    <cfRule type="cellIs" dxfId="382" priority="390" stopIfTrue="1" operator="equal">
      <formula>"Rescheduled"</formula>
    </cfRule>
  </conditionalFormatting>
  <conditionalFormatting sqref="J2:L2 AE2:AF2 R2:S2 U2:Z2">
    <cfRule type="cellIs" dxfId="381" priority="379" stopIfTrue="1" operator="equal">
      <formula>"Finished"</formula>
    </cfRule>
    <cfRule type="cellIs" dxfId="380" priority="380" stopIfTrue="1" operator="equal">
      <formula>"Cancell"</formula>
    </cfRule>
    <cfRule type="cellIs" dxfId="379" priority="381" stopIfTrue="1" operator="equal">
      <formula>"Reschedule"</formula>
    </cfRule>
    <cfRule type="cellIs" dxfId="378" priority="382" stopIfTrue="1" operator="equal">
      <formula>"Finished"</formula>
    </cfRule>
    <cfRule type="cellIs" dxfId="377" priority="383" stopIfTrue="1" operator="equal">
      <formula>"Canceled"</formula>
    </cfRule>
    <cfRule type="cellIs" dxfId="376" priority="384" stopIfTrue="1" operator="equal">
      <formula>"Rescheduled"</formula>
    </cfRule>
    <cfRule type="cellIs" dxfId="375" priority="385" stopIfTrue="1" operator="equal">
      <formula>"Finished"</formula>
    </cfRule>
    <cfRule type="cellIs" dxfId="374" priority="386" stopIfTrue="1" operator="equal">
      <formula>"Canceled"</formula>
    </cfRule>
    <cfRule type="cellIs" dxfId="373" priority="387" stopIfTrue="1" operator="equal">
      <formula>"Rescheduled"</formula>
    </cfRule>
  </conditionalFormatting>
  <conditionalFormatting sqref="J2:L2 W2:Z2 AE2:AF2">
    <cfRule type="cellIs" dxfId="372" priority="376" stopIfTrue="1" operator="equal">
      <formula>"Finished"</formula>
    </cfRule>
    <cfRule type="cellIs" dxfId="371" priority="377" stopIfTrue="1" operator="equal">
      <formula>"Cancell"</formula>
    </cfRule>
    <cfRule type="cellIs" dxfId="370" priority="378" stopIfTrue="1" operator="equal">
      <formula>"Reschedule"</formula>
    </cfRule>
  </conditionalFormatting>
  <conditionalFormatting sqref="J2:L2 AE2:AF2">
    <cfRule type="cellIs" dxfId="369" priority="374" operator="equal">
      <formula>"Exitoso en su Totalidad"</formula>
    </cfRule>
    <cfRule type="cellIs" dxfId="368" priority="375" operator="equal">
      <formula>"Fallido en su Totalidad"</formula>
    </cfRule>
  </conditionalFormatting>
  <conditionalFormatting sqref="W2:Z2 AE2:AF2">
    <cfRule type="containsText" dxfId="367" priority="372" operator="containsText" text="Fuera de Tiempo">
      <formula>NOT(ISERROR(SEARCH("Fuera de Tiempo",W2)))</formula>
    </cfRule>
    <cfRule type="containsText" dxfId="366" priority="373" operator="containsText" text="En Tiempo">
      <formula>NOT(ISERROR(SEARCH("En Tiempo",W2)))</formula>
    </cfRule>
  </conditionalFormatting>
  <conditionalFormatting sqref="Y2 AH2:AK2 V2:W2 AO2 AB2:AD2">
    <cfRule type="cellIs" dxfId="365" priority="360" stopIfTrue="1" operator="equal">
      <formula>"Finished"</formula>
    </cfRule>
    <cfRule type="cellIs" dxfId="364" priority="361" stopIfTrue="1" operator="equal">
      <formula>"Cancell"</formula>
    </cfRule>
    <cfRule type="cellIs" dxfId="363" priority="362" stopIfTrue="1" operator="equal">
      <formula>"Reschedule"</formula>
    </cfRule>
    <cfRule type="cellIs" dxfId="362" priority="363" stopIfTrue="1" operator="equal">
      <formula>"Finished"</formula>
    </cfRule>
    <cfRule type="cellIs" dxfId="361" priority="364" stopIfTrue="1" operator="equal">
      <formula>"Canceled"</formula>
    </cfRule>
    <cfRule type="cellIs" dxfId="360" priority="365" stopIfTrue="1" operator="equal">
      <formula>"Rescheduled"</formula>
    </cfRule>
    <cfRule type="cellIs" dxfId="359" priority="366" stopIfTrue="1" operator="equal">
      <formula>"Finished"</formula>
    </cfRule>
    <cfRule type="cellIs" dxfId="358" priority="367" stopIfTrue="1" operator="equal">
      <formula>"Canceled"</formula>
    </cfRule>
    <cfRule type="cellIs" dxfId="357" priority="368" stopIfTrue="1" operator="equal">
      <formula>"Rescheduled"</formula>
    </cfRule>
    <cfRule type="cellIs" dxfId="356" priority="369" stopIfTrue="1" operator="equal">
      <formula>"Finished"</formula>
    </cfRule>
    <cfRule type="cellIs" dxfId="355" priority="370" stopIfTrue="1" operator="equal">
      <formula>"Canceled"</formula>
    </cfRule>
    <cfRule type="cellIs" dxfId="354" priority="371" stopIfTrue="1" operator="equal">
      <formula>"Rescheduled"</formula>
    </cfRule>
  </conditionalFormatting>
  <conditionalFormatting sqref="J2:L2 AE2:AF2">
    <cfRule type="cellIs" dxfId="353" priority="358" operator="equal">
      <formula>"Exitoso"</formula>
    </cfRule>
    <cfRule type="cellIs" dxfId="352" priority="359" operator="equal">
      <formula>"Fallido"</formula>
    </cfRule>
  </conditionalFormatting>
  <conditionalFormatting sqref="Y2 U2:V2">
    <cfRule type="cellIs" dxfId="351" priority="352" stopIfTrue="1" operator="equal">
      <formula>"Finished"</formula>
    </cfRule>
    <cfRule type="cellIs" dxfId="350" priority="353" stopIfTrue="1" operator="equal">
      <formula>"Cancell"</formula>
    </cfRule>
    <cfRule type="cellIs" dxfId="349" priority="354" stopIfTrue="1" operator="equal">
      <formula>"Reschedule"</formula>
    </cfRule>
    <cfRule type="cellIs" dxfId="348" priority="355" stopIfTrue="1" operator="equal">
      <formula>"Finished"</formula>
    </cfRule>
    <cfRule type="cellIs" dxfId="347" priority="356" stopIfTrue="1" operator="equal">
      <formula>"Canceled"</formula>
    </cfRule>
    <cfRule type="cellIs" dxfId="346" priority="357" stopIfTrue="1" operator="equal">
      <formula>"Rescheduled"</formula>
    </cfRule>
  </conditionalFormatting>
  <conditionalFormatting sqref="Y2 U2:V2">
    <cfRule type="cellIs" dxfId="345" priority="346" stopIfTrue="1" operator="equal">
      <formula>"Finished"</formula>
    </cfRule>
    <cfRule type="cellIs" dxfId="344" priority="347" stopIfTrue="1" operator="equal">
      <formula>"Cancell"</formula>
    </cfRule>
    <cfRule type="cellIs" dxfId="343" priority="348" stopIfTrue="1" operator="equal">
      <formula>"Reschedule"</formula>
    </cfRule>
    <cfRule type="cellIs" dxfId="342" priority="349" stopIfTrue="1" operator="equal">
      <formula>"Finished"</formula>
    </cfRule>
    <cfRule type="cellIs" dxfId="341" priority="350" stopIfTrue="1" operator="equal">
      <formula>"Canceled"</formula>
    </cfRule>
    <cfRule type="cellIs" dxfId="340" priority="351" stopIfTrue="1" operator="equal">
      <formula>"Rescheduled"</formula>
    </cfRule>
  </conditionalFormatting>
  <conditionalFormatting sqref="B2">
    <cfRule type="expression" dxfId="339" priority="345">
      <formula>$Y2="En Proceso"</formula>
    </cfRule>
  </conditionalFormatting>
  <conditionalFormatting sqref="X2">
    <cfRule type="cellIs" dxfId="338" priority="343" operator="equal">
      <formula>"En Tiempo"</formula>
    </cfRule>
    <cfRule type="cellIs" dxfId="337" priority="344" operator="equal">
      <formula>"Fuera de Tiempo"</formula>
    </cfRule>
  </conditionalFormatting>
  <conditionalFormatting sqref="AF2">
    <cfRule type="cellIs" dxfId="336" priority="341" operator="equal">
      <formula>"Fallido"</formula>
    </cfRule>
    <cfRule type="cellIs" dxfId="335" priority="342" operator="equal">
      <formula>"Exitoso"</formula>
    </cfRule>
  </conditionalFormatting>
  <conditionalFormatting sqref="J2 L2">
    <cfRule type="cellIs" dxfId="334" priority="339" operator="equal">
      <formula>"Condicionado"</formula>
    </cfRule>
    <cfRule type="cellIs" dxfId="333" priority="340" operator="equal">
      <formula>"Rechazado"</formula>
    </cfRule>
  </conditionalFormatting>
  <conditionalFormatting sqref="B2">
    <cfRule type="expression" dxfId="332" priority="338">
      <formula>$Y2="En Proceso"</formula>
    </cfRule>
  </conditionalFormatting>
  <conditionalFormatting sqref="Y2">
    <cfRule type="iconSet" priority="337">
      <iconSet showValue="0" reverse="1">
        <cfvo type="percent" val="0"/>
        <cfvo type="num" val="2"/>
        <cfvo type="num" val="3"/>
      </iconSet>
    </cfRule>
  </conditionalFormatting>
  <conditionalFormatting sqref="B2">
    <cfRule type="duplicateValues" dxfId="331" priority="336"/>
  </conditionalFormatting>
  <conditionalFormatting sqref="B2">
    <cfRule type="expression" dxfId="330" priority="335">
      <formula>$Y2="En Proceso"</formula>
    </cfRule>
  </conditionalFormatting>
  <conditionalFormatting sqref="B2">
    <cfRule type="expression" dxfId="329" priority="334">
      <formula>$Y2="En Proceso"</formula>
    </cfRule>
  </conditionalFormatting>
  <conditionalFormatting sqref="B2">
    <cfRule type="expression" dxfId="328" priority="333">
      <formula>$Y2="En Proceso"</formula>
    </cfRule>
  </conditionalFormatting>
  <conditionalFormatting sqref="B2">
    <cfRule type="expression" dxfId="327" priority="332">
      <formula>$Y2="En Proceso"</formula>
    </cfRule>
  </conditionalFormatting>
  <conditionalFormatting sqref="B2">
    <cfRule type="expression" dxfId="326" priority="331">
      <formula>$Y2="En Proceso"</formula>
    </cfRule>
  </conditionalFormatting>
  <conditionalFormatting sqref="B2">
    <cfRule type="expression" dxfId="325" priority="330">
      <formula>$Y2="En Proceso"</formula>
    </cfRule>
  </conditionalFormatting>
  <conditionalFormatting sqref="B2">
    <cfRule type="expression" dxfId="324" priority="329">
      <formula>$Y2="En Proceso"</formula>
    </cfRule>
  </conditionalFormatting>
  <conditionalFormatting sqref="B2">
    <cfRule type="expression" dxfId="323" priority="328">
      <formula>$Y2="En Proceso"</formula>
    </cfRule>
  </conditionalFormatting>
  <conditionalFormatting sqref="B2">
    <cfRule type="expression" dxfId="322" priority="327">
      <formula>$Y2="En Proceso"</formula>
    </cfRule>
  </conditionalFormatting>
  <conditionalFormatting sqref="B2">
    <cfRule type="expression" dxfId="321" priority="326">
      <formula>$Y2="En Proceso"</formula>
    </cfRule>
  </conditionalFormatting>
  <conditionalFormatting sqref="B2">
    <cfRule type="expression" dxfId="320" priority="325">
      <formula>$Y2="En Proceso"</formula>
    </cfRule>
  </conditionalFormatting>
  <conditionalFormatting sqref="B2">
    <cfRule type="expression" dxfId="319" priority="324">
      <formula>$Y2="En Proceso"</formula>
    </cfRule>
  </conditionalFormatting>
  <conditionalFormatting sqref="B2">
    <cfRule type="expression" dxfId="318" priority="323">
      <formula>$Y2="En Proceso"</formula>
    </cfRule>
  </conditionalFormatting>
  <conditionalFormatting sqref="B2">
    <cfRule type="expression" dxfId="317" priority="322">
      <formula>$Y2="En Proceso"</formula>
    </cfRule>
  </conditionalFormatting>
  <conditionalFormatting sqref="D2">
    <cfRule type="iconSet" priority="321">
      <iconSet showValue="0" reverse="1">
        <cfvo type="percent" val="0"/>
        <cfvo type="num" val="2"/>
        <cfvo type="num" val="3"/>
      </iconSet>
    </cfRule>
  </conditionalFormatting>
  <conditionalFormatting sqref="Y2">
    <cfRule type="iconSet" priority="320">
      <iconSet showValue="0" reverse="1">
        <cfvo type="percent" val="0"/>
        <cfvo type="num" val="2"/>
        <cfvo type="num" val="3"/>
      </iconSet>
    </cfRule>
  </conditionalFormatting>
  <conditionalFormatting sqref="B2">
    <cfRule type="duplicateValues" dxfId="316" priority="319"/>
  </conditionalFormatting>
  <conditionalFormatting sqref="B2">
    <cfRule type="duplicateValues" dxfId="315" priority="318"/>
  </conditionalFormatting>
  <conditionalFormatting sqref="B2">
    <cfRule type="duplicateValues" dxfId="314" priority="317"/>
  </conditionalFormatting>
  <conditionalFormatting sqref="B2">
    <cfRule type="expression" dxfId="313" priority="316">
      <formula>$Y2="En Proceso"</formula>
    </cfRule>
  </conditionalFormatting>
  <conditionalFormatting sqref="B2">
    <cfRule type="expression" dxfId="312" priority="315">
      <formula>$Y2="En Proceso"</formula>
    </cfRule>
  </conditionalFormatting>
  <conditionalFormatting sqref="B2">
    <cfRule type="expression" dxfId="311" priority="314">
      <formula>$Y2="En Proceso"</formula>
    </cfRule>
  </conditionalFormatting>
  <conditionalFormatting sqref="B2">
    <cfRule type="expression" dxfId="310" priority="313">
      <formula>$Y2="En Proceso"</formula>
    </cfRule>
  </conditionalFormatting>
  <conditionalFormatting sqref="B2">
    <cfRule type="expression" dxfId="309" priority="312">
      <formula>$Y2="En Proceso"</formula>
    </cfRule>
  </conditionalFormatting>
  <conditionalFormatting sqref="B2">
    <cfRule type="expression" dxfId="308" priority="311">
      <formula>$Y2="En Proceso"</formula>
    </cfRule>
  </conditionalFormatting>
  <conditionalFormatting sqref="B2">
    <cfRule type="expression" dxfId="307" priority="310">
      <formula>$Y2="En Proceso"</formula>
    </cfRule>
  </conditionalFormatting>
  <conditionalFormatting sqref="B2">
    <cfRule type="expression" dxfId="306" priority="309">
      <formula>$Y2="En Proceso"</formula>
    </cfRule>
  </conditionalFormatting>
  <conditionalFormatting sqref="B2">
    <cfRule type="expression" dxfId="305" priority="308">
      <formula>$Y2="En Proceso"</formula>
    </cfRule>
  </conditionalFormatting>
  <conditionalFormatting sqref="B2">
    <cfRule type="expression" dxfId="304" priority="307">
      <formula>$Y2="En Proceso"</formula>
    </cfRule>
  </conditionalFormatting>
  <conditionalFormatting sqref="B2">
    <cfRule type="expression" dxfId="303" priority="306">
      <formula>$Y2="En Proceso"</formula>
    </cfRule>
  </conditionalFormatting>
  <conditionalFormatting sqref="B2">
    <cfRule type="expression" dxfId="302" priority="305">
      <formula>$Y2="En Proceso"</formula>
    </cfRule>
  </conditionalFormatting>
  <conditionalFormatting sqref="B2">
    <cfRule type="expression" dxfId="301" priority="304">
      <formula>$Y2="En Proceso"</formula>
    </cfRule>
  </conditionalFormatting>
  <conditionalFormatting sqref="B2">
    <cfRule type="expression" dxfId="300" priority="303">
      <formula>$Y2="En Proceso"</formula>
    </cfRule>
  </conditionalFormatting>
  <conditionalFormatting sqref="B2">
    <cfRule type="expression" dxfId="299" priority="302">
      <formula>$Y2="En Proceso"</formula>
    </cfRule>
  </conditionalFormatting>
  <conditionalFormatting sqref="B2">
    <cfRule type="expression" dxfId="298" priority="301">
      <formula>$Y2="En Proceso"</formula>
    </cfRule>
  </conditionalFormatting>
  <conditionalFormatting sqref="B2">
    <cfRule type="expression" dxfId="297" priority="300">
      <formula>$Y2="En Proceso"</formula>
    </cfRule>
  </conditionalFormatting>
  <conditionalFormatting sqref="B2">
    <cfRule type="expression" dxfId="296" priority="299">
      <formula>$Y2="En Proceso"</formula>
    </cfRule>
  </conditionalFormatting>
  <conditionalFormatting sqref="B2">
    <cfRule type="expression" dxfId="295" priority="298">
      <formula>$Y2="En Proceso"</formula>
    </cfRule>
  </conditionalFormatting>
  <conditionalFormatting sqref="B2">
    <cfRule type="expression" dxfId="294" priority="297">
      <formula>$Y2="En Proceso"</formula>
    </cfRule>
  </conditionalFormatting>
  <conditionalFormatting sqref="B2">
    <cfRule type="expression" dxfId="293" priority="296">
      <formula>$Y2="En Proceso"</formula>
    </cfRule>
  </conditionalFormatting>
  <conditionalFormatting sqref="B2">
    <cfRule type="expression" dxfId="292" priority="295">
      <formula>$Y2="En Proceso"</formula>
    </cfRule>
  </conditionalFormatting>
  <conditionalFormatting sqref="B2">
    <cfRule type="expression" dxfId="291" priority="294">
      <formula>$Y2="En Proceso"</formula>
    </cfRule>
  </conditionalFormatting>
  <conditionalFormatting sqref="B2">
    <cfRule type="expression" dxfId="290" priority="293">
      <formula>$Y2="En Proceso"</formula>
    </cfRule>
  </conditionalFormatting>
  <conditionalFormatting sqref="B2">
    <cfRule type="expression" dxfId="289" priority="292">
      <formula>$Y2="En Proceso"</formula>
    </cfRule>
  </conditionalFormatting>
  <conditionalFormatting sqref="B2">
    <cfRule type="expression" dxfId="288" priority="291">
      <formula>$Y2="En Proceso"</formula>
    </cfRule>
  </conditionalFormatting>
  <conditionalFormatting sqref="B2">
    <cfRule type="expression" dxfId="287" priority="290">
      <formula>$Y2="En Proceso"</formula>
    </cfRule>
  </conditionalFormatting>
  <conditionalFormatting sqref="B2">
    <cfRule type="expression" dxfId="286" priority="289">
      <formula>$Y2="En Proceso"</formula>
    </cfRule>
  </conditionalFormatting>
  <conditionalFormatting sqref="B2">
    <cfRule type="expression" dxfId="285" priority="288">
      <formula>$Y2="En Proceso"</formula>
    </cfRule>
  </conditionalFormatting>
  <conditionalFormatting sqref="B2">
    <cfRule type="expression" dxfId="284" priority="287">
      <formula>$Y2="En Proceso"</formula>
    </cfRule>
  </conditionalFormatting>
  <conditionalFormatting sqref="B2">
    <cfRule type="expression" dxfId="283" priority="286">
      <formula>$Y2="En Proceso"</formula>
    </cfRule>
  </conditionalFormatting>
  <conditionalFormatting sqref="B2">
    <cfRule type="expression" dxfId="282" priority="285">
      <formula>$Y2="En Proceso"</formula>
    </cfRule>
  </conditionalFormatting>
  <conditionalFormatting sqref="B2">
    <cfRule type="expression" dxfId="281" priority="284">
      <formula>$Y2="En Proceso"</formula>
    </cfRule>
  </conditionalFormatting>
  <conditionalFormatting sqref="B2">
    <cfRule type="expression" dxfId="280" priority="283">
      <formula>$Y2="En Proceso"</formula>
    </cfRule>
  </conditionalFormatting>
  <conditionalFormatting sqref="B2">
    <cfRule type="expression" dxfId="279" priority="282">
      <formula>$Y2="En Proceso"</formula>
    </cfRule>
  </conditionalFormatting>
  <conditionalFormatting sqref="B2">
    <cfRule type="expression" dxfId="278" priority="281">
      <formula>$Y2="En Proceso"</formula>
    </cfRule>
  </conditionalFormatting>
  <conditionalFormatting sqref="B2">
    <cfRule type="expression" dxfId="277" priority="280">
      <formula>$Y2="En Proceso"</formula>
    </cfRule>
  </conditionalFormatting>
  <conditionalFormatting sqref="B2">
    <cfRule type="expression" dxfId="276" priority="279">
      <formula>$Y2="En Proceso"</formula>
    </cfRule>
  </conditionalFormatting>
  <conditionalFormatting sqref="B2">
    <cfRule type="expression" dxfId="275" priority="278">
      <formula>$Y2="En Proceso"</formula>
    </cfRule>
  </conditionalFormatting>
  <conditionalFormatting sqref="B2">
    <cfRule type="expression" dxfId="274" priority="277">
      <formula>$Y2="En Proceso"</formula>
    </cfRule>
  </conditionalFormatting>
  <conditionalFormatting sqref="B2">
    <cfRule type="expression" dxfId="273" priority="276">
      <formula>$Y2="En Proceso"</formula>
    </cfRule>
  </conditionalFormatting>
  <conditionalFormatting sqref="B2">
    <cfRule type="expression" dxfId="272" priority="275">
      <formula>$Y2="En Proceso"</formula>
    </cfRule>
  </conditionalFormatting>
  <conditionalFormatting sqref="B2">
    <cfRule type="expression" dxfId="271" priority="274">
      <formula>$Y2="En Proceso"</formula>
    </cfRule>
  </conditionalFormatting>
  <conditionalFormatting sqref="B2">
    <cfRule type="expression" dxfId="270" priority="273">
      <formula>$Y2="En Proceso"</formula>
    </cfRule>
  </conditionalFormatting>
  <conditionalFormatting sqref="B2">
    <cfRule type="expression" dxfId="269" priority="272">
      <formula>$Y2="En Proceso"</formula>
    </cfRule>
  </conditionalFormatting>
  <conditionalFormatting sqref="B2">
    <cfRule type="expression" dxfId="268" priority="271">
      <formula>$Y2="En Proceso"</formula>
    </cfRule>
  </conditionalFormatting>
  <conditionalFormatting sqref="B2">
    <cfRule type="expression" dxfId="267" priority="270">
      <formula>$Y2="En Proceso"</formula>
    </cfRule>
  </conditionalFormatting>
  <conditionalFormatting sqref="B2">
    <cfRule type="expression" dxfId="266" priority="269">
      <formula>$Y2="En Proceso"</formula>
    </cfRule>
  </conditionalFormatting>
  <conditionalFormatting sqref="B2">
    <cfRule type="expression" dxfId="265" priority="268">
      <formula>$Y2="En Proceso"</formula>
    </cfRule>
  </conditionalFormatting>
  <conditionalFormatting sqref="B2">
    <cfRule type="expression" dxfId="264" priority="267">
      <formula>$Y2="En Proceso"</formula>
    </cfRule>
  </conditionalFormatting>
  <conditionalFormatting sqref="B2">
    <cfRule type="expression" dxfId="263" priority="266">
      <formula>$Y2="En Proceso"</formula>
    </cfRule>
  </conditionalFormatting>
  <conditionalFormatting sqref="B2">
    <cfRule type="expression" dxfId="262" priority="265">
      <formula>$Y2="En Proceso"</formula>
    </cfRule>
  </conditionalFormatting>
  <conditionalFormatting sqref="B2">
    <cfRule type="expression" dxfId="261" priority="264">
      <formula>$Y2="En Proceso"</formula>
    </cfRule>
  </conditionalFormatting>
  <conditionalFormatting sqref="B2">
    <cfRule type="expression" dxfId="260" priority="263">
      <formula>$Y2="En Proceso"</formula>
    </cfRule>
  </conditionalFormatting>
  <conditionalFormatting sqref="B2">
    <cfRule type="expression" dxfId="259" priority="262">
      <formula>$Y2="En Proceso"</formula>
    </cfRule>
  </conditionalFormatting>
  <conditionalFormatting sqref="B2">
    <cfRule type="expression" dxfId="258" priority="261">
      <formula>$Y2="En Proceso"</formula>
    </cfRule>
  </conditionalFormatting>
  <conditionalFormatting sqref="B2">
    <cfRule type="expression" dxfId="257" priority="260">
      <formula>$Y2="En Proceso"</formula>
    </cfRule>
  </conditionalFormatting>
  <conditionalFormatting sqref="B2">
    <cfRule type="expression" dxfId="256" priority="259">
      <formula>$Y2="En Proceso"</formula>
    </cfRule>
  </conditionalFormatting>
  <conditionalFormatting sqref="B2">
    <cfRule type="expression" dxfId="255" priority="258">
      <formula>$Y2="En Proceso"</formula>
    </cfRule>
  </conditionalFormatting>
  <conditionalFormatting sqref="B2">
    <cfRule type="expression" dxfId="254" priority="257">
      <formula>$Y2="En Proceso"</formula>
    </cfRule>
  </conditionalFormatting>
  <conditionalFormatting sqref="B2">
    <cfRule type="expression" dxfId="253" priority="256">
      <formula>$Y2="En Proceso"</formula>
    </cfRule>
  </conditionalFormatting>
  <conditionalFormatting sqref="B2">
    <cfRule type="expression" dxfId="252" priority="255">
      <formula>$Y2="En Proceso"</formula>
    </cfRule>
  </conditionalFormatting>
  <conditionalFormatting sqref="B2">
    <cfRule type="expression" dxfId="251" priority="254">
      <formula>$Y2="En Proceso"</formula>
    </cfRule>
  </conditionalFormatting>
  <conditionalFormatting sqref="B2">
    <cfRule type="expression" dxfId="250" priority="253">
      <formula>$Y2="En Proceso"</formula>
    </cfRule>
  </conditionalFormatting>
  <conditionalFormatting sqref="B2">
    <cfRule type="expression" dxfId="249" priority="252">
      <formula>$Y2="En Proceso"</formula>
    </cfRule>
  </conditionalFormatting>
  <conditionalFormatting sqref="B2">
    <cfRule type="expression" dxfId="248" priority="251">
      <formula>$Y2="En Proceso"</formula>
    </cfRule>
  </conditionalFormatting>
  <conditionalFormatting sqref="B2">
    <cfRule type="expression" dxfId="247" priority="250">
      <formula>$Y2="En Proceso"</formula>
    </cfRule>
  </conditionalFormatting>
  <conditionalFormatting sqref="B2">
    <cfRule type="expression" dxfId="246" priority="249">
      <formula>$Y2="En Proceso"</formula>
    </cfRule>
  </conditionalFormatting>
  <conditionalFormatting sqref="B2">
    <cfRule type="expression" dxfId="245" priority="248">
      <formula>$Y2="En Proceso"</formula>
    </cfRule>
  </conditionalFormatting>
  <conditionalFormatting sqref="B2">
    <cfRule type="expression" dxfId="244" priority="247">
      <formula>$Y2="En Proceso"</formula>
    </cfRule>
  </conditionalFormatting>
  <conditionalFormatting sqref="B2">
    <cfRule type="expression" dxfId="243" priority="246">
      <formula>$Y2="En Proceso"</formula>
    </cfRule>
  </conditionalFormatting>
  <conditionalFormatting sqref="B2">
    <cfRule type="expression" dxfId="242" priority="245">
      <formula>$Y2="En Proceso"</formula>
    </cfRule>
  </conditionalFormatting>
  <conditionalFormatting sqref="B2">
    <cfRule type="expression" dxfId="241" priority="244">
      <formula>$Y2="En Proceso"</formula>
    </cfRule>
  </conditionalFormatting>
  <conditionalFormatting sqref="B2">
    <cfRule type="expression" dxfId="240" priority="243">
      <formula>$Y2="En Proceso"</formula>
    </cfRule>
  </conditionalFormatting>
  <conditionalFormatting sqref="B2">
    <cfRule type="expression" dxfId="239" priority="242">
      <formula>$Y2="En Proceso"</formula>
    </cfRule>
  </conditionalFormatting>
  <conditionalFormatting sqref="B2">
    <cfRule type="expression" dxfId="238" priority="241">
      <formula>$Y2="En Proceso"</formula>
    </cfRule>
  </conditionalFormatting>
  <conditionalFormatting sqref="B2">
    <cfRule type="expression" dxfId="237" priority="240">
      <formula>$Y2="En Proceso"</formula>
    </cfRule>
  </conditionalFormatting>
  <conditionalFormatting sqref="B2">
    <cfRule type="expression" dxfId="236" priority="239">
      <formula>$Y2="En Proceso"</formula>
    </cfRule>
  </conditionalFormatting>
  <conditionalFormatting sqref="B2">
    <cfRule type="expression" dxfId="235" priority="238">
      <formula>$Y2="En Proceso"</formula>
    </cfRule>
  </conditionalFormatting>
  <conditionalFormatting sqref="B2">
    <cfRule type="expression" dxfId="234" priority="237">
      <formula>$Y2="En Proceso"</formula>
    </cfRule>
  </conditionalFormatting>
  <conditionalFormatting sqref="D2">
    <cfRule type="iconSet" priority="236">
      <iconSet showValue="0" reverse="1">
        <cfvo type="percent" val="0"/>
        <cfvo type="num" val="2"/>
        <cfvo type="num" val="3"/>
      </iconSet>
    </cfRule>
  </conditionalFormatting>
  <conditionalFormatting sqref="Y2">
    <cfRule type="iconSet" priority="235">
      <iconSet showValue="0" reverse="1">
        <cfvo type="percent" val="0"/>
        <cfvo type="num" val="2"/>
        <cfvo type="num" val="3"/>
      </iconSet>
    </cfRule>
  </conditionalFormatting>
  <conditionalFormatting sqref="B2">
    <cfRule type="duplicateValues" dxfId="233" priority="234"/>
  </conditionalFormatting>
  <conditionalFormatting sqref="N2">
    <cfRule type="cellIs" dxfId="232" priority="231" stopIfTrue="1" operator="equal">
      <formula>"Authorized"</formula>
    </cfRule>
    <cfRule type="cellIs" dxfId="231" priority="232" stopIfTrue="1" operator="equal">
      <formula>"Rejected"</formula>
    </cfRule>
    <cfRule type="cellIs" dxfId="230" priority="233" stopIfTrue="1" operator="equal">
      <formula>"Conditioned"</formula>
    </cfRule>
  </conditionalFormatting>
  <conditionalFormatting sqref="N2">
    <cfRule type="cellIs" dxfId="229" priority="228" stopIfTrue="1" operator="equal">
      <formula>"Authorized"</formula>
    </cfRule>
    <cfRule type="cellIs" dxfId="228" priority="229" stopIfTrue="1" operator="equal">
      <formula>"Rejected"</formula>
    </cfRule>
    <cfRule type="cellIs" dxfId="227" priority="230" stopIfTrue="1" operator="equal">
      <formula>"Conditioned"</formula>
    </cfRule>
  </conditionalFormatting>
  <conditionalFormatting sqref="N2">
    <cfRule type="cellIs" dxfId="226" priority="225" stopIfTrue="1" operator="equal">
      <formula>"Finished"</formula>
    </cfRule>
    <cfRule type="cellIs" dxfId="225" priority="226" stopIfTrue="1" operator="equal">
      <formula>"Cancell"</formula>
    </cfRule>
    <cfRule type="cellIs" dxfId="224" priority="227" stopIfTrue="1" operator="equal">
      <formula>"Reschedule"</formula>
    </cfRule>
  </conditionalFormatting>
  <conditionalFormatting sqref="N2">
    <cfRule type="cellIs" dxfId="223" priority="222" stopIfTrue="1" operator="equal">
      <formula>"Finished"</formula>
    </cfRule>
    <cfRule type="cellIs" dxfId="222" priority="223" stopIfTrue="1" operator="equal">
      <formula>"Canceled"</formula>
    </cfRule>
    <cfRule type="cellIs" dxfId="221" priority="224" stopIfTrue="1" operator="equal">
      <formula>"Rescheduled"</formula>
    </cfRule>
  </conditionalFormatting>
  <conditionalFormatting sqref="N2">
    <cfRule type="cellIs" dxfId="220" priority="219" stopIfTrue="1" operator="equal">
      <formula>"Finished"</formula>
    </cfRule>
    <cfRule type="cellIs" dxfId="219" priority="220" stopIfTrue="1" operator="equal">
      <formula>"Canceled"</formula>
    </cfRule>
    <cfRule type="cellIs" dxfId="218" priority="221" stopIfTrue="1" operator="equal">
      <formula>"Rescheduled"</formula>
    </cfRule>
  </conditionalFormatting>
  <conditionalFormatting sqref="N2">
    <cfRule type="cellIs" dxfId="217" priority="216" stopIfTrue="1" operator="equal">
      <formula>"Authorized"</formula>
    </cfRule>
    <cfRule type="cellIs" dxfId="216" priority="217" stopIfTrue="1" operator="equal">
      <formula>"Rejected"</formula>
    </cfRule>
    <cfRule type="cellIs" dxfId="215" priority="218" stopIfTrue="1" operator="equal">
      <formula>"Conditioned"</formula>
    </cfRule>
  </conditionalFormatting>
  <conditionalFormatting sqref="N2">
    <cfRule type="cellIs" dxfId="214" priority="213" stopIfTrue="1" operator="equal">
      <formula>"Authorized"</formula>
    </cfRule>
    <cfRule type="cellIs" dxfId="213" priority="214" stopIfTrue="1" operator="equal">
      <formula>"Rejected"</formula>
    </cfRule>
    <cfRule type="cellIs" dxfId="212" priority="215" stopIfTrue="1" operator="equal">
      <formula>"Conditioned"</formula>
    </cfRule>
  </conditionalFormatting>
  <conditionalFormatting sqref="N2">
    <cfRule type="cellIs" dxfId="211" priority="210" stopIfTrue="1" operator="equal">
      <formula>"Finished"</formula>
    </cfRule>
    <cfRule type="cellIs" dxfId="210" priority="211" stopIfTrue="1" operator="equal">
      <formula>"Cancell"</formula>
    </cfRule>
    <cfRule type="cellIs" dxfId="209" priority="212" stopIfTrue="1" operator="equal">
      <formula>"Reschedule"</formula>
    </cfRule>
  </conditionalFormatting>
  <conditionalFormatting sqref="N2">
    <cfRule type="cellIs" dxfId="208" priority="207" stopIfTrue="1" operator="equal">
      <formula>"Finished"</formula>
    </cfRule>
    <cfRule type="cellIs" dxfId="207" priority="208" stopIfTrue="1" operator="equal">
      <formula>"Canceled"</formula>
    </cfRule>
    <cfRule type="cellIs" dxfId="206" priority="209" stopIfTrue="1" operator="equal">
      <formula>"Rescheduled"</formula>
    </cfRule>
  </conditionalFormatting>
  <conditionalFormatting sqref="N2">
    <cfRule type="cellIs" dxfId="205" priority="204" stopIfTrue="1" operator="equal">
      <formula>"Finished"</formula>
    </cfRule>
    <cfRule type="cellIs" dxfId="204" priority="205" stopIfTrue="1" operator="equal">
      <formula>"Canceled"</formula>
    </cfRule>
    <cfRule type="cellIs" dxfId="203" priority="206" stopIfTrue="1" operator="equal">
      <formula>"Rescheduled"</formula>
    </cfRule>
  </conditionalFormatting>
  <conditionalFormatting sqref="A2">
    <cfRule type="cellIs" dxfId="202" priority="201" stopIfTrue="1" operator="equal">
      <formula>"Authorized"</formula>
    </cfRule>
    <cfRule type="cellIs" dxfId="201" priority="202" stopIfTrue="1" operator="equal">
      <formula>"Rejected"</formula>
    </cfRule>
    <cfRule type="cellIs" dxfId="200" priority="203" stopIfTrue="1" operator="equal">
      <formula>"Conditioned"</formula>
    </cfRule>
  </conditionalFormatting>
  <conditionalFormatting sqref="A2">
    <cfRule type="cellIs" dxfId="199" priority="198" stopIfTrue="1" operator="equal">
      <formula>"Authorized"</formula>
    </cfRule>
    <cfRule type="cellIs" dxfId="198" priority="199" stopIfTrue="1" operator="equal">
      <formula>"Rejected"</formula>
    </cfRule>
    <cfRule type="cellIs" dxfId="197" priority="200" stopIfTrue="1" operator="equal">
      <formula>"Conditioned"</formula>
    </cfRule>
  </conditionalFormatting>
  <conditionalFormatting sqref="A2">
    <cfRule type="expression" dxfId="196" priority="197">
      <formula>$Y2="En Proceso"</formula>
    </cfRule>
  </conditionalFormatting>
  <conditionalFormatting sqref="A2">
    <cfRule type="expression" dxfId="195" priority="196">
      <formula>$Y2="En Proceso"</formula>
    </cfRule>
  </conditionalFormatting>
  <conditionalFormatting sqref="A2">
    <cfRule type="duplicateValues" dxfId="194" priority="195"/>
  </conditionalFormatting>
  <conditionalFormatting sqref="A2">
    <cfRule type="expression" dxfId="193" priority="194">
      <formula>$Y2="En Proceso"</formula>
    </cfRule>
  </conditionalFormatting>
  <conditionalFormatting sqref="A2">
    <cfRule type="expression" dxfId="192" priority="193">
      <formula>$Y2="En Proceso"</formula>
    </cfRule>
  </conditionalFormatting>
  <conditionalFormatting sqref="A2">
    <cfRule type="expression" dxfId="191" priority="192">
      <formula>$Y2="En Proceso"</formula>
    </cfRule>
  </conditionalFormatting>
  <conditionalFormatting sqref="A2">
    <cfRule type="expression" dxfId="190" priority="191">
      <formula>$Y2="En Proceso"</formula>
    </cfRule>
  </conditionalFormatting>
  <conditionalFormatting sqref="A2">
    <cfRule type="expression" dxfId="189" priority="190">
      <formula>$Y2="En Proceso"</formula>
    </cfRule>
  </conditionalFormatting>
  <conditionalFormatting sqref="A2">
    <cfRule type="expression" dxfId="188" priority="189">
      <formula>$Y2="En Proceso"</formula>
    </cfRule>
  </conditionalFormatting>
  <conditionalFormatting sqref="A2">
    <cfRule type="expression" dxfId="187" priority="188">
      <formula>$Y2="En Proceso"</formula>
    </cfRule>
  </conditionalFormatting>
  <conditionalFormatting sqref="A2">
    <cfRule type="expression" dxfId="186" priority="187">
      <formula>$Y2="En Proceso"</formula>
    </cfRule>
  </conditionalFormatting>
  <conditionalFormatting sqref="A2">
    <cfRule type="expression" dxfId="185" priority="186">
      <formula>$Y2="En Proceso"</formula>
    </cfRule>
  </conditionalFormatting>
  <conditionalFormatting sqref="A2">
    <cfRule type="expression" dxfId="184" priority="185">
      <formula>$Y2="En Proceso"</formula>
    </cfRule>
  </conditionalFormatting>
  <conditionalFormatting sqref="A2">
    <cfRule type="expression" dxfId="183" priority="184">
      <formula>$Y2="En Proceso"</formula>
    </cfRule>
  </conditionalFormatting>
  <conditionalFormatting sqref="A2">
    <cfRule type="expression" dxfId="182" priority="183">
      <formula>$Y2="En Proceso"</formula>
    </cfRule>
  </conditionalFormatting>
  <conditionalFormatting sqref="A2">
    <cfRule type="expression" dxfId="181" priority="182">
      <formula>$Y2="En Proceso"</formula>
    </cfRule>
  </conditionalFormatting>
  <conditionalFormatting sqref="A2">
    <cfRule type="expression" dxfId="180" priority="181">
      <formula>$Y2="En Proceso"</formula>
    </cfRule>
  </conditionalFormatting>
  <conditionalFormatting sqref="A2">
    <cfRule type="duplicateValues" dxfId="179" priority="180"/>
  </conditionalFormatting>
  <conditionalFormatting sqref="A2">
    <cfRule type="duplicateValues" dxfId="178" priority="179"/>
  </conditionalFormatting>
  <conditionalFormatting sqref="A2">
    <cfRule type="duplicateValues" dxfId="177" priority="178"/>
  </conditionalFormatting>
  <conditionalFormatting sqref="A2">
    <cfRule type="expression" dxfId="176" priority="177">
      <formula>$Y2="En Proceso"</formula>
    </cfRule>
  </conditionalFormatting>
  <conditionalFormatting sqref="A2">
    <cfRule type="expression" dxfId="175" priority="176">
      <formula>$Y2="En Proceso"</formula>
    </cfRule>
  </conditionalFormatting>
  <conditionalFormatting sqref="A2">
    <cfRule type="expression" dxfId="174" priority="175">
      <formula>$Y2="En Proceso"</formula>
    </cfRule>
  </conditionalFormatting>
  <conditionalFormatting sqref="A2">
    <cfRule type="expression" dxfId="173" priority="174">
      <formula>$Y2="En Proceso"</formula>
    </cfRule>
  </conditionalFormatting>
  <conditionalFormatting sqref="A2">
    <cfRule type="expression" dxfId="172" priority="173">
      <formula>$Y2="En Proceso"</formula>
    </cfRule>
  </conditionalFormatting>
  <conditionalFormatting sqref="A2">
    <cfRule type="expression" dxfId="171" priority="172">
      <formula>$Y2="En Proceso"</formula>
    </cfRule>
  </conditionalFormatting>
  <conditionalFormatting sqref="A2">
    <cfRule type="expression" dxfId="170" priority="171">
      <formula>$Y2="En Proceso"</formula>
    </cfRule>
  </conditionalFormatting>
  <conditionalFormatting sqref="A2">
    <cfRule type="expression" dxfId="169" priority="170">
      <formula>$Y2="En Proceso"</formula>
    </cfRule>
  </conditionalFormatting>
  <conditionalFormatting sqref="A2">
    <cfRule type="expression" dxfId="168" priority="169">
      <formula>$Y2="En Proceso"</formula>
    </cfRule>
  </conditionalFormatting>
  <conditionalFormatting sqref="A2">
    <cfRule type="expression" dxfId="167" priority="168">
      <formula>$Y2="En Proceso"</formula>
    </cfRule>
  </conditionalFormatting>
  <conditionalFormatting sqref="A2">
    <cfRule type="expression" dxfId="166" priority="167">
      <formula>$Y2="En Proceso"</formula>
    </cfRule>
  </conditionalFormatting>
  <conditionalFormatting sqref="A2">
    <cfRule type="expression" dxfId="165" priority="166">
      <formula>$Y2="En Proceso"</formula>
    </cfRule>
  </conditionalFormatting>
  <conditionalFormatting sqref="A2">
    <cfRule type="expression" dxfId="164" priority="165">
      <formula>$Y2="En Proceso"</formula>
    </cfRule>
  </conditionalFormatting>
  <conditionalFormatting sqref="A2">
    <cfRule type="expression" dxfId="163" priority="164">
      <formula>$Y2="En Proceso"</formula>
    </cfRule>
  </conditionalFormatting>
  <conditionalFormatting sqref="A2">
    <cfRule type="expression" dxfId="162" priority="163">
      <formula>$Y2="En Proceso"</formula>
    </cfRule>
  </conditionalFormatting>
  <conditionalFormatting sqref="A2">
    <cfRule type="expression" dxfId="161" priority="162">
      <formula>$Y2="En Proceso"</formula>
    </cfRule>
  </conditionalFormatting>
  <conditionalFormatting sqref="A2">
    <cfRule type="expression" dxfId="160" priority="161">
      <formula>$Y2="En Proceso"</formula>
    </cfRule>
  </conditionalFormatting>
  <conditionalFormatting sqref="A2">
    <cfRule type="expression" dxfId="159" priority="160">
      <formula>$Y2="En Proceso"</formula>
    </cfRule>
  </conditionalFormatting>
  <conditionalFormatting sqref="A2">
    <cfRule type="expression" dxfId="158" priority="159">
      <formula>$Y2="En Proceso"</formula>
    </cfRule>
  </conditionalFormatting>
  <conditionalFormatting sqref="A2">
    <cfRule type="expression" dxfId="157" priority="158">
      <formula>$Y2="En Proceso"</formula>
    </cfRule>
  </conditionalFormatting>
  <conditionalFormatting sqref="A2">
    <cfRule type="expression" dxfId="156" priority="157">
      <formula>$Y2="En Proceso"</formula>
    </cfRule>
  </conditionalFormatting>
  <conditionalFormatting sqref="A2">
    <cfRule type="expression" dxfId="155" priority="156">
      <formula>$Y2="En Proceso"</formula>
    </cfRule>
  </conditionalFormatting>
  <conditionalFormatting sqref="A2">
    <cfRule type="expression" dxfId="154" priority="155">
      <formula>$Y2="En Proceso"</formula>
    </cfRule>
  </conditionalFormatting>
  <conditionalFormatting sqref="A2">
    <cfRule type="expression" dxfId="153" priority="154">
      <formula>$Y2="En Proceso"</formula>
    </cfRule>
  </conditionalFormatting>
  <conditionalFormatting sqref="A2">
    <cfRule type="expression" dxfId="152" priority="153">
      <formula>$Y2="En Proceso"</formula>
    </cfRule>
  </conditionalFormatting>
  <conditionalFormatting sqref="A2">
    <cfRule type="expression" dxfId="151" priority="152">
      <formula>$Y2="En Proceso"</formula>
    </cfRule>
  </conditionalFormatting>
  <conditionalFormatting sqref="A2">
    <cfRule type="expression" dxfId="150" priority="151">
      <formula>$Y2="En Proceso"</formula>
    </cfRule>
  </conditionalFormatting>
  <conditionalFormatting sqref="A2">
    <cfRule type="expression" dxfId="149" priority="150">
      <formula>$Y2="En Proceso"</formula>
    </cfRule>
  </conditionalFormatting>
  <conditionalFormatting sqref="A2">
    <cfRule type="expression" dxfId="148" priority="149">
      <formula>$Y2="En Proceso"</formula>
    </cfRule>
  </conditionalFormatting>
  <conditionalFormatting sqref="A2">
    <cfRule type="expression" dxfId="147" priority="148">
      <formula>$Y2="En Proceso"</formula>
    </cfRule>
  </conditionalFormatting>
  <conditionalFormatting sqref="A2">
    <cfRule type="expression" dxfId="146" priority="147">
      <formula>$Y2="En Proceso"</formula>
    </cfRule>
  </conditionalFormatting>
  <conditionalFormatting sqref="A2">
    <cfRule type="expression" dxfId="145" priority="146">
      <formula>$Y2="En Proceso"</formula>
    </cfRule>
  </conditionalFormatting>
  <conditionalFormatting sqref="A2">
    <cfRule type="expression" dxfId="144" priority="145">
      <formula>$Y2="En Proceso"</formula>
    </cfRule>
  </conditionalFormatting>
  <conditionalFormatting sqref="A2">
    <cfRule type="expression" dxfId="143" priority="144">
      <formula>$Y2="En Proceso"</formula>
    </cfRule>
  </conditionalFormatting>
  <conditionalFormatting sqref="A2">
    <cfRule type="expression" dxfId="142" priority="143">
      <formula>$Y2="En Proceso"</formula>
    </cfRule>
  </conditionalFormatting>
  <conditionalFormatting sqref="A2">
    <cfRule type="expression" dxfId="141" priority="142">
      <formula>$Y2="En Proceso"</formula>
    </cfRule>
  </conditionalFormatting>
  <conditionalFormatting sqref="A2">
    <cfRule type="expression" dxfId="140" priority="141">
      <formula>$Y2="En Proceso"</formula>
    </cfRule>
  </conditionalFormatting>
  <conditionalFormatting sqref="A2">
    <cfRule type="expression" dxfId="139" priority="140">
      <formula>$Y2="En Proceso"</formula>
    </cfRule>
  </conditionalFormatting>
  <conditionalFormatting sqref="A2">
    <cfRule type="expression" dxfId="138" priority="139">
      <formula>$Y2="En Proceso"</formula>
    </cfRule>
  </conditionalFormatting>
  <conditionalFormatting sqref="A2">
    <cfRule type="expression" dxfId="137" priority="138">
      <formula>$Y2="En Proceso"</formula>
    </cfRule>
  </conditionalFormatting>
  <conditionalFormatting sqref="A2">
    <cfRule type="expression" dxfId="136" priority="137">
      <formula>$Y2="En Proceso"</formula>
    </cfRule>
  </conditionalFormatting>
  <conditionalFormatting sqref="A2">
    <cfRule type="expression" dxfId="135" priority="136">
      <formula>$Y2="En Proceso"</formula>
    </cfRule>
  </conditionalFormatting>
  <conditionalFormatting sqref="A2">
    <cfRule type="expression" dxfId="134" priority="135">
      <formula>$Y2="En Proceso"</formula>
    </cfRule>
  </conditionalFormatting>
  <conditionalFormatting sqref="A2">
    <cfRule type="expression" dxfId="133" priority="134">
      <formula>$Y2="En Proceso"</formula>
    </cfRule>
  </conditionalFormatting>
  <conditionalFormatting sqref="A2">
    <cfRule type="expression" dxfId="132" priority="133">
      <formula>$Y2="En Proceso"</formula>
    </cfRule>
  </conditionalFormatting>
  <conditionalFormatting sqref="A2">
    <cfRule type="expression" dxfId="131" priority="132">
      <formula>$Y2="En Proceso"</formula>
    </cfRule>
  </conditionalFormatting>
  <conditionalFormatting sqref="A2">
    <cfRule type="expression" dxfId="130" priority="131">
      <formula>$Y2="En Proceso"</formula>
    </cfRule>
  </conditionalFormatting>
  <conditionalFormatting sqref="A2">
    <cfRule type="expression" dxfId="129" priority="130">
      <formula>$Y2="En Proceso"</formula>
    </cfRule>
  </conditionalFormatting>
  <conditionalFormatting sqref="A2">
    <cfRule type="expression" dxfId="128" priority="129">
      <formula>$Y2="En Proceso"</formula>
    </cfRule>
  </conditionalFormatting>
  <conditionalFormatting sqref="A2">
    <cfRule type="expression" dxfId="127" priority="128">
      <formula>$Y2="En Proceso"</formula>
    </cfRule>
  </conditionalFormatting>
  <conditionalFormatting sqref="A2">
    <cfRule type="expression" dxfId="126" priority="127">
      <formula>$Y2="En Proceso"</formula>
    </cfRule>
  </conditionalFormatting>
  <conditionalFormatting sqref="A2">
    <cfRule type="expression" dxfId="125" priority="126">
      <formula>$Y2="En Proceso"</formula>
    </cfRule>
  </conditionalFormatting>
  <conditionalFormatting sqref="A2">
    <cfRule type="expression" dxfId="124" priority="125">
      <formula>$Y2="En Proceso"</formula>
    </cfRule>
  </conditionalFormatting>
  <conditionalFormatting sqref="A2">
    <cfRule type="expression" dxfId="123" priority="124">
      <formula>$Y2="En Proceso"</formula>
    </cfRule>
  </conditionalFormatting>
  <conditionalFormatting sqref="A2">
    <cfRule type="expression" dxfId="122" priority="123">
      <formula>$Y2="En Proceso"</formula>
    </cfRule>
  </conditionalFormatting>
  <conditionalFormatting sqref="A2">
    <cfRule type="expression" dxfId="121" priority="122">
      <formula>$Y2="En Proceso"</formula>
    </cfRule>
  </conditionalFormatting>
  <conditionalFormatting sqref="A2">
    <cfRule type="expression" dxfId="120" priority="121">
      <formula>$Y2="En Proceso"</formula>
    </cfRule>
  </conditionalFormatting>
  <conditionalFormatting sqref="A2">
    <cfRule type="expression" dxfId="119" priority="120">
      <formula>$Y2="En Proceso"</formula>
    </cfRule>
  </conditionalFormatting>
  <conditionalFormatting sqref="A2">
    <cfRule type="expression" dxfId="118" priority="119">
      <formula>$Y2="En Proceso"</formula>
    </cfRule>
  </conditionalFormatting>
  <conditionalFormatting sqref="A2">
    <cfRule type="expression" dxfId="117" priority="118">
      <formula>$Y2="En Proceso"</formula>
    </cfRule>
  </conditionalFormatting>
  <conditionalFormatting sqref="A2">
    <cfRule type="expression" dxfId="116" priority="117">
      <formula>$Y2="En Proceso"</formula>
    </cfRule>
  </conditionalFormatting>
  <conditionalFormatting sqref="A2">
    <cfRule type="expression" dxfId="115" priority="116">
      <formula>$Y2="En Proceso"</formula>
    </cfRule>
  </conditionalFormatting>
  <conditionalFormatting sqref="A2">
    <cfRule type="expression" dxfId="114" priority="115">
      <formula>$Y2="En Proceso"</formula>
    </cfRule>
  </conditionalFormatting>
  <conditionalFormatting sqref="A2">
    <cfRule type="expression" dxfId="113" priority="114">
      <formula>$Y2="En Proceso"</formula>
    </cfRule>
  </conditionalFormatting>
  <conditionalFormatting sqref="A2">
    <cfRule type="expression" dxfId="112" priority="113">
      <formula>$Y2="En Proceso"</formula>
    </cfRule>
  </conditionalFormatting>
  <conditionalFormatting sqref="A2">
    <cfRule type="expression" dxfId="111" priority="112">
      <formula>$Y2="En Proceso"</formula>
    </cfRule>
  </conditionalFormatting>
  <conditionalFormatting sqref="A2">
    <cfRule type="expression" dxfId="110" priority="111">
      <formula>$Y2="En Proceso"</formula>
    </cfRule>
  </conditionalFormatting>
  <conditionalFormatting sqref="A2">
    <cfRule type="expression" dxfId="109" priority="110">
      <formula>$Y2="En Proceso"</formula>
    </cfRule>
  </conditionalFormatting>
  <conditionalFormatting sqref="A2">
    <cfRule type="expression" dxfId="108" priority="109">
      <formula>$Y2="En Proceso"</formula>
    </cfRule>
  </conditionalFormatting>
  <conditionalFormatting sqref="A2">
    <cfRule type="expression" dxfId="107" priority="108">
      <formula>$Y2="En Proceso"</formula>
    </cfRule>
  </conditionalFormatting>
  <conditionalFormatting sqref="A2">
    <cfRule type="expression" dxfId="106" priority="107">
      <formula>$Y2="En Proceso"</formula>
    </cfRule>
  </conditionalFormatting>
  <conditionalFormatting sqref="A2">
    <cfRule type="expression" dxfId="105" priority="106">
      <formula>$Y2="En Proceso"</formula>
    </cfRule>
  </conditionalFormatting>
  <conditionalFormatting sqref="A2">
    <cfRule type="expression" dxfId="104" priority="105">
      <formula>$Y2="En Proceso"</formula>
    </cfRule>
  </conditionalFormatting>
  <conditionalFormatting sqref="A2">
    <cfRule type="expression" dxfId="103" priority="104">
      <formula>$Y2="En Proceso"</formula>
    </cfRule>
  </conditionalFormatting>
  <conditionalFormatting sqref="A2">
    <cfRule type="expression" dxfId="102" priority="103">
      <formula>$Y2="En Proceso"</formula>
    </cfRule>
  </conditionalFormatting>
  <conditionalFormatting sqref="A2">
    <cfRule type="expression" dxfId="101" priority="102">
      <formula>$Y2="En Proceso"</formula>
    </cfRule>
  </conditionalFormatting>
  <conditionalFormatting sqref="A2">
    <cfRule type="expression" dxfId="100" priority="101">
      <formula>$Y2="En Proceso"</formula>
    </cfRule>
  </conditionalFormatting>
  <conditionalFormatting sqref="A2">
    <cfRule type="expression" dxfId="99" priority="100">
      <formula>$Y2="En Proceso"</formula>
    </cfRule>
  </conditionalFormatting>
  <conditionalFormatting sqref="A2">
    <cfRule type="expression" dxfId="98" priority="99">
      <formula>$Y2="En Proceso"</formula>
    </cfRule>
  </conditionalFormatting>
  <conditionalFormatting sqref="A2">
    <cfRule type="expression" dxfId="97" priority="98">
      <formula>$Y2="En Proceso"</formula>
    </cfRule>
  </conditionalFormatting>
  <conditionalFormatting sqref="A2">
    <cfRule type="duplicateValues" dxfId="96" priority="97"/>
  </conditionalFormatting>
  <conditionalFormatting sqref="AN2">
    <cfRule type="cellIs" dxfId="95" priority="94" stopIfTrue="1" operator="equal">
      <formula>"Authorized"</formula>
    </cfRule>
    <cfRule type="cellIs" dxfId="94" priority="95" stopIfTrue="1" operator="equal">
      <formula>"Rejected"</formula>
    </cfRule>
    <cfRule type="cellIs" dxfId="93" priority="96" stopIfTrue="1" operator="equal">
      <formula>"Conditioned"</formula>
    </cfRule>
  </conditionalFormatting>
  <conditionalFormatting sqref="AN2">
    <cfRule type="cellIs" dxfId="92" priority="91" stopIfTrue="1" operator="equal">
      <formula>"Authorized"</formula>
    </cfRule>
    <cfRule type="cellIs" dxfId="91" priority="92" stopIfTrue="1" operator="equal">
      <formula>"Rejected"</formula>
    </cfRule>
    <cfRule type="cellIs" dxfId="90" priority="93" stopIfTrue="1" operator="equal">
      <formula>"Conditioned"</formula>
    </cfRule>
  </conditionalFormatting>
  <conditionalFormatting sqref="P2">
    <cfRule type="cellIs" dxfId="89" priority="88" stopIfTrue="1" operator="equal">
      <formula>"Authorized"</formula>
    </cfRule>
    <cfRule type="cellIs" dxfId="88" priority="89" stopIfTrue="1" operator="equal">
      <formula>"Rejected"</formula>
    </cfRule>
    <cfRule type="cellIs" dxfId="87" priority="90" stopIfTrue="1" operator="equal">
      <formula>"Conditioned"</formula>
    </cfRule>
  </conditionalFormatting>
  <conditionalFormatting sqref="P2">
    <cfRule type="cellIs" dxfId="86" priority="85" stopIfTrue="1" operator="equal">
      <formula>"Authorized"</formula>
    </cfRule>
    <cfRule type="cellIs" dxfId="85" priority="86" stopIfTrue="1" operator="equal">
      <formula>"Rejected"</formula>
    </cfRule>
    <cfRule type="cellIs" dxfId="84" priority="87" stopIfTrue="1" operator="equal">
      <formula>"Conditioned"</formula>
    </cfRule>
  </conditionalFormatting>
  <conditionalFormatting sqref="P2">
    <cfRule type="cellIs" dxfId="83" priority="82" stopIfTrue="1" operator="equal">
      <formula>"Finished"</formula>
    </cfRule>
    <cfRule type="cellIs" dxfId="82" priority="83" stopIfTrue="1" operator="equal">
      <formula>"Cancell"</formula>
    </cfRule>
    <cfRule type="cellIs" dxfId="81" priority="84" stopIfTrue="1" operator="equal">
      <formula>"Reschedule"</formula>
    </cfRule>
  </conditionalFormatting>
  <conditionalFormatting sqref="P2">
    <cfRule type="cellIs" dxfId="80" priority="79" stopIfTrue="1" operator="equal">
      <formula>"Finished"</formula>
    </cfRule>
    <cfRule type="cellIs" dxfId="79" priority="80" stopIfTrue="1" operator="equal">
      <formula>"Canceled"</formula>
    </cfRule>
    <cfRule type="cellIs" dxfId="78" priority="81" stopIfTrue="1" operator="equal">
      <formula>"Rescheduled"</formula>
    </cfRule>
  </conditionalFormatting>
  <conditionalFormatting sqref="P2">
    <cfRule type="cellIs" dxfId="77" priority="76" stopIfTrue="1" operator="equal">
      <formula>"Finished"</formula>
    </cfRule>
    <cfRule type="cellIs" dxfId="76" priority="77" stopIfTrue="1" operator="equal">
      <formula>"Canceled"</formula>
    </cfRule>
    <cfRule type="cellIs" dxfId="75" priority="78" stopIfTrue="1" operator="equal">
      <formula>"Rescheduled"</formula>
    </cfRule>
  </conditionalFormatting>
  <conditionalFormatting sqref="P2">
    <cfRule type="cellIs" dxfId="74" priority="73" stopIfTrue="1" operator="equal">
      <formula>"Authorized"</formula>
    </cfRule>
    <cfRule type="cellIs" dxfId="73" priority="74" stopIfTrue="1" operator="equal">
      <formula>"Rejected"</formula>
    </cfRule>
    <cfRule type="cellIs" dxfId="72" priority="75" stopIfTrue="1" operator="equal">
      <formula>"Conditioned"</formula>
    </cfRule>
  </conditionalFormatting>
  <conditionalFormatting sqref="P2">
    <cfRule type="cellIs" dxfId="71" priority="70" stopIfTrue="1" operator="equal">
      <formula>"Authorized"</formula>
    </cfRule>
    <cfRule type="cellIs" dxfId="70" priority="71" stopIfTrue="1" operator="equal">
      <formula>"Rejected"</formula>
    </cfRule>
    <cfRule type="cellIs" dxfId="69" priority="72" stopIfTrue="1" operator="equal">
      <formula>"Conditioned"</formula>
    </cfRule>
  </conditionalFormatting>
  <conditionalFormatting sqref="P2">
    <cfRule type="cellIs" dxfId="68" priority="67" stopIfTrue="1" operator="equal">
      <formula>"Finished"</formula>
    </cfRule>
    <cfRule type="cellIs" dxfId="67" priority="68" stopIfTrue="1" operator="equal">
      <formula>"Cancell"</formula>
    </cfRule>
    <cfRule type="cellIs" dxfId="66" priority="69" stopIfTrue="1" operator="equal">
      <formula>"Reschedule"</formula>
    </cfRule>
  </conditionalFormatting>
  <conditionalFormatting sqref="P2">
    <cfRule type="cellIs" dxfId="65" priority="64" stopIfTrue="1" operator="equal">
      <formula>"Finished"</formula>
    </cfRule>
    <cfRule type="cellIs" dxfId="64" priority="65" stopIfTrue="1" operator="equal">
      <formula>"Canceled"</formula>
    </cfRule>
    <cfRule type="cellIs" dxfId="63" priority="66" stopIfTrue="1" operator="equal">
      <formula>"Rescheduled"</formula>
    </cfRule>
  </conditionalFormatting>
  <conditionalFormatting sqref="P2">
    <cfRule type="cellIs" dxfId="62" priority="61" stopIfTrue="1" operator="equal">
      <formula>"Finished"</formula>
    </cfRule>
    <cfRule type="cellIs" dxfId="61" priority="62" stopIfTrue="1" operator="equal">
      <formula>"Canceled"</formula>
    </cfRule>
    <cfRule type="cellIs" dxfId="60" priority="63" stopIfTrue="1" operator="equal">
      <formula>"Rescheduled"</formula>
    </cfRule>
  </conditionalFormatting>
  <conditionalFormatting sqref="Q2">
    <cfRule type="cellIs" dxfId="59" priority="58" stopIfTrue="1" operator="equal">
      <formula>"Authorized"</formula>
    </cfRule>
    <cfRule type="cellIs" dxfId="58" priority="59" stopIfTrue="1" operator="equal">
      <formula>"Rejected"</formula>
    </cfRule>
    <cfRule type="cellIs" dxfId="57" priority="60" stopIfTrue="1" operator="equal">
      <formula>"Conditioned"</formula>
    </cfRule>
  </conditionalFormatting>
  <conditionalFormatting sqref="Q2">
    <cfRule type="cellIs" dxfId="56" priority="55" stopIfTrue="1" operator="equal">
      <formula>"Authorized"</formula>
    </cfRule>
    <cfRule type="cellIs" dxfId="55" priority="56" stopIfTrue="1" operator="equal">
      <formula>"Rejected"</formula>
    </cfRule>
    <cfRule type="cellIs" dxfId="54" priority="57" stopIfTrue="1" operator="equal">
      <formula>"Conditioned"</formula>
    </cfRule>
  </conditionalFormatting>
  <conditionalFormatting sqref="Q2">
    <cfRule type="cellIs" dxfId="53" priority="52" stopIfTrue="1" operator="equal">
      <formula>"Finished"</formula>
    </cfRule>
    <cfRule type="cellIs" dxfId="52" priority="53" stopIfTrue="1" operator="equal">
      <formula>"Cancell"</formula>
    </cfRule>
    <cfRule type="cellIs" dxfId="51" priority="54" stopIfTrue="1" operator="equal">
      <formula>"Reschedule"</formula>
    </cfRule>
  </conditionalFormatting>
  <conditionalFormatting sqref="Q2">
    <cfRule type="cellIs" dxfId="50" priority="49" stopIfTrue="1" operator="equal">
      <formula>"Finished"</formula>
    </cfRule>
    <cfRule type="cellIs" dxfId="49" priority="50" stopIfTrue="1" operator="equal">
      <formula>"Canceled"</formula>
    </cfRule>
    <cfRule type="cellIs" dxfId="48" priority="51" stopIfTrue="1" operator="equal">
      <formula>"Rescheduled"</formula>
    </cfRule>
  </conditionalFormatting>
  <conditionalFormatting sqref="Q2">
    <cfRule type="cellIs" dxfId="47" priority="46" stopIfTrue="1" operator="equal">
      <formula>"Finished"</formula>
    </cfRule>
    <cfRule type="cellIs" dxfId="46" priority="47" stopIfTrue="1" operator="equal">
      <formula>"Canceled"</formula>
    </cfRule>
    <cfRule type="cellIs" dxfId="45" priority="48" stopIfTrue="1" operator="equal">
      <formula>"Rescheduled"</formula>
    </cfRule>
  </conditionalFormatting>
  <conditionalFormatting sqref="Q2">
    <cfRule type="cellIs" dxfId="44" priority="43" stopIfTrue="1" operator="equal">
      <formula>"Authorized"</formula>
    </cfRule>
    <cfRule type="cellIs" dxfId="43" priority="44" stopIfTrue="1" operator="equal">
      <formula>"Rejected"</formula>
    </cfRule>
    <cfRule type="cellIs" dxfId="42" priority="45" stopIfTrue="1" operator="equal">
      <formula>"Conditioned"</formula>
    </cfRule>
  </conditionalFormatting>
  <conditionalFormatting sqref="Q2">
    <cfRule type="cellIs" dxfId="41" priority="40" stopIfTrue="1" operator="equal">
      <formula>"Authorized"</formula>
    </cfRule>
    <cfRule type="cellIs" dxfId="40" priority="41" stopIfTrue="1" operator="equal">
      <formula>"Rejected"</formula>
    </cfRule>
    <cfRule type="cellIs" dxfId="39" priority="42" stopIfTrue="1" operator="equal">
      <formula>"Conditioned"</formula>
    </cfRule>
  </conditionalFormatting>
  <conditionalFormatting sqref="Q2">
    <cfRule type="cellIs" dxfId="38" priority="37" stopIfTrue="1" operator="equal">
      <formula>"Finished"</formula>
    </cfRule>
    <cfRule type="cellIs" dxfId="37" priority="38" stopIfTrue="1" operator="equal">
      <formula>"Cancell"</formula>
    </cfRule>
    <cfRule type="cellIs" dxfId="36" priority="39" stopIfTrue="1" operator="equal">
      <formula>"Reschedule"</formula>
    </cfRule>
  </conditionalFormatting>
  <conditionalFormatting sqref="Q2">
    <cfRule type="cellIs" dxfId="35" priority="34" stopIfTrue="1" operator="equal">
      <formula>"Finished"</formula>
    </cfRule>
    <cfRule type="cellIs" dxfId="34" priority="35" stopIfTrue="1" operator="equal">
      <formula>"Canceled"</formula>
    </cfRule>
    <cfRule type="cellIs" dxfId="33" priority="36" stopIfTrue="1" operator="equal">
      <formula>"Rescheduled"</formula>
    </cfRule>
  </conditionalFormatting>
  <conditionalFormatting sqref="Q2">
    <cfRule type="cellIs" dxfId="32" priority="31" stopIfTrue="1" operator="equal">
      <formula>"Finished"</formula>
    </cfRule>
    <cfRule type="cellIs" dxfId="31" priority="32" stopIfTrue="1" operator="equal">
      <formula>"Canceled"</formula>
    </cfRule>
    <cfRule type="cellIs" dxfId="30" priority="33" stopIfTrue="1" operator="equal">
      <formula>"Rescheduled"</formula>
    </cfRule>
  </conditionalFormatting>
  <conditionalFormatting sqref="T2">
    <cfRule type="cellIs" dxfId="29" priority="28" stopIfTrue="1" operator="equal">
      <formula>"Authorized"</formula>
    </cfRule>
    <cfRule type="cellIs" dxfId="28" priority="29" stopIfTrue="1" operator="equal">
      <formula>"Rejected"</formula>
    </cfRule>
    <cfRule type="cellIs" dxfId="27" priority="30" stopIfTrue="1" operator="equal">
      <formula>"Conditioned"</formula>
    </cfRule>
  </conditionalFormatting>
  <conditionalFormatting sqref="T2">
    <cfRule type="cellIs" dxfId="26" priority="25" stopIfTrue="1" operator="equal">
      <formula>"Authorized"</formula>
    </cfRule>
    <cfRule type="cellIs" dxfId="25" priority="26" stopIfTrue="1" operator="equal">
      <formula>"Rejected"</formula>
    </cfRule>
    <cfRule type="cellIs" dxfId="24" priority="27" stopIfTrue="1" operator="equal">
      <formula>"Conditioned"</formula>
    </cfRule>
  </conditionalFormatting>
  <conditionalFormatting sqref="BA2 AV2:AY2">
    <cfRule type="cellIs" dxfId="23" priority="22" stopIfTrue="1" operator="equal">
      <formula>"Authorized"</formula>
    </cfRule>
    <cfRule type="cellIs" dxfId="22" priority="23" stopIfTrue="1" operator="equal">
      <formula>"Rejected"</formula>
    </cfRule>
    <cfRule type="cellIs" dxfId="21" priority="24" stopIfTrue="1" operator="equal">
      <formula>"Conditioned"</formula>
    </cfRule>
  </conditionalFormatting>
  <conditionalFormatting sqref="BA2 AV2:AY2">
    <cfRule type="cellIs" dxfId="20" priority="19" stopIfTrue="1" operator="equal">
      <formula>"Authorized"</formula>
    </cfRule>
    <cfRule type="cellIs" dxfId="19" priority="20" stopIfTrue="1" operator="equal">
      <formula>"Rejected"</formula>
    </cfRule>
    <cfRule type="cellIs" dxfId="18" priority="21" stopIfTrue="1" operator="equal">
      <formula>"Conditioned"</formula>
    </cfRule>
  </conditionalFormatting>
  <conditionalFormatting sqref="AV2:AY2">
    <cfRule type="cellIs" dxfId="17" priority="16" stopIfTrue="1" operator="equal">
      <formula>"Finished"</formula>
    </cfRule>
    <cfRule type="cellIs" dxfId="16" priority="17" stopIfTrue="1" operator="equal">
      <formula>"Cancell"</formula>
    </cfRule>
    <cfRule type="cellIs" dxfId="15" priority="18" stopIfTrue="1" operator="equal">
      <formula>"Reschedule"</formula>
    </cfRule>
  </conditionalFormatting>
  <conditionalFormatting sqref="AV2:AY2">
    <cfRule type="cellIs" dxfId="14" priority="13" stopIfTrue="1" operator="equal">
      <formula>"Finished"</formula>
    </cfRule>
    <cfRule type="cellIs" dxfId="13" priority="14" stopIfTrue="1" operator="equal">
      <formula>"Canceled"</formula>
    </cfRule>
    <cfRule type="cellIs" dxfId="12" priority="15" stopIfTrue="1" operator="equal">
      <formula>"Rescheduled"</formula>
    </cfRule>
  </conditionalFormatting>
  <conditionalFormatting sqref="AV2:AY2">
    <cfRule type="cellIs" dxfId="11" priority="10" stopIfTrue="1" operator="equal">
      <formula>"Finished"</formula>
    </cfRule>
    <cfRule type="cellIs" dxfId="10" priority="11" stopIfTrue="1" operator="equal">
      <formula>"Canceled"</formula>
    </cfRule>
    <cfRule type="cellIs" dxfId="9" priority="12" stopIfTrue="1" operator="equal">
      <formula>"Rescheduled"</formula>
    </cfRule>
  </conditionalFormatting>
  <conditionalFormatting sqref="AV2:AY2">
    <cfRule type="cellIs" dxfId="8" priority="1" stopIfTrue="1" operator="equal">
      <formula>"Finished"</formula>
    </cfRule>
    <cfRule type="cellIs" dxfId="7" priority="2" stopIfTrue="1" operator="equal">
      <formula>"Cancell"</formula>
    </cfRule>
    <cfRule type="cellIs" dxfId="6" priority="3" stopIfTrue="1" operator="equal">
      <formula>"Reschedule"</formula>
    </cfRule>
    <cfRule type="cellIs" dxfId="5" priority="4" stopIfTrue="1" operator="equal">
      <formula>"Finished"</formula>
    </cfRule>
    <cfRule type="cellIs" dxfId="4" priority="5" stopIfTrue="1" operator="equal">
      <formula>"Canceled"</formula>
    </cfRule>
    <cfRule type="cellIs" dxfId="3" priority="6" stopIfTrue="1" operator="equal">
      <formula>"Rescheduled"</formula>
    </cfRule>
    <cfRule type="cellIs" dxfId="2" priority="7" stopIfTrue="1" operator="equal">
      <formula>"Finished"</formula>
    </cfRule>
    <cfRule type="cellIs" dxfId="1" priority="8" stopIfTrue="1" operator="equal">
      <formula>"Canceled"</formula>
    </cfRule>
    <cfRule type="cellIs" dxfId="0" priority="9" stopIfTrue="1" operator="equal">
      <formula>"Rescheduled"</formula>
    </cfRule>
  </conditionalFormatting>
  <dataValidations count="12">
    <dataValidation type="list" allowBlank="1" showInputMessage="1" showErrorMessage="1" sqref="AY2">
      <formula1>"Registro Fuera de Política, Entregables pendientes, No atendio obervaciones"</formula1>
    </dataValidation>
    <dataValidation type="list" allowBlank="1" showInputMessage="1" showErrorMessage="1" sqref="AZ2">
      <formula1>"Petición expresa de cliente, No aprobado en CCB, Aun no aprobado"</formula1>
    </dataValidation>
    <dataValidation type="list" allowBlank="1" showInputMessage="1" showErrorMessage="1" sqref="BC2">
      <formula1>"Mesa de Servicio, Gestión de Cambios, Linea de Servicio, GC y LS, Posible Deslinde"</formula1>
    </dataValidation>
    <dataValidation allowBlank="1" showInputMessage="1" showErrorMessage="1" promptTitle="Tiempo Respuesta Planeación SAT" prompt="Se refiere a la fecha en la que MCCTS entrega a el SAT la planeación" sqref="BK1"/>
    <dataValidation allowBlank="1" showInputMessage="1" showErrorMessage="1" promptTitle="Fin Planeación" prompt="Se refiere a la fecha en la que las líneas de servcio entregan planeación a MCCTS" sqref="BI1"/>
    <dataValidation allowBlank="1" showInputMessage="1" showErrorMessage="1" promptTitle="Inicio Planeación" prompt="Se refiere a la fecha en la que MCCTS le solicita la planeación a las líneas de servcio" sqref="BH1"/>
    <dataValidation type="list" allowBlank="1" showInputMessage="1" showErrorMessage="1" sqref="AF2">
      <formula1>"Exitoso, Fallido, En Proceso, No realizado, Cancelado"</formula1>
    </dataValidation>
    <dataValidation type="list" allowBlank="1" showInputMessage="1" showErrorMessage="1" sqref="L2">
      <formula1>"Recalendarizado, Condicionado, Aprobado, En Progreso, Rechazado, Replanificación"</formula1>
    </dataValidation>
    <dataValidation type="list" allowBlank="1" showInputMessage="1" showErrorMessage="1" sqref="X2">
      <formula1>"No Realizado, En Tiempo, Fuera de Tiempo, En Proceso, Cancelado, Con un incidente relacionado (#)"</formula1>
    </dataValidation>
    <dataValidation type="list" allowBlank="1" showInputMessage="1" showErrorMessage="1" sqref="J2">
      <formula1>"Recalendarizado, Condicionado, Aprobado, En Progreso, Rechazado"</formula1>
    </dataValidation>
    <dataValidation type="list" allowBlank="1" showInputMessage="1" showErrorMessage="1" sqref="AU2">
      <formula1>"T-Systems, SAT"</formula1>
    </dataValidation>
    <dataValidation type="list" allowBlank="1" showInputMessage="1" showErrorMessage="1" sqref="AN2">
      <formula1>"PLANEACION, ESPERA PROGRAMACION"</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48</vt:i4>
      </vt:variant>
    </vt:vector>
  </HeadingPairs>
  <TitlesOfParts>
    <vt:vector size="55" baseType="lpstr">
      <vt:lpstr>IGC</vt:lpstr>
      <vt:lpstr>CIs</vt:lpstr>
      <vt:lpstr>Plan</vt:lpstr>
      <vt:lpstr>Matriz de comunicación</vt:lpstr>
      <vt:lpstr>Anexos</vt:lpstr>
      <vt:lpstr>Guia de llenado</vt:lpstr>
      <vt:lpstr>FSC</vt:lpstr>
      <vt:lpstr>BGOB</vt:lpstr>
      <vt:lpstr>BPlan</vt:lpstr>
      <vt:lpstr>BTEAMS</vt:lpstr>
      <vt:lpstr>BVT</vt:lpstr>
      <vt:lpstr>CCN</vt:lpstr>
      <vt:lpstr>GACOST</vt:lpstr>
      <vt:lpstr>GAVL</vt:lpstr>
      <vt:lpstr>GCOMUNICACIONESSAC</vt:lpstr>
      <vt:lpstr>GDESARROLLO</vt:lpstr>
      <vt:lpstr>GEMC</vt:lpstr>
      <vt:lpstr>GGSR</vt:lpstr>
      <vt:lpstr>GHP</vt:lpstr>
      <vt:lpstr>GIBM</vt:lpstr>
      <vt:lpstr>GIBM_MTSI</vt:lpstr>
      <vt:lpstr>GMICRONET</vt:lpstr>
      <vt:lpstr>GMICROSOFT</vt:lpstr>
      <vt:lpstr>GMICROSOFTPREMIER</vt:lpstr>
      <vt:lpstr>GNOVELL</vt:lpstr>
      <vt:lpstr>GREMEDY</vt:lpstr>
      <vt:lpstr>GRESPALDOSSAT</vt:lpstr>
      <vt:lpstr>GSCITUM</vt:lpstr>
      <vt:lpstr>GSCS</vt:lpstr>
      <vt:lpstr>GSEGURIDAD</vt:lpstr>
      <vt:lpstr>GSSO3</vt:lpstr>
      <vt:lpstr>MCCTI</vt:lpstr>
      <vt:lpstr>NEGOCIO</vt:lpstr>
      <vt:lpstr>Nuevo2</vt:lpstr>
      <vt:lpstr>Nuevo3</vt:lpstr>
      <vt:lpstr>CIs!Print_Area</vt:lpstr>
      <vt:lpstr>'Guia de llenado'!Print_Area</vt:lpstr>
      <vt:lpstr>IGC!Print_Area</vt:lpstr>
      <vt:lpstr>'Matriz de comunicación'!Print_Area</vt:lpstr>
      <vt:lpstr>Plan!Print_Area</vt:lpstr>
      <vt:lpstr>IGC!Print_Titles</vt:lpstr>
      <vt:lpstr>Plan!Print_Titles</vt:lpstr>
      <vt:lpstr>SELECCION1</vt:lpstr>
      <vt:lpstr>SELECCION10</vt:lpstr>
      <vt:lpstr>SELECCION11</vt:lpstr>
      <vt:lpstr>SELECCION2</vt:lpstr>
      <vt:lpstr>SELECCION3</vt:lpstr>
      <vt:lpstr>SELECCION4</vt:lpstr>
      <vt:lpstr>SELECCION5</vt:lpstr>
      <vt:lpstr>SELECCION6</vt:lpstr>
      <vt:lpstr>SELECCION7</vt:lpstr>
      <vt:lpstr>SELECCION8</vt:lpstr>
      <vt:lpstr>SELECCION9</vt:lpstr>
      <vt:lpstr>SELECION3</vt:lpstr>
      <vt:lpstr>TPARTICIPA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goub72c3</dc:creator>
  <cp:lastModifiedBy>ADIEL JACOB GARCIA GARCIA</cp:lastModifiedBy>
  <cp:lastPrinted>2017-05-22T15:29:21Z</cp:lastPrinted>
  <dcterms:created xsi:type="dcterms:W3CDTF">2015-10-24T16:41:04Z</dcterms:created>
  <dcterms:modified xsi:type="dcterms:W3CDTF">2020-07-13T22:43:33Z</dcterms:modified>
</cp:coreProperties>
</file>