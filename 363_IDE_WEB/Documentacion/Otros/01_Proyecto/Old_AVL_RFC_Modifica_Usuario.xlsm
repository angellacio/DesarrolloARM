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workbookProtection workbookAlgorithmName="SHA-512" workbookHashValue="yOfQhwU8XKvjcQ/7wZ7+vH+xRER0cpsot1kXDh9Dw5MqRJet0Lkk4QuZMtMu0YP4+r51L+bM88Zo4SIspKDLQQ==" workbookSaltValue="ljSfs+uecH6HKv+2F21pkw==" workbookSpinCount="100000" lockStructure="1"/>
  <bookViews>
    <workbookView minimized="1" xWindow="-120" yWindow="-120" windowWidth="20730" windowHeight="1131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6">'Guia de llenado'!#REF!</definedName>
    <definedName name="_xlnm.Print_Titles" localSheetId="0">IGC!$2:$4</definedName>
    <definedName name="_xlnm.Print_Titles" localSheetId="2">Plan!$2:$3</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 r="G7"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<sst xmlns="http://schemas.openxmlformats.org/spreadsheetml/2006/main" count="578" uniqueCount="395">
  <si>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</si>
  <si>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</si>
  <si>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</si>
  <si>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</si>
  <si>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</si>
  <si>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</si>
  <si>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</si>
  <si>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</si>
  <si>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</si>
  <si>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</si>
  <si>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</si>
  <si>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</si>
  <si>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</si>
  <si>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</si>
  <si>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</si>
  <si>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</si>
  <si>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</si>
  <si>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</si>
  <si>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</si>
  <si>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</si>
  <si>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</si>
  <si>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</si>
  <si>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</si>
  <si>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</si>
  <si>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</si>
  <si>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</si>
  <si>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</si>
  <si>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</si>
  <si>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</si>
  <si>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</si>
  <si>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</si>
  <si>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</si>
  <si>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</si>
  <si>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</si>
  <si>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</si>
  <si>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</si>
  <si>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</si>
  <si>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</si>
  <si>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</si>
  <si>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</si>
  <si>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</si>
  <si>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</si>
  <si>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</si>
  <si>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</si>
  <si>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</si>
  <si>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</si>
  <si>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</si>
  <si>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</si>
  <si>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</si>
  <si>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</si>
  <si>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</si>
  <si>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</si>
  <si>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</si>
  <si>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</si>
  <si>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</si>
  <si>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</si>
  <si>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</si>
  <si>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</si>
  <si>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</si>
  <si>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</si>
  <si>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</si>
  <si>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</si>
  <si>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</si>
  <si>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</si>
  <si>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</si>
  <si>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</si>
  <si>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</si>
  <si>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</si>
  <si>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</si>
  <si>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</si>
  <si>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</si>
  <si>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</si>
  <si>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</si>
  <si>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</si>
  <si>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</si>
  <si>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</si>
  <si>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</si>
  <si>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</si>
  <si>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</si>
  <si>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</si>
  <si>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</si>
  <si>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</si>
  <si>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</si>
  <si>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</si>
  <si>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</si>
  <si>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</si>
  <si>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</si>
  <si>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</si>
  <si>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</si>
  <si>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</si>
  <si>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</si>
  <si>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</si>
  <si>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</si>
  <si>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</si>
  <si>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</si>
  <si>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</si>
  <si>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</si>
  <si>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</si>
  <si>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</si>
  <si>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</si>
  <si>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</si>
  <si>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</si>
  <si>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</si>
  <si>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</si>
  <si>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</si>
  <si>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</si>
  <si>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</si>
  <si>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</si>
  <si>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</si>
  <si>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</si>
  <si>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</si>
  <si>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</si>
  <si>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</si>
  <si>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</si>
  <si>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</si>
  <si>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</si>
  <si>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</si>
  <si>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</si>
  <si>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</si>
  <si>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</si>
  <si>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</si>
  <si>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</si>
  <si>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</si>
  <si>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</si>
  <si>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</si>
  <si>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</si>
  <si>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</si>
  <si>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</si>
  <si>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</si>
  <si>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</si>
  <si>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</si>
  <si>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</si>
  <si>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</si>
  <si>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</si>
  <si>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</si>
  <si>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</si>
  <si>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</si>
  <si>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</si>
  <si>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</si>
  <si>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</si>
  <si>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</si>
  <si>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</si>
  <si>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</si>
  <si>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</si>
  <si>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</si>
  <si>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</si>
  <si>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</si>
  <si>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</si>
  <si>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</si>
  <si>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</si>
  <si>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</si>
  <si>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</si>
  <si>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</si>
  <si>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</si>
  <si>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</si>
  <si>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</si>
  <si>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</si>
  <si>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</si>
  <si>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</si>
  <si>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</si>
  <si>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</si>
  <si>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</si>
  <si>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</si>
  <si>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</si>
  <si>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</si>
  <si>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</si>
  <si>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</si>
  <si>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</si>
  <si>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</si>
  <si>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</si>
  <si>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</si>
  <si>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</si>
  <si>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</si>
  <si>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</si>
  <si>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</si>
  <si>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</si>
  <si>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</si>
  <si>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</si>
  <si>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</si>
  <si>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</si>
  <si>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</si>
  <si>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</si>
  <si>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</si>
  <si>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</si>
  <si>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</si>
  <si>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</si>
  <si>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</si>
  <si>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</si>
  <si>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</si>
  <si>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</si>
  <si>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</si>
  <si>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</si>
  <si>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</si>
  <si>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</si>
  <si>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</si>
  <si>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</si>
  <si>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</si>
  <si>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</si>
  <si>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</si>
  <si>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</si>
  <si>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</si>
  <si>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</si>
  <si>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</si>
  <si>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</si>
  <si>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</si>
  <si>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</si>
  <si>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</si>
  <si>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</si>
  <si>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</si>
  <si>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</si>
  <si>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</si>
  <si>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</si>
  <si>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</si>
  <si>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</si>
  <si>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</si>
  <si>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</si>
  <si>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</si>
  <si>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</si>
  <si>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</si>
  <si>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</si>
  <si>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</si>
  <si>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</si>
  <si>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</si>
  <si>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</si>
  <si>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</si>
  <si>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</si>
  <si>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</si>
  <si>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</si>
  <si>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</si>
  <si>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</si>
  <si>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</si>
  <si>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</si>
  <si>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</si>
  <si>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</si>
  <si>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</si>
  <si>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</si>
  <si>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</si>
  <si>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</si>
  <si>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</si>
  <si>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</si>
  <si>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</si>
  <si>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</si>
  <si>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</si>
  <si>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</si>
  <si>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</si>
  <si>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</si>
  <si>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</si>
  <si>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</si>
  <si>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</si>
  <si>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</si>
  <si>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</si>
  <si>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</si>
  <si>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</si>
  <si>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</si>
  <si>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</si>
  <si>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</si>
  <si>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</si>
  <si>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</si>
  <si>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</si>
  <si>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</si>
  <si>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</si>
  <si>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</si>
  <si>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</si>
  <si>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</si>
  <si>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</si>
  <si>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</si>
  <si>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</si>
  <si>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</si>
  <si>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</si>
  <si>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</si>
  <si>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</si>
  <si>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</si>
  <si>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</si>
  <si>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</si>
  <si>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</si>
  <si>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</si>
  <si>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</si>
  <si>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</si>
  <si>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</si>
  <si>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</si>
  <si>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</si>
  <si>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</si>
  <si>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</si>
  <si>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</si>
  <si>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</si>
  <si>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</si>
  <si>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</si>
  <si>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</si>
  <si>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</si>
  <si>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</si>
  <si>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</si>
  <si>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</si>
  <si>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</si>
  <si>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</si>
  <si>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</si>
  <si>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</si>
  <si>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</si>
  <si>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</si>
  <si>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</si>
  <si>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</si>
  <si>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</si>
  <si>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</si>
  <si>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</si>
  <si>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</si>
  <si>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</si>
  <si>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</si>
  <si>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</si>
  <si>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</si>
  <si>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</si>
  <si>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</si>
  <si>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</si>
  <si>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</si>
  <si>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</si>
  <si>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</si>
  <si>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</si>
  <si>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</si>
  <si>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</si>
  <si>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</si>
  <si>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</si>
  <si>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</si>
  <si>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</si>
  <si>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</si>
  <si>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</si>
  <si>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</si>
  <si>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</si>
  <si>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</si>
  <si>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</si>
  <si>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</si>
  <si>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</si>
  <si>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</si>
  <si>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</si>
  <si>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</si>
  <si>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</si>
  <si>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</si>
  <si>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</si>
  <si>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</si>
  <si>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</si>
  <si>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</si>
  <si>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</si>
  <si>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</si>
  <si>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</si>
  <si>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</si>
  <si>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</si>
  <si>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</si>
  <si>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</si>
  <si>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</si>
  <si>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</si>
  <si>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</si>
  <si>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</si>
  <si>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</si>
  <si>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</si>
  <si>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</si>
  <si>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</si>
  <si>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</si>
  <si>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</si>
  <si>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</si>
  <si>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</si>
  <si>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</si>
  <si>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</si>
  <si>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</si>
  <si>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</si>
  <si>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</si>
  <si>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</si>
  <si>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</si>
  <si>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</si>
  <si>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</si>
  <si>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</si>
  <si>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</si>
  <si>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</si>
  <si>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</si>
  <si>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</si>
  <si>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</si>
  <si>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</si>
  <si>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</si>
  <si>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</si>
  <si>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</si>
  <si>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</si>
  <si>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Adriana Miranda Figueroa  / adriana.miranda@sat.gob.mx</t>
  </si>
  <si>
    <t>El aplicativo de IDE-WEB utiliza seguridad integrada.</t>
  </si>
  <si>
    <t>Estándar</t>
  </si>
  <si>
    <t>No se prodrá utilizar el aplicativo de IDE-WEB</t>
  </si>
  <si>
    <t>Eliminar cuenta UsrIDEWEB</t>
  </si>
  <si>
    <t>Directorio Activo</t>
  </si>
  <si>
    <t>Se solicita que el área de seguridad de T-System genere el usuario de dominio para el aplicativo de IDE-WEB.</t>
  </si>
  <si>
    <t>raul.nieto@sat.gob.mx</t>
  </si>
  <si>
    <t>Raul Nieto Lopez</t>
  </si>
  <si>
    <t>POL 832</t>
  </si>
  <si>
    <t>cpidwuatnete01</t>
  </si>
  <si>
    <t>cpidwuatnete02</t>
  </si>
  <si>
    <t>10.237.10.70</t>
  </si>
  <si>
    <t>10.237.10.71</t>
  </si>
  <si>
    <t xml:space="preserve">DYPP_IPP_Cuenta Única Web. – Actualizar funcionalidades para la Certificación de Declaraciones y Pagos. </t>
  </si>
  <si>
    <t>Modificar un usuario de dominio para IDE-WEB</t>
  </si>
  <si>
    <t xml:space="preserve">Modificar el grupo al que pertenece la cuenta de dominio del siguiente usuario: 
nombre: usrIDEWEB
Contraseña: Resguardada por Fernando Soriano
miembro: Domains User
</t>
  </si>
  <si>
    <t xml:space="preserve">Validar que exista en el event log la carpeta con nombre wcfPDF en caso de que no exista ejecutar el siguiente script desde la ventana de cmd con permisos de administrador
reg add \\.\HKLM\SYSTEM\CurrentControlSet\Application\Eventlog\wcfPDF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</si>
</sst>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42" fillId="13" borderId="0" xfId="2" applyFont="1" applyFill="1" applyBorder="1" applyAlignment="1">
      <alignment horizontal="left" vertical="top" wrapText="1"/>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3" fillId="0" borderId="13" xfId="25" applyFont="1" applyFill="1" applyBorder="1" applyAlignment="1" applyProtection="1">
      <alignment wrapText="1"/>
      <protection locked="0"/>
    </xf>
    <xf numFmtId="0" fontId="26" fillId="13" borderId="13" xfId="0" applyFont="1" applyFill="1" applyBorder="1" applyAlignment="1">
      <alignment horizontal="center"/>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9" fillId="9" borderId="13" xfId="0" applyFont="1" applyFill="1" applyBorder="1" applyAlignment="1" applyProtection="1">
      <alignment horizontal="left" vertical="top"/>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266">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0</xdr:rowOff>
    </xdr:from>
    <xdr:to>
      <xdr:col>5</xdr:col>
      <xdr:colOff>3487</xdr:colOff>
      <xdr:row>21</xdr:row>
      <xdr:rowOff>85725</xdr:rowOff>
    </xdr:to>
    <xdr:pic>
      <xdr:nvPicPr>
        <xdr:cNvPr id="2" name="Imagen 3" descr="image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190500"/>
          <a:ext cx="3022912" cy="389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LibretaFolios\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5"/>
  <sheetViews>
    <sheetView tabSelected="1" topLeftCell="A7" zoomScale="80" zoomScaleNormal="80" zoomScaleSheetLayoutView="100" workbookViewId="0">
      <selection activeCell="C12" sqref="C12"/>
    </sheetView>
  </sheetViews>
  <sheetFormatPr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201" t="s">
        <v>278</v>
      </c>
      <c r="C2" s="201"/>
      <c r="D2" s="201"/>
      <c r="E2" s="129"/>
      <c r="F2" s="119"/>
      <c r="G2" s="119"/>
      <c r="H2" s="119"/>
      <c r="I2" s="130"/>
    </row>
    <row r="3" spans="1:9" ht="3" customHeight="1">
      <c r="A3" s="119"/>
      <c r="B3" s="131"/>
      <c r="C3" s="132"/>
      <c r="D3" s="133"/>
      <c r="E3" s="133"/>
      <c r="F3" s="119"/>
      <c r="G3" s="119"/>
      <c r="H3" s="119"/>
      <c r="I3" s="130"/>
    </row>
    <row r="4" spans="1:9">
      <c r="A4" s="119"/>
      <c r="B4" s="207" t="s">
        <v>356</v>
      </c>
      <c r="C4" s="208"/>
      <c r="D4" s="208"/>
      <c r="E4" s="208"/>
      <c r="F4" s="119"/>
      <c r="G4" s="119"/>
      <c r="H4" s="119"/>
      <c r="I4" s="130"/>
    </row>
    <row r="5" spans="1:9" ht="32.25" customHeight="1">
      <c r="A5" s="134"/>
      <c r="B5" s="127" t="s">
        <v>243</v>
      </c>
      <c r="C5" s="135"/>
      <c r="D5" s="127" t="s">
        <v>250</v>
      </c>
      <c r="E5" s="136">
        <v>44023.833333333336</v>
      </c>
      <c r="F5" s="114"/>
      <c r="G5" s="114"/>
      <c r="H5" s="114"/>
      <c r="I5" s="137"/>
    </row>
    <row r="6" spans="1:9" ht="42" customHeight="1">
      <c r="A6" s="134"/>
      <c r="B6" s="138" t="s">
        <v>263</v>
      </c>
      <c r="C6" s="139" t="s">
        <v>386</v>
      </c>
      <c r="D6" s="138" t="s">
        <v>279</v>
      </c>
      <c r="E6" s="139"/>
      <c r="F6" s="114"/>
      <c r="G6" s="140"/>
      <c r="H6" s="114"/>
    </row>
    <row r="7" spans="1:9" ht="53.25" customHeight="1">
      <c r="A7" s="134"/>
      <c r="B7" s="127" t="s">
        <v>251</v>
      </c>
      <c r="C7" s="135" t="s">
        <v>369</v>
      </c>
      <c r="D7" s="127" t="s">
        <v>239</v>
      </c>
      <c r="E7" s="135" t="s">
        <v>391</v>
      </c>
      <c r="F7" s="114"/>
      <c r="G7" s="139"/>
      <c r="H7" s="141" t="s">
        <v>125</v>
      </c>
    </row>
    <row r="8" spans="1:9" ht="60.75" customHeight="1">
      <c r="A8" s="134"/>
      <c r="B8" s="142" t="s">
        <v>237</v>
      </c>
      <c r="C8" s="139" t="s">
        <v>392</v>
      </c>
      <c r="D8" s="142" t="s">
        <v>240</v>
      </c>
      <c r="E8" s="135" t="s">
        <v>127</v>
      </c>
      <c r="F8" s="114"/>
      <c r="G8" s="143" t="s">
        <v>127</v>
      </c>
      <c r="H8" s="114"/>
      <c r="I8" s="137"/>
    </row>
    <row r="9" spans="1:9" ht="50.25" customHeight="1">
      <c r="A9" s="134"/>
      <c r="B9" s="127" t="s">
        <v>235</v>
      </c>
      <c r="C9" s="202" t="s">
        <v>383</v>
      </c>
      <c r="D9" s="203"/>
      <c r="E9" s="204"/>
      <c r="F9" s="114"/>
      <c r="G9" s="143"/>
      <c r="H9" s="114"/>
      <c r="I9" s="137"/>
    </row>
    <row r="10" spans="1:9" ht="63.75" customHeight="1">
      <c r="A10" s="134"/>
      <c r="B10" s="142" t="s">
        <v>236</v>
      </c>
      <c r="C10" s="202" t="s">
        <v>378</v>
      </c>
      <c r="D10" s="203"/>
      <c r="E10" s="204"/>
      <c r="F10" s="114"/>
      <c r="G10" s="143" t="s">
        <v>120</v>
      </c>
      <c r="H10" s="114"/>
      <c r="I10" s="144"/>
    </row>
    <row r="11" spans="1:9" ht="61.5" customHeight="1">
      <c r="A11" s="134"/>
      <c r="B11" s="142" t="s">
        <v>238</v>
      </c>
      <c r="C11" s="135" t="s">
        <v>379</v>
      </c>
      <c r="D11" s="205"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206"/>
      <c r="F11" s="114"/>
      <c r="G11" s="143"/>
      <c r="H11" s="114"/>
      <c r="I11" s="144"/>
    </row>
    <row r="12" spans="1:9" ht="69.75" customHeight="1">
      <c r="A12" s="134"/>
      <c r="B12" s="127" t="s">
        <v>341</v>
      </c>
      <c r="C12" s="139" t="s">
        <v>380</v>
      </c>
      <c r="D12" s="127" t="s">
        <v>252</v>
      </c>
      <c r="E12" s="136">
        <v>43777.666666666664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202" t="s">
        <v>368</v>
      </c>
      <c r="D14" s="203"/>
      <c r="E14" s="204"/>
      <c r="F14" s="114"/>
      <c r="G14" s="114"/>
      <c r="H14" s="114"/>
    </row>
    <row r="15" spans="1:9" ht="47.25" customHeight="1">
      <c r="A15" s="134"/>
      <c r="B15" s="127" t="s">
        <v>254</v>
      </c>
      <c r="C15" s="202" t="s">
        <v>368</v>
      </c>
      <c r="D15" s="203"/>
      <c r="E15" s="204"/>
      <c r="F15" s="114"/>
      <c r="G15" s="114"/>
      <c r="H15" s="114"/>
    </row>
    <row r="16" spans="1:9" ht="21" customHeight="1">
      <c r="A16" s="134"/>
      <c r="B16" s="198" t="s">
        <v>204</v>
      </c>
      <c r="C16" s="199"/>
      <c r="D16" s="199"/>
      <c r="E16" s="200"/>
      <c r="F16" s="114"/>
      <c r="G16" s="114"/>
      <c r="H16" s="114"/>
    </row>
    <row r="17" spans="1:8" ht="57" customHeight="1">
      <c r="A17" s="134"/>
      <c r="B17" s="146" t="s">
        <v>256</v>
      </c>
      <c r="C17" s="188"/>
      <c r="D17" s="189"/>
      <c r="E17" s="190"/>
      <c r="F17" s="114"/>
      <c r="G17" s="147"/>
      <c r="H17" s="148"/>
    </row>
    <row r="18" spans="1:8" ht="58.5" customHeight="1">
      <c r="A18" s="134"/>
      <c r="B18" s="149" t="s">
        <v>283</v>
      </c>
      <c r="C18" s="135"/>
      <c r="D18" s="194" t="str">
        <f>IF(C18="Nulo","No se tendrá Afectación al Servicio o Componentes",IF(C18="Parcial","Se presentará Intermitencia o Degradación en el Servicio",IF(C18="Total","Se presentará Afectación del Servicio o Componentes durante la Ventana de Tiempo","")))</f>
        <v/>
      </c>
      <c r="E18" s="195"/>
      <c r="F18" s="114"/>
      <c r="G18" s="150"/>
      <c r="H18" s="141" t="s">
        <v>124</v>
      </c>
    </row>
    <row r="19" spans="1:8" ht="51" customHeight="1">
      <c r="A19" s="134"/>
      <c r="B19" s="149" t="s">
        <v>284</v>
      </c>
      <c r="C19" s="191"/>
      <c r="D19" s="192"/>
      <c r="E19" s="193"/>
      <c r="F19" s="114"/>
      <c r="G19" s="114"/>
      <c r="H19" s="114"/>
    </row>
    <row r="20" spans="1:8" ht="51" customHeight="1">
      <c r="A20" s="134"/>
      <c r="B20" s="149" t="s">
        <v>257</v>
      </c>
      <c r="C20" s="151"/>
      <c r="D20" s="196"/>
      <c r="E20" s="197"/>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43777.673611111109</v>
      </c>
      <c r="F23" s="114"/>
      <c r="G23" s="114"/>
      <c r="H23" s="114"/>
    </row>
    <row r="24" spans="1:8" ht="36" customHeight="1">
      <c r="A24" s="134"/>
      <c r="B24" s="149" t="s">
        <v>288</v>
      </c>
      <c r="C24" s="153" t="str">
        <f>IF(Plan!D4=0,"Selecciona VT Actividad en Pestaña Plan celda D4",Plan!D4)</f>
        <v>Selecciona VT Actividad en Pestaña Plan celda D4</v>
      </c>
      <c r="D24" s="186"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87"/>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191"/>
      <c r="D26" s="192"/>
      <c r="E26" s="193"/>
      <c r="F26" s="114"/>
      <c r="G26" s="114"/>
      <c r="H26" s="114"/>
    </row>
    <row r="27" spans="1:8" ht="39" customHeight="1">
      <c r="A27" s="134"/>
      <c r="B27" s="146" t="s">
        <v>260</v>
      </c>
      <c r="C27" s="183"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84"/>
      <c r="E27" s="185"/>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16:E16"/>
    <mergeCell ref="B2:D2"/>
    <mergeCell ref="C9:E9"/>
    <mergeCell ref="C10:E10"/>
    <mergeCell ref="C14:E14"/>
    <mergeCell ref="C15:E15"/>
    <mergeCell ref="D11:E11"/>
    <mergeCell ref="B4:E4"/>
    <mergeCell ref="C27:E27"/>
    <mergeCell ref="D24:E24"/>
    <mergeCell ref="C17:E17"/>
    <mergeCell ref="C26:E26"/>
    <mergeCell ref="C19:E19"/>
    <mergeCell ref="D18:E18"/>
    <mergeCell ref="D20:E20"/>
  </mergeCells>
  <conditionalFormatting sqref="C27:E27">
    <cfRule type="containsText" dxfId="1265" priority="127" operator="containsText" text="Captura los Aprobadores en la Pestaña Matriz de Comunicación">
      <formula>NOT(ISERROR(SEARCH("Captura los Aprobadores en la Pestaña Matriz de Comunicación",C27)))</formula>
    </cfRule>
    <cfRule type="containsText" dxfId="1264"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63" priority="61">
      <formula>LEN(TRIM(C23))=0</formula>
    </cfRule>
    <cfRule type="containsText" dxfId="1262" priority="173" operator="containsText" text="Captura F/H Primer Actividad pestaña Plan">
      <formula>NOT(ISERROR(SEARCH("Captura F/H Primer Actividad pestaña Plan",C23)))</formula>
    </cfRule>
  </conditionalFormatting>
  <conditionalFormatting sqref="E23">
    <cfRule type="containsText" dxfId="1261" priority="172" operator="containsText" text="Captura Actividad Macro FIN en Pestaña Plan">
      <formula>NOT(ISERROR(SEARCH("Captura Actividad Macro FIN en Pestaña Plan",E23)))</formula>
    </cfRule>
  </conditionalFormatting>
  <conditionalFormatting sqref="D24:E24">
    <cfRule type="containsText" dxfId="1260" priority="170" operator="containsText" text="Selecciona en la pestaña Plan la opción en la Celda D4">
      <formula>NOT(ISERROR(SEARCH("Selecciona en la pestaña Plan la opción en la Celda D4",D24)))</formula>
    </cfRule>
  </conditionalFormatting>
  <conditionalFormatting sqref="C6">
    <cfRule type="containsBlanks" dxfId="1259" priority="190">
      <formula>LEN(TRIM(C6))=0</formula>
    </cfRule>
  </conditionalFormatting>
  <conditionalFormatting sqref="E6">
    <cfRule type="containsBlanks" dxfId="1258" priority="191">
      <formula>LEN(TRIM(E6))=0</formula>
    </cfRule>
  </conditionalFormatting>
  <conditionalFormatting sqref="C8">
    <cfRule type="containsBlanks" dxfId="1257" priority="195">
      <formula>LEN(TRIM(C8))=0</formula>
    </cfRule>
  </conditionalFormatting>
  <conditionalFormatting sqref="C9">
    <cfRule type="containsBlanks" dxfId="1256" priority="196">
      <formula>LEN(TRIM(C9))=0</formula>
    </cfRule>
  </conditionalFormatting>
  <conditionalFormatting sqref="C10">
    <cfRule type="containsBlanks" dxfId="1255" priority="197">
      <formula>LEN(TRIM(C10))=0</formula>
    </cfRule>
  </conditionalFormatting>
  <conditionalFormatting sqref="C12">
    <cfRule type="containsBlanks" dxfId="1254" priority="198">
      <formula>LEN(TRIM(C12))=0</formula>
    </cfRule>
  </conditionalFormatting>
  <conditionalFormatting sqref="C11">
    <cfRule type="containsBlanks" dxfId="1253" priority="199">
      <formula>LEN(TRIM(C11))=0</formula>
    </cfRule>
  </conditionalFormatting>
  <conditionalFormatting sqref="C13">
    <cfRule type="containsBlanks" dxfId="1252" priority="200">
      <formula>LEN(TRIM(C13))=0</formula>
    </cfRule>
  </conditionalFormatting>
  <conditionalFormatting sqref="E13">
    <cfRule type="containsBlanks" dxfId="1251" priority="201">
      <formula>LEN(TRIM(E13))=0</formula>
    </cfRule>
  </conditionalFormatting>
  <conditionalFormatting sqref="C14">
    <cfRule type="containsBlanks" dxfId="1250" priority="202">
      <formula>LEN(TRIM(C14))=0</formula>
    </cfRule>
  </conditionalFormatting>
  <conditionalFormatting sqref="C15">
    <cfRule type="containsBlanks" dxfId="1249" priority="203">
      <formula>LEN(TRIM(C15))=0</formula>
    </cfRule>
  </conditionalFormatting>
  <conditionalFormatting sqref="E5">
    <cfRule type="containsBlanks" dxfId="1248" priority="194">
      <formula>LEN(TRIM(E5))=0</formula>
    </cfRule>
  </conditionalFormatting>
  <conditionalFormatting sqref="C17">
    <cfRule type="containsBlanks" dxfId="1247" priority="189">
      <formula>LEN(TRIM(C17))=0</formula>
    </cfRule>
  </conditionalFormatting>
  <conditionalFormatting sqref="C18">
    <cfRule type="containsBlanks" dxfId="1246" priority="188">
      <formula>LEN(TRIM(C18))=0</formula>
    </cfRule>
  </conditionalFormatting>
  <conditionalFormatting sqref="E7">
    <cfRule type="containsBlanks" dxfId="1245" priority="77">
      <formula>LEN(TRIM(E7))=0</formula>
    </cfRule>
  </conditionalFormatting>
  <conditionalFormatting sqref="C7">
    <cfRule type="containsBlanks" dxfId="1244" priority="75">
      <formula>LEN(TRIM(C7))=0</formula>
    </cfRule>
  </conditionalFormatting>
  <conditionalFormatting sqref="C19:C20">
    <cfRule type="containsBlanks" dxfId="1243" priority="71">
      <formula>LEN(TRIM(C19))=0</formula>
    </cfRule>
  </conditionalFormatting>
  <conditionalFormatting sqref="C21">
    <cfRule type="containsBlanks" dxfId="1242" priority="69">
      <formula>LEN(TRIM(C21))=0</formula>
    </cfRule>
  </conditionalFormatting>
  <conditionalFormatting sqref="E21">
    <cfRule type="containsBlanks" dxfId="1241" priority="67">
      <formula>LEN(TRIM(E21))=0</formula>
    </cfRule>
  </conditionalFormatting>
  <conditionalFormatting sqref="E22">
    <cfRule type="containsBlanks" dxfId="1240" priority="63">
      <formula>LEN(TRIM(E22))=0</formula>
    </cfRule>
  </conditionalFormatting>
  <conditionalFormatting sqref="C24">
    <cfRule type="containsText" dxfId="1239" priority="14" operator="containsText" text="Selecciona VT Actividad en Pestaña Plan celda D4">
      <formula>NOT(ISERROR(SEARCH("Selecciona VT Actividad en Pestaña Plan celda D4",C24)))</formula>
    </cfRule>
    <cfRule type="containsBlanks" dxfId="1238" priority="59">
      <formula>LEN(TRIM(C24))=0</formula>
    </cfRule>
    <cfRule type="containsText" dxfId="1237" priority="60" operator="containsText" text="Captura F/H Primer Actividad pestaña Plan">
      <formula>NOT(ISERROR(SEARCH("Captura F/H Primer Actividad pestaña Plan",C24)))</formula>
    </cfRule>
  </conditionalFormatting>
  <conditionalFormatting sqref="C25">
    <cfRule type="containsText" dxfId="1236" priority="13" operator="containsText" text="Captura Actividad Macro VTI pestaña PIan">
      <formula>NOT(ISERROR(SEARCH("Captura Actividad Macro VTI pestaña PIan",C25)))</formula>
    </cfRule>
    <cfRule type="containsText" dxfId="1235" priority="58" operator="containsText" text="Captura F/H Primer Actividad pestaña Plan">
      <formula>NOT(ISERROR(SEARCH("Captura F/H Primer Actividad pestaña Plan",C25)))</formula>
    </cfRule>
  </conditionalFormatting>
  <conditionalFormatting sqref="E25">
    <cfRule type="containsText" dxfId="1234" priority="12" operator="containsText" text="Captura Actividad Macro VTF Pestaña Plan">
      <formula>NOT(ISERROR(SEARCH("Captura Actividad Macro VTF Pestaña Plan",E25)))</formula>
    </cfRule>
    <cfRule type="containsText" dxfId="1233" priority="56" operator="containsText" text="Captura F/H Primer Actividad pestaña Plan">
      <formula>NOT(ISERROR(SEARCH("Captura F/H Primer Actividad pestaña Plan",E25)))</formula>
    </cfRule>
  </conditionalFormatting>
  <conditionalFormatting sqref="C26">
    <cfRule type="containsBlanks" dxfId="1232" priority="54">
      <formula>LEN(TRIM(C26))=0</formula>
    </cfRule>
  </conditionalFormatting>
  <conditionalFormatting sqref="C22">
    <cfRule type="containsBlanks" dxfId="1231" priority="52">
      <formula>LEN(TRIM(C22))=0</formula>
    </cfRule>
  </conditionalFormatting>
  <conditionalFormatting sqref="G29">
    <cfRule type="containsBlanks" dxfId="1230" priority="192">
      <formula>LEN(TRIM(G29))=0</formula>
    </cfRule>
  </conditionalFormatting>
  <conditionalFormatting sqref="C29">
    <cfRule type="containsText" dxfId="1229" priority="46" operator="containsText" text="Captura F/H Primer Actividad pestaña Plan">
      <formula>NOT(ISERROR(SEARCH("Captura F/H Primer Actividad pestaña Plan",C29)))</formula>
    </cfRule>
    <cfRule type="containsBlanks" dxfId="1228" priority="193">
      <formula>LEN(TRIM(C29))=0</formula>
    </cfRule>
  </conditionalFormatting>
  <conditionalFormatting sqref="E29">
    <cfRule type="containsText" dxfId="1227" priority="43" operator="containsText" text="Captura F/H Primer Actividad pestaña Plan">
      <formula>NOT(ISERROR(SEARCH("Captura F/H Primer Actividad pestaña Plan",E29)))</formula>
    </cfRule>
    <cfRule type="containsBlanks" dxfId="1226" priority="44">
      <formula>LEN(TRIM(E29))=0</formula>
    </cfRule>
  </conditionalFormatting>
  <conditionalFormatting sqref="C31">
    <cfRule type="containsText" dxfId="1225" priority="37" operator="containsText" text="Captura F/H Primer Actividad pestaña Plan">
      <formula>NOT(ISERROR(SEARCH("Captura F/H Primer Actividad pestaña Plan",C31)))</formula>
    </cfRule>
    <cfRule type="containsBlanks" dxfId="1224" priority="38">
      <formula>LEN(TRIM(C31))=0</formula>
    </cfRule>
  </conditionalFormatting>
  <conditionalFormatting sqref="E31">
    <cfRule type="containsText" dxfId="1223" priority="35" operator="containsText" text="Captura F/H Primer Actividad pestaña Plan">
      <formula>NOT(ISERROR(SEARCH("Captura F/H Primer Actividad pestaña Plan",E31)))</formula>
    </cfRule>
    <cfRule type="containsBlanks" dxfId="1222" priority="36">
      <formula>LEN(TRIM(E31))=0</formula>
    </cfRule>
  </conditionalFormatting>
  <conditionalFormatting sqref="C32">
    <cfRule type="containsText" dxfId="1221" priority="33" operator="containsText" text="Captura F/H Primer Actividad pestaña Plan">
      <formula>NOT(ISERROR(SEARCH("Captura F/H Primer Actividad pestaña Plan",C32)))</formula>
    </cfRule>
    <cfRule type="containsBlanks" dxfId="1220" priority="34">
      <formula>LEN(TRIM(C32))=0</formula>
    </cfRule>
  </conditionalFormatting>
  <conditionalFormatting sqref="E32">
    <cfRule type="containsText" dxfId="1219" priority="31" operator="containsText" text="Captura F/H Primer Actividad pestaña Plan">
      <formula>NOT(ISERROR(SEARCH("Captura F/H Primer Actividad pestaña Plan",E32)))</formula>
    </cfRule>
    <cfRule type="containsBlanks" dxfId="1218" priority="32">
      <formula>LEN(TRIM(E32))=0</formula>
    </cfRule>
  </conditionalFormatting>
  <conditionalFormatting sqref="G18">
    <cfRule type="containsBlanks" dxfId="1217" priority="30">
      <formula>LEN(TRIM(G18))=0</formula>
    </cfRule>
  </conditionalFormatting>
  <conditionalFormatting sqref="G7">
    <cfRule type="containsBlanks" dxfId="1216" priority="28">
      <formula>LEN(TRIM(G7))=0</formula>
    </cfRule>
  </conditionalFormatting>
  <conditionalFormatting sqref="C33">
    <cfRule type="containsBlanks" dxfId="1215" priority="22">
      <formula>LEN(TRIM(C33))=0</formula>
    </cfRule>
  </conditionalFormatting>
  <conditionalFormatting sqref="E33">
    <cfRule type="containsBlanks" dxfId="1214" priority="20">
      <formula>LEN(TRIM(E33))=0</formula>
    </cfRule>
  </conditionalFormatting>
  <conditionalFormatting sqref="E12">
    <cfRule type="containsBlanks" dxfId="1213" priority="18">
      <formula>LEN(TRIM(E12))=0</formula>
    </cfRule>
  </conditionalFormatting>
  <conditionalFormatting sqref="E8">
    <cfRule type="containsBlanks" dxfId="1212" priority="16">
      <formula>LEN(TRIM(E8))=0</formula>
    </cfRule>
  </conditionalFormatting>
  <conditionalFormatting sqref="E30">
    <cfRule type="containsText" dxfId="1211" priority="8" operator="containsText" text="Captura F/H Primer Actividad pestaña Plan">
      <formula>NOT(ISERROR(SEARCH("Captura F/H Primer Actividad pestaña Plan",E30)))</formula>
    </cfRule>
    <cfRule type="containsBlanks" dxfId="1210" priority="9">
      <formula>LEN(TRIM(E30))=0</formula>
    </cfRule>
  </conditionalFormatting>
  <conditionalFormatting sqref="C30">
    <cfRule type="containsText" dxfId="1209" priority="2" operator="containsText" text="Captura F/H Primer Actividad pestaña Plan">
      <formula>NOT(ISERROR(SEARCH("Captura F/H Primer Actividad pestaña Plan",C30)))</formula>
    </cfRule>
    <cfRule type="containsBlanks" dxfId="1208" priority="3">
      <formula>LEN(TRIM(C30))=0</formula>
    </cfRule>
  </conditionalFormatting>
  <conditionalFormatting sqref="C5">
    <cfRule type="containsBlanks" dxfId="1207"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$G$8:$G$10</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 D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Normal="100" workbookViewId="0">
      <selection activeCell="E11" sqref="E11"/>
    </sheetView>
  </sheetViews>
  <sheetFormatPr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23.25" customHeight="1">
      <c r="C4" s="209" t="s">
        <v>13</v>
      </c>
      <c r="D4" s="209"/>
      <c r="E4" s="122" t="s">
        <v>14</v>
      </c>
      <c r="F4" s="123" t="s">
        <v>319</v>
      </c>
      <c r="G4" s="123" t="s">
        <v>15</v>
      </c>
      <c r="H4" s="123" t="s">
        <v>16</v>
      </c>
    </row>
    <row r="5" spans="3:8" ht="31.5" customHeight="1">
      <c r="C5" s="210" t="s">
        <v>387</v>
      </c>
      <c r="D5" s="211"/>
      <c r="E5" s="90" t="s">
        <v>389</v>
      </c>
      <c r="F5" s="125" t="s">
        <v>382</v>
      </c>
      <c r="G5" s="126"/>
      <c r="H5" s="126"/>
    </row>
    <row r="6" spans="3:8" ht="13.5">
      <c r="C6" s="210" t="s">
        <v>388</v>
      </c>
      <c r="D6" s="211"/>
      <c r="E6" s="90" t="s">
        <v>390</v>
      </c>
      <c r="F6" s="125"/>
      <c r="G6" s="125"/>
      <c r="H6" s="126"/>
    </row>
    <row r="7" spans="3:8" ht="40.5" customHeight="1">
      <c r="C7" s="210"/>
      <c r="D7" s="211"/>
      <c r="E7" s="90"/>
      <c r="F7" s="125"/>
      <c r="G7" s="125"/>
      <c r="H7" s="126"/>
    </row>
    <row r="8" spans="3:8" ht="13.5">
      <c r="C8" s="210"/>
      <c r="D8" s="211"/>
      <c r="E8" s="90"/>
      <c r="F8" s="125"/>
      <c r="G8" s="125"/>
      <c r="H8" s="126"/>
    </row>
    <row r="9" spans="3:8" ht="12.75" customHeight="1">
      <c r="C9" s="210"/>
      <c r="D9" s="211"/>
      <c r="E9" s="124"/>
      <c r="F9" s="125"/>
      <c r="G9" s="125"/>
      <c r="H9" s="126"/>
    </row>
    <row r="10" spans="3:8" ht="12.75" customHeight="1">
      <c r="C10" s="210"/>
      <c r="D10" s="211"/>
      <c r="E10" s="124"/>
      <c r="F10" s="125"/>
      <c r="G10" s="125"/>
      <c r="H10" s="126"/>
    </row>
    <row r="11" spans="3:8" ht="12.75" customHeight="1">
      <c r="C11" s="210"/>
      <c r="D11" s="211"/>
      <c r="E11" s="124"/>
      <c r="F11" s="125"/>
      <c r="G11" s="125"/>
      <c r="H11" s="126"/>
    </row>
    <row r="12" spans="3:8" ht="12.75" customHeight="1">
      <c r="C12" s="210"/>
      <c r="D12" s="211"/>
      <c r="E12" s="124"/>
      <c r="F12" s="125"/>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12"/>
      <c r="D18" s="212"/>
      <c r="E18" s="124"/>
      <c r="F18" s="125"/>
      <c r="G18" s="124"/>
      <c r="H18" s="126"/>
    </row>
    <row r="19" spans="3:8" ht="12.75" customHeight="1">
      <c r="C19" s="212"/>
      <c r="D19" s="212"/>
      <c r="E19" s="124"/>
      <c r="F19" s="125"/>
      <c r="G19" s="124"/>
      <c r="H19" s="126"/>
    </row>
    <row r="20" spans="3:8" ht="12.75" customHeight="1">
      <c r="C20" s="212"/>
      <c r="D20" s="212"/>
      <c r="E20" s="124"/>
      <c r="F20" s="125"/>
      <c r="G20" s="124"/>
      <c r="H20" s="126"/>
    </row>
    <row r="21" spans="3:8" ht="12.75" customHeight="1">
      <c r="C21" s="212"/>
      <c r="D21" s="212"/>
      <c r="E21" s="124"/>
      <c r="F21" s="124"/>
      <c r="G21" s="126"/>
      <c r="H21" s="126"/>
    </row>
    <row r="22" spans="3:8" ht="12.75" customHeight="1">
      <c r="C22" s="212"/>
      <c r="D22" s="212"/>
      <c r="E22" s="124"/>
      <c r="F22" s="124"/>
      <c r="G22" s="126"/>
      <c r="H22" s="126"/>
    </row>
    <row r="23" spans="3:8" ht="12.75" customHeight="1">
      <c r="C23" s="212"/>
      <c r="D23" s="212"/>
      <c r="E23" s="124"/>
      <c r="F23" s="124"/>
      <c r="G23" s="126"/>
      <c r="H23" s="126"/>
    </row>
    <row r="24" spans="3:8" ht="12.75" customHeight="1">
      <c r="C24" s="212"/>
      <c r="D24" s="212"/>
      <c r="E24" s="124"/>
      <c r="F24" s="124"/>
      <c r="G24" s="126"/>
      <c r="H24" s="126"/>
    </row>
    <row r="25" spans="3:8" ht="12.75" customHeight="1">
      <c r="C25" s="212"/>
      <c r="D25" s="212"/>
      <c r="E25" s="124"/>
      <c r="F25" s="124"/>
      <c r="G25" s="126"/>
      <c r="H25" s="126"/>
    </row>
    <row r="26" spans="3:8" ht="12.75" customHeight="1">
      <c r="C26" s="212"/>
      <c r="D26" s="212"/>
      <c r="E26" s="124"/>
      <c r="F26" s="124"/>
      <c r="G26" s="126"/>
      <c r="H26" s="126"/>
    </row>
    <row r="27" spans="3:8" ht="12.75" customHeight="1">
      <c r="C27" s="212"/>
      <c r="D27" s="212"/>
      <c r="E27" s="124"/>
      <c r="F27" s="124"/>
      <c r="G27" s="126"/>
      <c r="H27" s="126"/>
    </row>
    <row r="28" spans="3:8" ht="12.75" customHeight="1">
      <c r="C28" s="212"/>
      <c r="D28" s="212"/>
      <c r="E28" s="124"/>
      <c r="F28" s="124"/>
      <c r="G28" s="126"/>
      <c r="H28" s="126"/>
    </row>
    <row r="29" spans="3:8" ht="12.75" customHeight="1">
      <c r="C29" s="212"/>
      <c r="D29" s="212"/>
      <c r="E29" s="124"/>
      <c r="F29" s="124"/>
      <c r="G29" s="126"/>
      <c r="H29" s="126"/>
    </row>
    <row r="30" spans="3:8" ht="12.75" customHeight="1">
      <c r="C30" s="212"/>
      <c r="D30" s="212"/>
      <c r="E30" s="124"/>
      <c r="F30" s="124"/>
      <c r="G30" s="126"/>
      <c r="H30" s="126"/>
    </row>
    <row r="31" spans="3:8" ht="12.75" customHeight="1">
      <c r="C31" s="212"/>
      <c r="D31" s="212"/>
      <c r="E31" s="124"/>
      <c r="F31" s="124"/>
      <c r="G31" s="126"/>
      <c r="H31" s="126"/>
    </row>
    <row r="32" spans="3:8" ht="12.75" customHeight="1">
      <c r="C32" s="212"/>
      <c r="D32" s="212"/>
      <c r="E32" s="124"/>
      <c r="F32" s="124"/>
      <c r="G32" s="126"/>
      <c r="H32" s="126"/>
    </row>
    <row r="33" spans="3:8" ht="12.75" customHeight="1">
      <c r="C33" s="212"/>
      <c r="D33" s="212"/>
      <c r="E33" s="124"/>
      <c r="F33" s="124"/>
      <c r="G33" s="126"/>
      <c r="H33" s="126"/>
    </row>
    <row r="34" spans="3:8" ht="12.75" customHeight="1">
      <c r="C34" s="212"/>
      <c r="D34" s="212"/>
      <c r="E34" s="124"/>
      <c r="F34" s="124"/>
      <c r="G34" s="126"/>
      <c r="H34" s="126"/>
    </row>
    <row r="35" spans="3:8" ht="12.75" customHeight="1">
      <c r="C35" s="212"/>
      <c r="D35" s="212"/>
      <c r="E35" s="124"/>
      <c r="F35" s="124"/>
      <c r="G35" s="126"/>
      <c r="H35" s="126"/>
    </row>
    <row r="36" spans="3:8" ht="12.75" customHeight="1">
      <c r="C36" s="212"/>
      <c r="D36" s="212"/>
      <c r="E36" s="124"/>
      <c r="F36" s="124"/>
      <c r="G36" s="126"/>
      <c r="H36" s="126"/>
    </row>
    <row r="37" spans="3:8" ht="12.75" customHeight="1">
      <c r="C37" s="212"/>
      <c r="D37" s="212"/>
      <c r="E37" s="124"/>
      <c r="F37" s="124"/>
      <c r="G37" s="126"/>
      <c r="H37" s="126"/>
    </row>
    <row r="38" spans="3:8" ht="12.75" customHeight="1">
      <c r="C38" s="212"/>
      <c r="D38" s="212"/>
      <c r="E38" s="124"/>
      <c r="F38" s="124"/>
      <c r="G38" s="126"/>
      <c r="H38" s="126"/>
    </row>
    <row r="39" spans="3:8" ht="12.75" customHeight="1">
      <c r="C39" s="212"/>
      <c r="D39" s="212"/>
      <c r="E39" s="124"/>
      <c r="F39" s="124"/>
      <c r="G39" s="126"/>
      <c r="H39" s="126"/>
    </row>
    <row r="40" spans="3:8" ht="12.75" customHeight="1">
      <c r="C40" s="212"/>
      <c r="D40" s="212"/>
      <c r="E40" s="124"/>
      <c r="F40" s="124"/>
      <c r="G40" s="126"/>
      <c r="H40" s="126"/>
    </row>
    <row r="41" spans="3:8" ht="12.75" customHeight="1">
      <c r="C41" s="212"/>
      <c r="D41" s="212"/>
      <c r="E41" s="124"/>
      <c r="F41" s="124"/>
      <c r="G41" s="126"/>
      <c r="H41" s="126"/>
    </row>
    <row r="42" spans="3:8" ht="12.75" customHeight="1">
      <c r="C42" s="212"/>
      <c r="D42" s="212"/>
      <c r="E42" s="124"/>
      <c r="F42" s="124"/>
      <c r="G42" s="126"/>
      <c r="H42" s="126"/>
    </row>
    <row r="43" spans="3:8" ht="12.75" customHeight="1">
      <c r="C43" s="212"/>
      <c r="D43" s="212"/>
      <c r="E43" s="124"/>
      <c r="F43" s="124"/>
      <c r="G43" s="126"/>
      <c r="H43" s="126"/>
    </row>
    <row r="44" spans="3:8" ht="12.75" customHeight="1">
      <c r="C44" s="212"/>
      <c r="D44" s="212"/>
      <c r="E44" s="124"/>
      <c r="F44" s="124"/>
      <c r="G44" s="126"/>
      <c r="H44" s="126"/>
    </row>
    <row r="45" spans="3:8" ht="12.75" customHeight="1">
      <c r="C45" s="212"/>
      <c r="D45" s="212"/>
      <c r="E45" s="124"/>
      <c r="F45" s="124"/>
      <c r="G45" s="126"/>
      <c r="H45" s="126"/>
    </row>
    <row r="46" spans="3:8" ht="12.75" customHeight="1">
      <c r="C46" s="212"/>
      <c r="D46" s="212"/>
      <c r="E46" s="124"/>
      <c r="F46" s="124"/>
      <c r="G46" s="126"/>
      <c r="H46" s="126"/>
    </row>
    <row r="47" spans="3:8" ht="12.75" customHeight="1">
      <c r="C47" s="212"/>
      <c r="D47" s="212"/>
      <c r="E47" s="124"/>
      <c r="F47" s="124"/>
      <c r="G47" s="126"/>
      <c r="H47" s="126"/>
    </row>
    <row r="48" spans="3:8" ht="12.75" customHeight="1">
      <c r="C48" s="212"/>
      <c r="D48" s="212"/>
      <c r="E48" s="124"/>
      <c r="F48" s="124"/>
      <c r="G48" s="126"/>
      <c r="H48" s="126"/>
    </row>
    <row r="49" spans="3:8" ht="12.75" customHeight="1">
      <c r="C49" s="212"/>
      <c r="D49" s="212"/>
      <c r="E49" s="124"/>
      <c r="F49" s="124"/>
      <c r="G49" s="126"/>
      <c r="H49" s="126"/>
    </row>
    <row r="50" spans="3:8" ht="12.75" customHeight="1">
      <c r="C50" s="212"/>
      <c r="D50" s="212"/>
      <c r="E50" s="124"/>
      <c r="F50" s="124"/>
      <c r="G50" s="126"/>
      <c r="H50" s="126"/>
    </row>
    <row r="51" spans="3:8" ht="12.75" customHeight="1">
      <c r="C51" s="212"/>
      <c r="D51" s="212"/>
      <c r="E51" s="124"/>
      <c r="F51" s="124"/>
      <c r="G51" s="126"/>
      <c r="H51" s="126"/>
    </row>
    <row r="52" spans="3:8" ht="12.75" customHeight="1">
      <c r="C52" s="212"/>
      <c r="D52" s="212"/>
      <c r="E52" s="124"/>
      <c r="F52" s="124"/>
      <c r="G52" s="126"/>
      <c r="H52" s="126"/>
    </row>
    <row r="53" spans="3:8" ht="12.75" customHeight="1">
      <c r="C53" s="212"/>
      <c r="D53" s="212"/>
      <c r="E53" s="124"/>
      <c r="F53" s="124"/>
      <c r="G53" s="126"/>
      <c r="H53" s="126"/>
    </row>
    <row r="54" spans="3:8" ht="12.75" customHeight="1">
      <c r="C54" s="212"/>
      <c r="D54" s="212"/>
      <c r="E54" s="124"/>
      <c r="F54" s="124"/>
      <c r="G54" s="126"/>
      <c r="H54" s="126"/>
    </row>
    <row r="55" spans="3:8" ht="12.75" customHeight="1">
      <c r="C55" s="212"/>
      <c r="D55" s="212"/>
      <c r="E55" s="124"/>
      <c r="F55" s="124"/>
      <c r="G55" s="126"/>
      <c r="H55" s="126"/>
    </row>
    <row r="56" spans="3:8" ht="12.75" customHeight="1">
      <c r="C56" s="212"/>
      <c r="D56" s="212"/>
      <c r="E56" s="124"/>
      <c r="F56" s="124"/>
      <c r="G56" s="126"/>
      <c r="H56" s="126"/>
    </row>
    <row r="57" spans="3:8" ht="12.75" customHeight="1">
      <c r="C57" s="212"/>
      <c r="D57" s="212"/>
      <c r="E57" s="124"/>
      <c r="F57" s="124"/>
      <c r="G57" s="126"/>
      <c r="H57" s="126"/>
    </row>
    <row r="58" spans="3:8" ht="12.75" customHeight="1">
      <c r="C58" s="212"/>
      <c r="D58" s="212"/>
      <c r="E58" s="124"/>
      <c r="F58" s="124"/>
      <c r="G58" s="126"/>
      <c r="H58" s="126"/>
    </row>
    <row r="59" spans="3:8" ht="12.75" customHeight="1">
      <c r="C59" s="212"/>
      <c r="D59" s="212"/>
      <c r="E59" s="124"/>
      <c r="F59" s="124"/>
      <c r="G59" s="126"/>
      <c r="H59" s="126"/>
    </row>
    <row r="60" spans="3:8" ht="12.75" customHeight="1">
      <c r="C60" s="212"/>
      <c r="D60" s="212"/>
      <c r="E60" s="124"/>
      <c r="F60" s="124"/>
      <c r="G60" s="126"/>
      <c r="H60" s="126"/>
    </row>
    <row r="61" spans="3:8" ht="12.75" customHeight="1">
      <c r="C61" s="212"/>
      <c r="D61" s="212"/>
      <c r="E61" s="124"/>
      <c r="F61" s="124"/>
      <c r="G61" s="126"/>
      <c r="H61" s="126"/>
    </row>
    <row r="62" spans="3:8" ht="12.75" customHeight="1">
      <c r="C62" s="212"/>
      <c r="D62" s="212"/>
      <c r="E62" s="124"/>
      <c r="F62" s="124"/>
      <c r="G62" s="126"/>
      <c r="H62" s="126"/>
    </row>
    <row r="63" spans="3:8" ht="12.75" customHeight="1">
      <c r="C63" s="212"/>
      <c r="D63" s="212"/>
      <c r="E63" s="124"/>
      <c r="F63" s="124"/>
      <c r="G63" s="126"/>
      <c r="H63" s="126"/>
    </row>
    <row r="64" spans="3:8" ht="12.75" customHeight="1">
      <c r="C64" s="212"/>
      <c r="D64" s="212"/>
      <c r="E64" s="124"/>
      <c r="F64" s="124"/>
      <c r="G64" s="126"/>
      <c r="H64" s="126"/>
    </row>
    <row r="65" spans="3:8" ht="12.75" customHeight="1">
      <c r="C65" s="212"/>
      <c r="D65" s="212"/>
      <c r="E65" s="124"/>
      <c r="F65" s="124"/>
      <c r="G65" s="126"/>
      <c r="H65" s="126"/>
    </row>
    <row r="66" spans="3:8" ht="12.75" customHeight="1">
      <c r="C66" s="212"/>
      <c r="D66" s="212"/>
      <c r="E66" s="124"/>
      <c r="F66" s="124"/>
      <c r="G66" s="126"/>
      <c r="H66" s="126"/>
    </row>
    <row r="67" spans="3:8" ht="12.75" customHeight="1">
      <c r="C67" s="212"/>
      <c r="D67" s="212"/>
      <c r="E67" s="124"/>
      <c r="F67" s="124"/>
      <c r="G67" s="126"/>
      <c r="H67" s="126"/>
    </row>
    <row r="68" spans="3:8" ht="12.75" customHeight="1">
      <c r="C68" s="212"/>
      <c r="D68" s="212"/>
      <c r="E68" s="124"/>
      <c r="F68" s="124"/>
      <c r="G68" s="126"/>
      <c r="H68" s="126"/>
    </row>
    <row r="69" spans="3:8" ht="12.75" customHeight="1">
      <c r="C69" s="212"/>
      <c r="D69" s="212"/>
      <c r="E69" s="124"/>
      <c r="F69" s="124"/>
      <c r="G69" s="126"/>
      <c r="H69" s="126"/>
    </row>
    <row r="70" spans="3:8" ht="12.75" customHeight="1">
      <c r="C70" s="212"/>
      <c r="D70" s="212"/>
      <c r="E70" s="124"/>
      <c r="F70" s="124"/>
      <c r="G70" s="126"/>
      <c r="H70" s="126"/>
    </row>
    <row r="71" spans="3:8" ht="12.75" customHeight="1">
      <c r="C71" s="212"/>
      <c r="D71" s="212"/>
      <c r="E71" s="124"/>
      <c r="F71" s="124"/>
      <c r="G71" s="126"/>
      <c r="H71" s="126"/>
    </row>
    <row r="72" spans="3:8" ht="12.75" customHeight="1">
      <c r="C72" s="212"/>
      <c r="D72" s="212"/>
      <c r="E72" s="124"/>
      <c r="F72" s="124"/>
      <c r="G72" s="126"/>
      <c r="H72" s="126"/>
    </row>
    <row r="73" spans="3:8" ht="12.75" customHeight="1">
      <c r="C73" s="212"/>
      <c r="D73" s="212"/>
      <c r="E73" s="124"/>
      <c r="F73" s="124"/>
      <c r="G73" s="126"/>
      <c r="H73" s="126"/>
    </row>
    <row r="74" spans="3:8" ht="12.75" customHeight="1">
      <c r="C74" s="212"/>
      <c r="D74" s="212"/>
      <c r="E74" s="124"/>
      <c r="F74" s="124"/>
      <c r="G74" s="126"/>
      <c r="H74" s="126"/>
    </row>
    <row r="75" spans="3:8" ht="12.75" customHeight="1">
      <c r="C75" s="212"/>
      <c r="D75" s="212"/>
      <c r="E75" s="124"/>
      <c r="F75" s="124"/>
      <c r="G75" s="126"/>
      <c r="H75" s="126"/>
    </row>
    <row r="76" spans="3:8" ht="12.75" customHeight="1">
      <c r="C76" s="212"/>
      <c r="D76" s="212"/>
      <c r="E76" s="124"/>
      <c r="F76" s="124"/>
      <c r="G76" s="126"/>
      <c r="H76" s="126"/>
    </row>
    <row r="77" spans="3:8" ht="12.75" customHeight="1">
      <c r="C77" s="212"/>
      <c r="D77" s="212"/>
      <c r="E77" s="124"/>
      <c r="F77" s="124"/>
      <c r="G77" s="126"/>
      <c r="H77" s="126"/>
    </row>
    <row r="78" spans="3:8" ht="12.75" customHeight="1">
      <c r="C78" s="212"/>
      <c r="D78" s="212"/>
      <c r="E78" s="124"/>
      <c r="F78" s="124"/>
      <c r="G78" s="126"/>
      <c r="H78" s="126"/>
    </row>
    <row r="79" spans="3:8" ht="12.75" customHeight="1">
      <c r="C79" s="212"/>
      <c r="D79" s="212"/>
      <c r="E79" s="124"/>
      <c r="F79" s="124"/>
      <c r="G79" s="126"/>
      <c r="H79" s="126"/>
    </row>
    <row r="80" spans="3:8" ht="12.75" customHeight="1">
      <c r="C80" s="212"/>
      <c r="D80" s="212"/>
      <c r="E80" s="124"/>
      <c r="F80" s="124"/>
      <c r="G80" s="126"/>
      <c r="H80" s="126"/>
    </row>
    <row r="81" spans="3:8" ht="12.75" customHeight="1">
      <c r="C81" s="212"/>
      <c r="D81" s="212"/>
      <c r="E81" s="124"/>
      <c r="F81" s="124"/>
      <c r="G81" s="126"/>
      <c r="H81" s="126"/>
    </row>
    <row r="82" spans="3:8" ht="12.75" customHeight="1">
      <c r="C82" s="212"/>
      <c r="D82" s="212"/>
      <c r="E82" s="124"/>
      <c r="F82" s="124"/>
      <c r="G82" s="126"/>
      <c r="H82" s="126"/>
    </row>
    <row r="83" spans="3:8" ht="12.75" customHeight="1">
      <c r="C83" s="212"/>
      <c r="D83" s="212"/>
      <c r="E83" s="124"/>
      <c r="F83" s="124"/>
      <c r="G83" s="126"/>
      <c r="H83" s="126"/>
    </row>
    <row r="84" spans="3:8" ht="12.75" customHeight="1">
      <c r="C84" s="212"/>
      <c r="D84" s="212"/>
      <c r="E84" s="124"/>
      <c r="F84" s="124"/>
      <c r="G84" s="126"/>
      <c r="H84" s="126"/>
    </row>
    <row r="85" spans="3:8" ht="12.75" customHeight="1">
      <c r="C85" s="212"/>
      <c r="D85" s="212"/>
      <c r="E85" s="124"/>
      <c r="F85" s="124"/>
      <c r="G85" s="126"/>
      <c r="H85" s="126"/>
    </row>
    <row r="86" spans="3:8" ht="12.75" customHeight="1">
      <c r="C86" s="212"/>
      <c r="D86" s="212"/>
      <c r="E86" s="124"/>
      <c r="F86" s="124"/>
      <c r="G86" s="126"/>
      <c r="H86" s="126"/>
    </row>
    <row r="87" spans="3:8" ht="12.75" customHeight="1">
      <c r="C87" s="212"/>
      <c r="D87" s="212"/>
      <c r="E87" s="124"/>
      <c r="F87" s="124"/>
      <c r="G87" s="126"/>
      <c r="H87" s="126"/>
    </row>
    <row r="88" spans="3:8" ht="12.75" customHeight="1">
      <c r="C88" s="212"/>
      <c r="D88" s="212"/>
      <c r="E88" s="124"/>
      <c r="F88" s="124"/>
      <c r="G88" s="126"/>
      <c r="H88" s="126"/>
    </row>
    <row r="89" spans="3:8" ht="12.75" customHeight="1">
      <c r="C89" s="212"/>
      <c r="D89" s="212"/>
      <c r="E89" s="124"/>
      <c r="F89" s="124"/>
      <c r="G89" s="126"/>
      <c r="H89" s="126"/>
    </row>
    <row r="90" spans="3:8" ht="12.75" customHeight="1">
      <c r="C90" s="212"/>
      <c r="D90" s="212"/>
      <c r="E90" s="124"/>
      <c r="F90" s="124"/>
      <c r="G90" s="126"/>
      <c r="H90" s="126"/>
    </row>
    <row r="91" spans="3:8" ht="12.75" customHeight="1">
      <c r="C91" s="212"/>
      <c r="D91" s="212"/>
      <c r="E91" s="124"/>
      <c r="F91" s="124"/>
      <c r="G91" s="126"/>
      <c r="H91" s="126"/>
    </row>
    <row r="92" spans="3:8" ht="12.75" customHeight="1">
      <c r="C92" s="212"/>
      <c r="D92" s="212"/>
      <c r="E92" s="124"/>
      <c r="F92" s="124"/>
      <c r="G92" s="126"/>
      <c r="H92" s="126"/>
    </row>
    <row r="93" spans="3:8" ht="12.75" customHeight="1">
      <c r="C93" s="212"/>
      <c r="D93" s="212"/>
      <c r="E93" s="124"/>
      <c r="F93" s="124"/>
      <c r="G93" s="126"/>
      <c r="H93" s="126"/>
    </row>
    <row r="94" spans="3:8" ht="12.75" customHeight="1">
      <c r="C94" s="212"/>
      <c r="D94" s="212"/>
      <c r="E94" s="124"/>
      <c r="F94" s="124"/>
      <c r="G94" s="126"/>
      <c r="H94" s="126"/>
    </row>
    <row r="95" spans="3:8" ht="12.75" customHeight="1">
      <c r="C95" s="212"/>
      <c r="D95" s="212"/>
      <c r="E95" s="124"/>
      <c r="F95" s="124"/>
      <c r="G95" s="126"/>
      <c r="H95" s="126"/>
    </row>
    <row r="96" spans="3:8" ht="12.75" customHeight="1">
      <c r="C96" s="212"/>
      <c r="D96" s="212"/>
      <c r="E96" s="124"/>
      <c r="F96" s="124"/>
      <c r="G96" s="126"/>
      <c r="H96" s="126"/>
    </row>
    <row r="97" spans="3:8" ht="12.75" customHeight="1">
      <c r="C97" s="212"/>
      <c r="D97" s="212"/>
      <c r="E97" s="124"/>
      <c r="F97" s="124"/>
      <c r="G97" s="126"/>
      <c r="H97" s="126"/>
    </row>
    <row r="98" spans="3:8" ht="12.75" customHeight="1">
      <c r="C98" s="212"/>
      <c r="D98" s="212"/>
      <c r="E98" s="124"/>
      <c r="F98" s="124"/>
      <c r="G98" s="126"/>
      <c r="H98" s="126"/>
    </row>
    <row r="99" spans="3:8" ht="12.75" customHeight="1">
      <c r="C99" s="212"/>
      <c r="D99" s="212"/>
      <c r="E99" s="124"/>
      <c r="F99" s="124"/>
      <c r="G99" s="126"/>
      <c r="H99" s="126"/>
    </row>
    <row r="100" spans="3:8" ht="12.75" customHeight="1">
      <c r="C100" s="212"/>
      <c r="D100" s="212"/>
      <c r="E100" s="124"/>
      <c r="F100" s="124"/>
      <c r="G100" s="126"/>
      <c r="H100" s="126"/>
    </row>
    <row r="101" spans="3:8" ht="12.75" customHeight="1">
      <c r="C101" s="212"/>
      <c r="D101" s="212"/>
      <c r="E101" s="124"/>
      <c r="F101" s="124"/>
      <c r="G101" s="126"/>
      <c r="H101" s="126"/>
    </row>
    <row r="102" spans="3:8" ht="12.75" customHeight="1">
      <c r="C102" s="212"/>
      <c r="D102" s="212"/>
      <c r="E102" s="124"/>
      <c r="F102" s="124"/>
      <c r="G102" s="126"/>
      <c r="H102" s="126"/>
    </row>
    <row r="103" spans="3:8" ht="12.75" customHeight="1">
      <c r="C103" s="212"/>
      <c r="D103" s="212"/>
      <c r="E103" s="124"/>
      <c r="F103" s="124"/>
      <c r="G103" s="126"/>
      <c r="H103" s="126"/>
    </row>
    <row r="104" spans="3:8" ht="12.75" customHeight="1">
      <c r="C104" s="212"/>
      <c r="D104" s="212"/>
      <c r="E104" s="124"/>
      <c r="F104" s="124"/>
      <c r="G104" s="126"/>
      <c r="H104" s="126"/>
    </row>
    <row r="105" spans="3:8" ht="12.75" customHeight="1">
      <c r="C105" s="212"/>
      <c r="D105" s="212"/>
      <c r="E105" s="124"/>
      <c r="F105" s="124"/>
      <c r="G105" s="126"/>
      <c r="H105" s="126"/>
    </row>
    <row r="106" spans="3:8" ht="12.75" customHeight="1">
      <c r="C106" s="212"/>
      <c r="D106" s="212"/>
      <c r="E106" s="124"/>
      <c r="F106" s="124"/>
      <c r="G106" s="126"/>
      <c r="H106" s="126"/>
    </row>
    <row r="107" spans="3:8" ht="12.75" customHeight="1">
      <c r="C107" s="212"/>
      <c r="D107" s="212"/>
      <c r="E107" s="124"/>
      <c r="F107" s="124"/>
      <c r="G107" s="126"/>
      <c r="H107" s="126"/>
    </row>
    <row r="108" spans="3:8" ht="12.75" customHeight="1">
      <c r="C108" s="212"/>
      <c r="D108" s="212"/>
      <c r="E108" s="124"/>
      <c r="F108" s="124"/>
      <c r="G108" s="126"/>
      <c r="H108" s="126"/>
    </row>
    <row r="109" spans="3:8" ht="12.75" customHeight="1">
      <c r="C109" s="212"/>
      <c r="D109" s="212"/>
      <c r="E109" s="124"/>
      <c r="F109" s="124"/>
      <c r="G109" s="126"/>
      <c r="H109" s="126"/>
    </row>
    <row r="110" spans="3:8" ht="12.75" customHeight="1">
      <c r="C110" s="212"/>
      <c r="D110" s="212"/>
      <c r="E110" s="124"/>
      <c r="F110" s="124"/>
      <c r="G110" s="126"/>
      <c r="H110" s="126"/>
    </row>
    <row r="111" spans="3:8" ht="12.75" customHeight="1">
      <c r="C111" s="212"/>
      <c r="D111" s="212"/>
      <c r="E111" s="124"/>
      <c r="F111" s="124"/>
      <c r="G111" s="126"/>
      <c r="H111" s="126"/>
    </row>
    <row r="112" spans="3:8" ht="12.75" customHeight="1">
      <c r="C112" s="212"/>
      <c r="D112" s="212"/>
      <c r="E112" s="124"/>
      <c r="F112" s="124"/>
      <c r="G112" s="126"/>
      <c r="H112" s="126"/>
    </row>
    <row r="113" spans="3:8" ht="12.75" customHeight="1">
      <c r="C113" s="212"/>
      <c r="D113" s="212"/>
      <c r="E113" s="124"/>
      <c r="F113" s="124"/>
      <c r="G113" s="126"/>
      <c r="H113" s="126"/>
    </row>
    <row r="114" spans="3:8" ht="12.75" customHeight="1">
      <c r="C114" s="212"/>
      <c r="D114" s="212"/>
      <c r="E114" s="124"/>
      <c r="F114" s="124"/>
      <c r="G114" s="126"/>
      <c r="H114" s="126"/>
    </row>
    <row r="115" spans="3:8" ht="12.75" customHeight="1">
      <c r="C115" s="212"/>
      <c r="D115" s="212"/>
      <c r="E115" s="124"/>
      <c r="F115" s="124"/>
      <c r="G115" s="126"/>
      <c r="H115" s="126"/>
    </row>
    <row r="116" spans="3:8" ht="12.75" customHeight="1">
      <c r="C116" s="212"/>
      <c r="D116" s="212"/>
      <c r="E116" s="124"/>
      <c r="F116" s="124"/>
      <c r="G116" s="126"/>
      <c r="H116" s="126"/>
    </row>
    <row r="117" spans="3:8" ht="12.75" customHeight="1">
      <c r="C117" s="212"/>
      <c r="D117" s="212"/>
      <c r="E117" s="124"/>
      <c r="F117" s="124"/>
      <c r="G117" s="126"/>
      <c r="H117" s="126"/>
    </row>
    <row r="118" spans="3:8" ht="12.75" customHeight="1">
      <c r="C118" s="212"/>
      <c r="D118" s="212"/>
      <c r="E118" s="124"/>
      <c r="F118" s="124"/>
      <c r="G118" s="126"/>
      <c r="H118" s="126"/>
    </row>
    <row r="119" spans="3:8" ht="12.75" customHeight="1">
      <c r="C119" s="212"/>
      <c r="D119" s="212"/>
      <c r="E119" s="124"/>
      <c r="F119" s="124"/>
      <c r="G119" s="126"/>
      <c r="H119" s="126"/>
    </row>
    <row r="120" spans="3:8" ht="12.75" customHeight="1">
      <c r="C120" s="212"/>
      <c r="D120" s="212"/>
      <c r="E120" s="124"/>
      <c r="F120" s="124"/>
      <c r="G120" s="126"/>
      <c r="H120" s="126"/>
    </row>
    <row r="121" spans="3:8" ht="12.75" customHeight="1">
      <c r="C121" s="212"/>
      <c r="D121" s="212"/>
      <c r="E121" s="124"/>
      <c r="F121" s="124"/>
      <c r="G121" s="126"/>
      <c r="H121" s="126"/>
    </row>
    <row r="122" spans="3:8" ht="12.75" customHeight="1">
      <c r="C122" s="212"/>
      <c r="D122" s="212"/>
      <c r="E122" s="124"/>
      <c r="F122" s="124"/>
      <c r="G122" s="126"/>
      <c r="H122" s="126"/>
    </row>
    <row r="123" spans="3:8" ht="12.75" customHeight="1">
      <c r="C123" s="212"/>
      <c r="D123" s="212"/>
      <c r="E123" s="124"/>
      <c r="F123" s="124"/>
      <c r="G123" s="126"/>
      <c r="H123" s="126"/>
    </row>
    <row r="124" spans="3:8" ht="12.75" customHeight="1">
      <c r="C124" s="212"/>
      <c r="D124" s="212"/>
      <c r="E124" s="124"/>
      <c r="F124" s="124"/>
      <c r="G124" s="126"/>
      <c r="H124" s="126"/>
    </row>
    <row r="125" spans="3:8" ht="12.75" customHeight="1">
      <c r="C125" s="212"/>
      <c r="D125" s="212"/>
      <c r="E125" s="124"/>
      <c r="F125" s="124"/>
      <c r="G125" s="126"/>
      <c r="H125" s="126"/>
    </row>
    <row r="126" spans="3:8" ht="12.75" customHeight="1">
      <c r="C126" s="212"/>
      <c r="D126" s="212"/>
      <c r="E126" s="124"/>
      <c r="F126" s="124"/>
      <c r="G126" s="126"/>
      <c r="H126" s="126"/>
    </row>
    <row r="127" spans="3:8" ht="12.75" customHeight="1">
      <c r="C127" s="212"/>
      <c r="D127" s="212"/>
      <c r="E127" s="124"/>
      <c r="F127" s="124"/>
      <c r="G127" s="126"/>
      <c r="H127" s="126"/>
    </row>
    <row r="128" spans="3:8" ht="12.75" customHeight="1">
      <c r="C128" s="212"/>
      <c r="D128" s="212"/>
      <c r="E128" s="124"/>
      <c r="F128" s="124"/>
      <c r="G128" s="126"/>
      <c r="H128" s="126"/>
    </row>
    <row r="129" spans="3:8" ht="12.75" customHeight="1">
      <c r="C129" s="212"/>
      <c r="D129" s="212"/>
      <c r="E129" s="124"/>
      <c r="F129" s="124"/>
      <c r="G129" s="126"/>
      <c r="H129" s="126"/>
    </row>
    <row r="130" spans="3:8" ht="12.75" customHeight="1">
      <c r="C130" s="212"/>
      <c r="D130" s="212"/>
      <c r="E130" s="124"/>
      <c r="F130" s="124"/>
      <c r="G130" s="126"/>
      <c r="H130" s="126"/>
    </row>
    <row r="131" spans="3:8" ht="12.75" customHeight="1">
      <c r="C131" s="212"/>
      <c r="D131" s="212"/>
      <c r="E131" s="124"/>
      <c r="F131" s="124"/>
      <c r="G131" s="126"/>
      <c r="H131" s="126"/>
    </row>
    <row r="132" spans="3:8" ht="12.75" customHeight="1">
      <c r="C132" s="212"/>
      <c r="D132" s="212"/>
      <c r="E132" s="124"/>
      <c r="F132" s="124"/>
      <c r="G132" s="126"/>
      <c r="H132" s="126"/>
    </row>
    <row r="133" spans="3:8" ht="12.75" customHeight="1">
      <c r="C133" s="212"/>
      <c r="D133" s="212"/>
      <c r="E133" s="124"/>
      <c r="F133" s="124"/>
      <c r="G133" s="126"/>
      <c r="H133" s="126"/>
    </row>
    <row r="134" spans="3:8" ht="12.75" customHeight="1">
      <c r="C134" s="212"/>
      <c r="D134" s="212"/>
      <c r="E134" s="124"/>
      <c r="F134" s="124"/>
      <c r="G134" s="126"/>
      <c r="H134" s="126"/>
    </row>
    <row r="135" spans="3:8" ht="12.75" customHeight="1">
      <c r="C135" s="212"/>
      <c r="D135" s="212"/>
      <c r="E135" s="124"/>
      <c r="F135" s="124"/>
      <c r="G135" s="126"/>
      <c r="H135" s="126"/>
    </row>
    <row r="136" spans="3:8" ht="12.75" customHeight="1">
      <c r="C136" s="212"/>
      <c r="D136" s="212"/>
      <c r="E136" s="124"/>
      <c r="F136" s="124"/>
      <c r="G136" s="126"/>
      <c r="H136" s="126"/>
    </row>
    <row r="137" spans="3:8" ht="12.75" customHeight="1">
      <c r="C137" s="212"/>
      <c r="D137" s="212"/>
      <c r="E137" s="124"/>
      <c r="F137" s="124"/>
      <c r="G137" s="126"/>
      <c r="H137" s="126"/>
    </row>
    <row r="138" spans="3:8" ht="12.75" customHeight="1">
      <c r="C138" s="212"/>
      <c r="D138" s="212"/>
      <c r="E138" s="124"/>
      <c r="F138" s="124"/>
      <c r="G138" s="126"/>
      <c r="H138" s="126"/>
    </row>
    <row r="139" spans="3:8" ht="12.75" customHeight="1">
      <c r="C139" s="212"/>
      <c r="D139" s="212"/>
      <c r="E139" s="124"/>
      <c r="F139" s="124"/>
      <c r="G139" s="126"/>
      <c r="H139" s="126"/>
    </row>
    <row r="140" spans="3:8" ht="12.75" customHeight="1">
      <c r="C140" s="212"/>
      <c r="D140" s="212"/>
      <c r="E140" s="124"/>
      <c r="F140" s="124"/>
      <c r="G140" s="126"/>
      <c r="H140" s="126"/>
    </row>
    <row r="141" spans="3:8" ht="12.75" customHeight="1">
      <c r="C141" s="212"/>
      <c r="D141" s="212"/>
      <c r="E141" s="124"/>
      <c r="F141" s="124"/>
      <c r="G141" s="126"/>
      <c r="H141" s="126"/>
    </row>
    <row r="142" spans="3:8" ht="12.75" customHeight="1">
      <c r="C142" s="212"/>
      <c r="D142" s="212"/>
      <c r="E142" s="124"/>
      <c r="F142" s="124"/>
      <c r="G142" s="126"/>
      <c r="H142" s="126"/>
    </row>
    <row r="143" spans="3:8" ht="12.75" customHeight="1">
      <c r="C143" s="212"/>
      <c r="D143" s="212"/>
      <c r="E143" s="124"/>
      <c r="F143" s="124"/>
      <c r="G143" s="126"/>
      <c r="H143" s="126"/>
    </row>
    <row r="144" spans="3:8" ht="12.75" customHeight="1">
      <c r="C144" s="212"/>
      <c r="D144" s="212"/>
      <c r="E144" s="124"/>
      <c r="F144" s="124"/>
      <c r="G144" s="126"/>
      <c r="H144" s="126"/>
    </row>
    <row r="145" spans="3:8" ht="12.75" customHeight="1">
      <c r="C145" s="212"/>
      <c r="D145" s="212"/>
      <c r="E145" s="124"/>
      <c r="F145" s="124"/>
      <c r="G145" s="126"/>
      <c r="H145" s="126"/>
    </row>
    <row r="146" spans="3:8" ht="12.75" customHeight="1">
      <c r="C146" s="212"/>
      <c r="D146" s="212"/>
      <c r="E146" s="124"/>
      <c r="F146" s="124"/>
      <c r="G146" s="126"/>
      <c r="H146" s="126"/>
    </row>
    <row r="147" spans="3:8" ht="12.75" customHeight="1">
      <c r="C147" s="212"/>
      <c r="D147" s="212"/>
      <c r="E147" s="124"/>
      <c r="F147" s="124"/>
      <c r="G147" s="126"/>
      <c r="H147" s="126"/>
    </row>
    <row r="148" spans="3:8" ht="12.75" customHeight="1">
      <c r="C148" s="212"/>
      <c r="D148" s="212"/>
      <c r="E148" s="124"/>
      <c r="F148" s="124"/>
      <c r="G148" s="126"/>
      <c r="H148" s="126"/>
    </row>
    <row r="149" spans="3:8" ht="12.75" customHeight="1">
      <c r="C149" s="212"/>
      <c r="D149" s="212"/>
      <c r="E149" s="124"/>
      <c r="F149" s="124"/>
      <c r="G149" s="126"/>
      <c r="H149" s="126"/>
    </row>
    <row r="150" spans="3:8" ht="12.75" customHeight="1">
      <c r="C150" s="212"/>
      <c r="D150" s="212"/>
      <c r="E150" s="124"/>
      <c r="F150" s="124"/>
      <c r="G150" s="126"/>
      <c r="H150" s="126"/>
    </row>
    <row r="151" spans="3:8" ht="12.75" customHeight="1">
      <c r="C151" s="212"/>
      <c r="D151" s="212"/>
      <c r="E151" s="124"/>
      <c r="F151" s="124"/>
      <c r="G151" s="126"/>
      <c r="H151" s="126"/>
    </row>
    <row r="152" spans="3:8" ht="12.75" customHeight="1">
      <c r="C152" s="212"/>
      <c r="D152" s="212"/>
      <c r="E152" s="124"/>
      <c r="F152" s="124"/>
      <c r="G152" s="126"/>
      <c r="H152" s="126"/>
    </row>
    <row r="153" spans="3:8" ht="12.75" customHeight="1">
      <c r="C153" s="212"/>
      <c r="D153" s="212"/>
      <c r="E153" s="124"/>
      <c r="F153" s="124"/>
      <c r="G153" s="126"/>
      <c r="H153" s="126"/>
    </row>
    <row r="154" spans="3:8" ht="12.75" customHeight="1">
      <c r="C154" s="212"/>
      <c r="D154" s="212"/>
      <c r="E154" s="124"/>
      <c r="F154" s="124"/>
      <c r="G154" s="126"/>
      <c r="H154" s="126"/>
    </row>
    <row r="155" spans="3:8" ht="12.75" customHeight="1">
      <c r="C155" s="212"/>
      <c r="D155" s="212"/>
      <c r="E155" s="124"/>
      <c r="F155" s="124"/>
      <c r="G155" s="126"/>
      <c r="H155" s="126"/>
    </row>
    <row r="156" spans="3:8" ht="12.75" customHeight="1">
      <c r="C156" s="212"/>
      <c r="D156" s="212"/>
      <c r="E156" s="124"/>
      <c r="F156" s="124"/>
      <c r="G156" s="126"/>
      <c r="H156" s="126"/>
    </row>
    <row r="157" spans="3:8" ht="12.75" customHeight="1">
      <c r="C157" s="212"/>
      <c r="D157" s="212"/>
      <c r="E157" s="124"/>
      <c r="F157" s="124"/>
      <c r="G157" s="126"/>
      <c r="H157" s="126"/>
    </row>
    <row r="158" spans="3:8" ht="12.75" customHeight="1">
      <c r="C158" s="212"/>
      <c r="D158" s="212"/>
      <c r="E158" s="124"/>
      <c r="F158" s="124"/>
      <c r="G158" s="126"/>
      <c r="H158" s="126"/>
    </row>
    <row r="159" spans="3:8" ht="12.75" customHeight="1">
      <c r="C159" s="212"/>
      <c r="D159" s="212"/>
      <c r="E159" s="124"/>
      <c r="F159" s="124"/>
      <c r="G159" s="126"/>
      <c r="H159" s="126"/>
    </row>
    <row r="160" spans="3:8" ht="12.75" customHeight="1">
      <c r="C160" s="212"/>
      <c r="D160" s="212"/>
      <c r="E160" s="124"/>
      <c r="F160" s="124"/>
      <c r="G160" s="126"/>
      <c r="H160" s="126"/>
    </row>
    <row r="161" spans="3:8" ht="12.75" customHeight="1">
      <c r="C161" s="212"/>
      <c r="D161" s="212"/>
      <c r="E161" s="124"/>
      <c r="F161" s="124"/>
      <c r="G161" s="126"/>
      <c r="H161" s="126"/>
    </row>
    <row r="162" spans="3:8" ht="12.75" customHeight="1">
      <c r="C162" s="212"/>
      <c r="D162" s="212"/>
      <c r="E162" s="124"/>
      <c r="F162" s="124"/>
      <c r="G162" s="126"/>
      <c r="H162" s="126"/>
    </row>
    <row r="163" spans="3:8" ht="12.75" customHeight="1">
      <c r="C163" s="212"/>
      <c r="D163" s="212"/>
      <c r="E163" s="124"/>
      <c r="F163" s="124"/>
      <c r="G163" s="126"/>
      <c r="H163" s="126"/>
    </row>
    <row r="164" spans="3:8" ht="12.75" customHeight="1">
      <c r="C164" s="212"/>
      <c r="D164" s="212"/>
      <c r="E164" s="124"/>
      <c r="F164" s="124"/>
      <c r="G164" s="126"/>
      <c r="H164" s="126"/>
    </row>
    <row r="165" spans="3:8" ht="12.75" customHeight="1">
      <c r="C165" s="212"/>
      <c r="D165" s="212"/>
      <c r="E165" s="124"/>
      <c r="F165" s="124"/>
      <c r="G165" s="126"/>
      <c r="H165" s="126"/>
    </row>
    <row r="166" spans="3:8" ht="12.75" customHeight="1">
      <c r="C166" s="212"/>
      <c r="D166" s="212"/>
      <c r="E166" s="124"/>
      <c r="F166" s="124"/>
      <c r="G166" s="126"/>
      <c r="H166" s="126"/>
    </row>
    <row r="167" spans="3:8" ht="12.75" customHeight="1">
      <c r="C167" s="212"/>
      <c r="D167" s="212"/>
      <c r="E167" s="124"/>
      <c r="F167" s="124"/>
      <c r="G167" s="126"/>
      <c r="H167" s="126"/>
    </row>
    <row r="168" spans="3:8" ht="12.75" customHeight="1">
      <c r="C168" s="212"/>
      <c r="D168" s="212"/>
      <c r="E168" s="124"/>
      <c r="F168" s="124"/>
      <c r="G168" s="126"/>
      <c r="H168" s="126"/>
    </row>
    <row r="169" spans="3:8" ht="12.75" customHeight="1">
      <c r="C169" s="212"/>
      <c r="D169" s="212"/>
      <c r="E169" s="124"/>
      <c r="F169" s="124"/>
      <c r="G169" s="126"/>
      <c r="H169" s="126"/>
    </row>
    <row r="170" spans="3:8" ht="12.75" customHeight="1">
      <c r="C170" s="212"/>
      <c r="D170" s="212"/>
      <c r="E170" s="124"/>
      <c r="F170" s="124"/>
      <c r="G170" s="126"/>
      <c r="H170" s="126"/>
    </row>
    <row r="171" spans="3:8" ht="12.75" customHeight="1">
      <c r="C171" s="212"/>
      <c r="D171" s="212"/>
      <c r="E171" s="124"/>
      <c r="F171" s="124"/>
      <c r="G171" s="126"/>
      <c r="H171" s="126"/>
    </row>
    <row r="172" spans="3:8" ht="12.75" customHeight="1">
      <c r="C172" s="212"/>
      <c r="D172" s="212"/>
      <c r="E172" s="124"/>
      <c r="F172" s="124"/>
      <c r="G172" s="126"/>
      <c r="H172" s="126"/>
    </row>
    <row r="173" spans="3:8" ht="12.75" customHeight="1">
      <c r="C173" s="212"/>
      <c r="D173" s="212"/>
      <c r="E173" s="124"/>
      <c r="F173" s="124"/>
      <c r="G173" s="126"/>
      <c r="H173" s="126"/>
    </row>
    <row r="174" spans="3:8" ht="12.75" customHeight="1">
      <c r="C174" s="212"/>
      <c r="D174" s="212"/>
      <c r="E174" s="124"/>
      <c r="F174" s="124"/>
      <c r="G174" s="126"/>
      <c r="H174" s="126"/>
    </row>
    <row r="175" spans="3:8" ht="12.75" customHeight="1">
      <c r="C175" s="212"/>
      <c r="D175" s="212"/>
      <c r="E175" s="124"/>
      <c r="F175" s="124"/>
      <c r="G175" s="126"/>
      <c r="H175" s="126"/>
    </row>
    <row r="176" spans="3:8" ht="12.75" customHeight="1">
      <c r="C176" s="212"/>
      <c r="D176" s="212"/>
      <c r="E176" s="124"/>
      <c r="F176" s="124"/>
      <c r="G176" s="126"/>
      <c r="H176" s="126"/>
    </row>
    <row r="177" spans="3:8" ht="12.75" customHeight="1">
      <c r="C177" s="212"/>
      <c r="D177" s="212"/>
      <c r="E177" s="124"/>
      <c r="F177" s="124"/>
      <c r="G177" s="126"/>
      <c r="H177" s="126"/>
    </row>
    <row r="178" spans="3:8" ht="12.75" customHeight="1">
      <c r="C178" s="212"/>
      <c r="D178" s="212"/>
      <c r="E178" s="124"/>
      <c r="F178" s="124"/>
      <c r="G178" s="126"/>
      <c r="H178" s="126"/>
    </row>
    <row r="179" spans="3:8" ht="12.75" customHeight="1">
      <c r="C179" s="212"/>
      <c r="D179" s="212"/>
      <c r="E179" s="124"/>
      <c r="F179" s="124"/>
      <c r="G179" s="126"/>
      <c r="H179" s="126"/>
    </row>
    <row r="180" spans="3:8" ht="12.75" customHeight="1">
      <c r="C180" s="212"/>
      <c r="D180" s="212"/>
      <c r="E180" s="124"/>
      <c r="F180" s="124"/>
      <c r="G180" s="126"/>
      <c r="H180" s="126"/>
    </row>
    <row r="181" spans="3:8" ht="12.75" customHeight="1">
      <c r="C181" s="212"/>
      <c r="D181" s="212"/>
      <c r="E181" s="124"/>
      <c r="F181" s="124"/>
      <c r="G181" s="126"/>
      <c r="H181" s="126"/>
    </row>
    <row r="182" spans="3:8" ht="12.75" customHeight="1">
      <c r="C182" s="212"/>
      <c r="D182" s="212"/>
      <c r="E182" s="124"/>
      <c r="F182" s="124"/>
      <c r="G182" s="126"/>
      <c r="H182" s="126"/>
    </row>
    <row r="183" spans="3:8" ht="12.75" customHeight="1">
      <c r="C183" s="212"/>
      <c r="D183" s="212"/>
      <c r="E183" s="124"/>
      <c r="F183" s="124"/>
      <c r="G183" s="126"/>
      <c r="H183" s="126"/>
    </row>
    <row r="184" spans="3:8" ht="12.75" customHeight="1">
      <c r="C184" s="212"/>
      <c r="D184" s="212"/>
      <c r="E184" s="124"/>
      <c r="F184" s="124"/>
      <c r="G184" s="126"/>
      <c r="H184" s="126"/>
    </row>
    <row r="185" spans="3:8" ht="12.75" customHeight="1">
      <c r="C185" s="212"/>
      <c r="D185" s="212"/>
      <c r="E185" s="124"/>
      <c r="F185" s="124"/>
      <c r="G185" s="126"/>
      <c r="H185" s="126"/>
    </row>
    <row r="186" spans="3:8" ht="12.75" customHeight="1">
      <c r="C186" s="212"/>
      <c r="D186" s="212"/>
      <c r="E186" s="124"/>
      <c r="F186" s="124"/>
      <c r="G186" s="126"/>
      <c r="H186" s="126"/>
    </row>
    <row r="187" spans="3:8" ht="12.75" customHeight="1">
      <c r="C187" s="212"/>
      <c r="D187" s="212"/>
      <c r="E187" s="124"/>
      <c r="F187" s="124"/>
      <c r="G187" s="126"/>
      <c r="H187" s="126"/>
    </row>
    <row r="188" spans="3:8" ht="12.75" customHeight="1">
      <c r="C188" s="212"/>
      <c r="D188" s="212"/>
      <c r="E188" s="124"/>
      <c r="F188" s="124"/>
      <c r="G188" s="126"/>
      <c r="H188" s="126"/>
    </row>
    <row r="189" spans="3:8" ht="12.75" customHeight="1">
      <c r="C189" s="212"/>
      <c r="D189" s="212"/>
      <c r="E189" s="124"/>
      <c r="F189" s="124"/>
      <c r="G189" s="126"/>
      <c r="H189" s="126"/>
    </row>
    <row r="190" spans="3:8" ht="12.75" customHeight="1">
      <c r="C190" s="212"/>
      <c r="D190" s="212"/>
      <c r="E190" s="124"/>
      <c r="F190" s="124"/>
      <c r="G190" s="126"/>
      <c r="H190" s="126"/>
    </row>
    <row r="191" spans="3:8" ht="12.75" customHeight="1">
      <c r="C191" s="212"/>
      <c r="D191" s="212"/>
      <c r="E191" s="124"/>
      <c r="F191" s="124"/>
      <c r="G191" s="126"/>
      <c r="H191" s="126"/>
    </row>
    <row r="192" spans="3:8" ht="12.75" customHeight="1">
      <c r="C192" s="212"/>
      <c r="D192" s="212"/>
      <c r="E192" s="124"/>
      <c r="F192" s="124"/>
      <c r="G192" s="126"/>
      <c r="H192" s="126"/>
    </row>
    <row r="193" spans="3:8" ht="12.75" customHeight="1">
      <c r="C193" s="212"/>
      <c r="D193" s="212"/>
      <c r="E193" s="124"/>
      <c r="F193" s="124"/>
      <c r="G193" s="126"/>
      <c r="H193" s="126"/>
    </row>
    <row r="194" spans="3:8" ht="12.75" customHeight="1">
      <c r="C194" s="212"/>
      <c r="D194" s="212"/>
      <c r="E194" s="124"/>
      <c r="F194" s="124"/>
      <c r="G194" s="126"/>
      <c r="H194" s="126"/>
    </row>
    <row r="195" spans="3:8" ht="12.75" customHeight="1">
      <c r="C195" s="212"/>
      <c r="D195" s="212"/>
      <c r="E195" s="124"/>
      <c r="F195" s="124"/>
      <c r="G195" s="126"/>
      <c r="H195" s="126"/>
    </row>
    <row r="196" spans="3:8" ht="12.75" customHeight="1">
      <c r="C196" s="212"/>
      <c r="D196" s="212"/>
      <c r="E196" s="124"/>
      <c r="F196" s="124"/>
      <c r="G196" s="126"/>
      <c r="H196" s="126"/>
    </row>
    <row r="197" spans="3:8" ht="12.75" customHeight="1">
      <c r="C197" s="212"/>
      <c r="D197" s="212"/>
      <c r="E197" s="124"/>
      <c r="F197" s="124"/>
      <c r="G197" s="126"/>
      <c r="H197" s="126"/>
    </row>
    <row r="198" spans="3:8" ht="12.75" customHeight="1">
      <c r="C198" s="212"/>
      <c r="D198" s="212"/>
      <c r="E198" s="124"/>
      <c r="F198" s="124"/>
      <c r="G198" s="126"/>
      <c r="H198" s="126"/>
    </row>
    <row r="199" spans="3:8" ht="12.75" customHeight="1">
      <c r="C199" s="212"/>
      <c r="D199" s="212"/>
      <c r="E199" s="124"/>
      <c r="F199" s="124"/>
      <c r="G199" s="126"/>
      <c r="H199" s="126"/>
    </row>
    <row r="200" spans="3:8" ht="12.75" customHeight="1">
      <c r="C200" s="212"/>
      <c r="D200" s="212"/>
      <c r="E200" s="124"/>
      <c r="F200" s="124"/>
      <c r="G200" s="126"/>
      <c r="H200" s="126"/>
    </row>
    <row r="201" spans="3:8" ht="12.75" customHeight="1">
      <c r="C201" s="212"/>
      <c r="D201" s="212"/>
      <c r="E201" s="124"/>
      <c r="F201" s="124"/>
      <c r="G201" s="126"/>
      <c r="H201" s="126"/>
    </row>
    <row r="202" spans="3:8" ht="12.75" customHeight="1">
      <c r="C202" s="212"/>
      <c r="D202" s="212"/>
      <c r="E202" s="124"/>
      <c r="F202" s="124"/>
      <c r="G202" s="126"/>
      <c r="H202" s="126"/>
    </row>
    <row r="203" spans="3:8" ht="12.75" customHeight="1">
      <c r="C203" s="212"/>
      <c r="D203" s="212"/>
      <c r="E203" s="124"/>
      <c r="F203" s="124"/>
      <c r="G203" s="126"/>
      <c r="H203" s="126"/>
    </row>
    <row r="204" spans="3:8" ht="12.75" customHeight="1">
      <c r="C204" s="212"/>
      <c r="D204" s="212"/>
      <c r="E204" s="124"/>
      <c r="F204" s="124"/>
      <c r="G204" s="126"/>
      <c r="H204" s="126"/>
    </row>
    <row r="205" spans="3:8" ht="12.75" customHeight="1">
      <c r="C205" s="212"/>
      <c r="D205" s="212"/>
      <c r="E205" s="124"/>
      <c r="F205" s="124"/>
      <c r="G205" s="126"/>
      <c r="H205" s="126"/>
    </row>
    <row r="206" spans="3:8" ht="12.75" customHeight="1">
      <c r="C206" s="212"/>
      <c r="D206" s="212"/>
      <c r="E206" s="124"/>
      <c r="F206" s="124"/>
      <c r="G206" s="126"/>
      <c r="H206" s="126"/>
    </row>
    <row r="207" spans="3:8" ht="12.75" customHeight="1">
      <c r="C207" s="212"/>
      <c r="D207" s="212"/>
      <c r="E207" s="124"/>
      <c r="F207" s="124"/>
      <c r="G207" s="126"/>
      <c r="H207" s="126"/>
    </row>
    <row r="208" spans="3:8" ht="12.75" customHeight="1">
      <c r="C208" s="212"/>
      <c r="D208" s="212"/>
      <c r="E208" s="124"/>
      <c r="F208" s="124"/>
      <c r="G208" s="126"/>
      <c r="H208" s="126"/>
    </row>
    <row r="209" spans="3:8" ht="12.75" customHeight="1">
      <c r="C209" s="212"/>
      <c r="D209" s="212"/>
      <c r="E209" s="124"/>
      <c r="F209" s="124"/>
      <c r="G209" s="126"/>
      <c r="H209" s="126"/>
    </row>
    <row r="210" spans="3:8" ht="12.75" customHeight="1">
      <c r="C210" s="212"/>
      <c r="D210" s="212"/>
      <c r="E210" s="124"/>
      <c r="F210" s="124"/>
      <c r="G210" s="126"/>
      <c r="H210" s="126"/>
    </row>
    <row r="211" spans="3:8" ht="12.75" customHeight="1">
      <c r="C211" s="212"/>
      <c r="D211" s="212"/>
      <c r="E211" s="124"/>
      <c r="F211" s="124"/>
      <c r="G211" s="126"/>
      <c r="H211" s="126"/>
    </row>
    <row r="212" spans="3:8" ht="12.75" customHeight="1">
      <c r="C212" s="212"/>
      <c r="D212" s="212"/>
      <c r="E212" s="124"/>
      <c r="F212" s="124"/>
      <c r="G212" s="126"/>
      <c r="H212" s="126"/>
    </row>
    <row r="213" spans="3:8" ht="12.75" customHeight="1">
      <c r="C213" s="212"/>
      <c r="D213" s="212"/>
      <c r="E213" s="124"/>
      <c r="F213" s="124"/>
      <c r="G213" s="126"/>
      <c r="H213" s="126"/>
    </row>
    <row r="214" spans="3:8" ht="12.75" customHeight="1">
      <c r="C214" s="212"/>
      <c r="D214" s="212"/>
      <c r="E214" s="124"/>
      <c r="F214" s="124"/>
      <c r="G214" s="126"/>
      <c r="H214" s="126"/>
    </row>
    <row r="215" spans="3:8" ht="12.75" customHeight="1">
      <c r="C215" s="212"/>
      <c r="D215" s="212"/>
      <c r="E215" s="124"/>
      <c r="F215" s="124"/>
      <c r="G215" s="126"/>
      <c r="H215" s="126"/>
    </row>
    <row r="216" spans="3:8" ht="12.75" customHeight="1">
      <c r="C216" s="212"/>
      <c r="D216" s="212"/>
      <c r="E216" s="124"/>
      <c r="F216" s="124"/>
      <c r="G216" s="126"/>
      <c r="H216" s="126"/>
    </row>
    <row r="217" spans="3:8" ht="12.75" customHeight="1">
      <c r="C217" s="212"/>
      <c r="D217" s="212"/>
      <c r="E217" s="124"/>
      <c r="F217" s="124"/>
      <c r="G217" s="126"/>
      <c r="H217" s="126"/>
    </row>
    <row r="218" spans="3:8" ht="12.75" customHeight="1">
      <c r="C218" s="212"/>
      <c r="D218" s="212"/>
      <c r="E218" s="124"/>
      <c r="F218" s="124"/>
      <c r="G218" s="126"/>
      <c r="H218" s="126"/>
    </row>
    <row r="219" spans="3:8" ht="12.75" customHeight="1">
      <c r="C219" s="212"/>
      <c r="D219" s="212"/>
      <c r="E219" s="124"/>
      <c r="F219" s="124"/>
      <c r="G219" s="126"/>
      <c r="H219" s="126"/>
    </row>
    <row r="220" spans="3:8" ht="12.75" customHeight="1">
      <c r="C220" s="212"/>
      <c r="D220" s="212"/>
      <c r="E220" s="124"/>
      <c r="F220" s="124"/>
      <c r="G220" s="126"/>
      <c r="H220" s="126"/>
    </row>
    <row r="221" spans="3:8" ht="12.75" customHeight="1">
      <c r="C221" s="212"/>
      <c r="D221" s="212"/>
      <c r="E221" s="124"/>
      <c r="F221" s="124"/>
      <c r="G221" s="126"/>
      <c r="H221" s="126"/>
    </row>
    <row r="222" spans="3:8" ht="12.75" customHeight="1">
      <c r="C222" s="212"/>
      <c r="D222" s="212"/>
      <c r="E222" s="124"/>
      <c r="F222" s="124"/>
      <c r="G222" s="126"/>
      <c r="H222" s="126"/>
    </row>
    <row r="223" spans="3:8" ht="12.75" customHeight="1">
      <c r="C223" s="212"/>
      <c r="D223" s="212"/>
      <c r="E223" s="124"/>
      <c r="F223" s="124"/>
      <c r="G223" s="126"/>
      <c r="H223" s="126"/>
    </row>
    <row r="224" spans="3:8" ht="12.75" customHeight="1">
      <c r="C224" s="212"/>
      <c r="D224" s="212"/>
      <c r="E224" s="124"/>
      <c r="F224" s="124"/>
      <c r="G224" s="126"/>
      <c r="H224" s="126"/>
    </row>
    <row r="225" spans="3:8" ht="12.75" customHeight="1">
      <c r="C225" s="212"/>
      <c r="D225" s="212"/>
      <c r="E225" s="124"/>
      <c r="F225" s="124"/>
      <c r="G225" s="126"/>
      <c r="H225" s="126"/>
    </row>
    <row r="226" spans="3:8" ht="12.75" customHeight="1">
      <c r="C226" s="212"/>
      <c r="D226" s="212"/>
      <c r="E226" s="124"/>
      <c r="F226" s="124"/>
      <c r="G226" s="126"/>
      <c r="H226" s="126"/>
    </row>
    <row r="227" spans="3:8" ht="12.75" customHeight="1">
      <c r="C227" s="212"/>
      <c r="D227" s="212"/>
      <c r="E227" s="124"/>
      <c r="F227" s="124"/>
      <c r="G227" s="126"/>
      <c r="H227" s="126"/>
    </row>
    <row r="228" spans="3:8" ht="12.75" customHeight="1">
      <c r="C228" s="212"/>
      <c r="D228" s="212"/>
      <c r="E228" s="124"/>
      <c r="F228" s="124"/>
      <c r="G228" s="126"/>
      <c r="H228" s="126"/>
    </row>
    <row r="229" spans="3:8" ht="12.75" customHeight="1">
      <c r="C229" s="212"/>
      <c r="D229" s="212"/>
      <c r="E229" s="124"/>
      <c r="F229" s="124"/>
      <c r="G229" s="126"/>
      <c r="H229" s="126"/>
    </row>
    <row r="230" spans="3:8" ht="12.75" customHeight="1">
      <c r="C230" s="212"/>
      <c r="D230" s="212"/>
      <c r="E230" s="124"/>
      <c r="F230" s="124"/>
      <c r="G230" s="126"/>
      <c r="H230" s="126"/>
    </row>
    <row r="231" spans="3:8" ht="12.75" customHeight="1">
      <c r="C231" s="212"/>
      <c r="D231" s="212"/>
      <c r="E231" s="124"/>
      <c r="F231" s="124"/>
      <c r="G231" s="126"/>
      <c r="H231" s="126"/>
    </row>
    <row r="232" spans="3:8" ht="12.75" customHeight="1">
      <c r="C232" s="212"/>
      <c r="D232" s="212"/>
      <c r="E232" s="124"/>
      <c r="F232" s="124"/>
      <c r="G232" s="126"/>
      <c r="H232" s="126"/>
    </row>
    <row r="233" spans="3:8" ht="12.75" customHeight="1">
      <c r="C233" s="212"/>
      <c r="D233" s="212"/>
      <c r="E233" s="124"/>
      <c r="F233" s="124"/>
      <c r="G233" s="126"/>
      <c r="H233" s="126"/>
    </row>
    <row r="234" spans="3:8" ht="12.75" customHeight="1">
      <c r="C234" s="212"/>
      <c r="D234" s="212"/>
      <c r="E234" s="124"/>
      <c r="F234" s="124"/>
      <c r="G234" s="126"/>
      <c r="H234" s="126"/>
    </row>
    <row r="235" spans="3:8" ht="12.75" customHeight="1">
      <c r="C235" s="212"/>
      <c r="D235" s="212"/>
      <c r="E235" s="124"/>
      <c r="F235" s="124"/>
      <c r="G235" s="126"/>
      <c r="H235" s="126"/>
    </row>
    <row r="236" spans="3:8" ht="12.75" customHeight="1">
      <c r="C236" s="212"/>
      <c r="D236" s="212"/>
      <c r="E236" s="124"/>
      <c r="F236" s="124"/>
      <c r="G236" s="126"/>
      <c r="H236" s="126"/>
    </row>
    <row r="237" spans="3:8" ht="12.75" customHeight="1">
      <c r="C237" s="212"/>
      <c r="D237" s="212"/>
      <c r="E237" s="124"/>
      <c r="F237" s="124"/>
      <c r="G237" s="126"/>
      <c r="H237" s="126"/>
    </row>
    <row r="238" spans="3:8" ht="12.75" customHeight="1">
      <c r="C238" s="212"/>
      <c r="D238" s="212"/>
      <c r="E238" s="124"/>
      <c r="F238" s="124"/>
      <c r="G238" s="126"/>
      <c r="H238" s="126"/>
    </row>
    <row r="239" spans="3:8" ht="12.75" customHeight="1">
      <c r="C239" s="212"/>
      <c r="D239" s="212"/>
      <c r="E239" s="124"/>
      <c r="F239" s="124"/>
      <c r="G239" s="126"/>
      <c r="H239" s="126"/>
    </row>
    <row r="240" spans="3:8" ht="12.75" customHeight="1">
      <c r="C240" s="212"/>
      <c r="D240" s="212"/>
      <c r="E240" s="124"/>
      <c r="F240" s="124"/>
      <c r="G240" s="126"/>
      <c r="H240" s="126"/>
    </row>
    <row r="241" spans="3:8" ht="12.75" customHeight="1">
      <c r="C241" s="212"/>
      <c r="D241" s="212"/>
      <c r="E241" s="124"/>
      <c r="F241" s="124"/>
      <c r="G241" s="126"/>
      <c r="H241" s="126"/>
    </row>
    <row r="242" spans="3:8" ht="12.75" customHeight="1">
      <c r="C242" s="212"/>
      <c r="D242" s="212"/>
      <c r="E242" s="124"/>
      <c r="F242" s="124"/>
      <c r="G242" s="126"/>
      <c r="H242" s="126"/>
    </row>
    <row r="243" spans="3:8" ht="12.75" customHeight="1">
      <c r="C243" s="212"/>
      <c r="D243" s="212"/>
      <c r="E243" s="124"/>
      <c r="F243" s="124"/>
      <c r="G243" s="126"/>
      <c r="H243" s="126"/>
    </row>
    <row r="244" spans="3:8" ht="12.75" customHeight="1">
      <c r="C244" s="212"/>
      <c r="D244" s="212"/>
      <c r="E244" s="124"/>
      <c r="F244" s="124"/>
      <c r="G244" s="126"/>
      <c r="H244" s="126"/>
    </row>
    <row r="245" spans="3:8" ht="12.75" customHeight="1">
      <c r="C245" s="212"/>
      <c r="D245" s="212"/>
      <c r="E245" s="124"/>
      <c r="F245" s="124"/>
      <c r="G245" s="126"/>
      <c r="H245" s="126"/>
    </row>
    <row r="246" spans="3:8" ht="12.75" customHeight="1">
      <c r="C246" s="212"/>
      <c r="D246" s="212"/>
      <c r="E246" s="124"/>
      <c r="F246" s="124"/>
      <c r="G246" s="126"/>
      <c r="H246" s="126"/>
    </row>
    <row r="247" spans="3:8" ht="12.75" customHeight="1">
      <c r="C247" s="212"/>
      <c r="D247" s="212"/>
      <c r="E247" s="124"/>
      <c r="F247" s="124"/>
      <c r="G247" s="126"/>
      <c r="H247" s="126"/>
    </row>
    <row r="248" spans="3:8" ht="12.75" customHeight="1">
      <c r="C248" s="212"/>
      <c r="D248" s="212"/>
      <c r="E248" s="124"/>
      <c r="F248" s="124"/>
      <c r="G248" s="126"/>
      <c r="H248" s="126"/>
    </row>
    <row r="249" spans="3:8" ht="12.75" customHeight="1">
      <c r="C249" s="212"/>
      <c r="D249" s="212"/>
      <c r="E249" s="124"/>
      <c r="F249" s="124"/>
      <c r="G249" s="126"/>
      <c r="H249" s="126"/>
    </row>
    <row r="250" spans="3:8" ht="12.75" customHeight="1">
      <c r="C250" s="212"/>
      <c r="D250" s="212"/>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topLeftCell="A7" zoomScale="85" zoomScaleNormal="85" workbookViewId="0">
      <selection activeCell="D8" sqref="D8"/>
    </sheetView>
  </sheetViews>
  <sheetFormatPr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43777.673611111109</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120" customHeight="1">
      <c r="A7" s="51"/>
      <c r="B7" s="51">
        <v>4</v>
      </c>
      <c r="C7" s="87" t="s">
        <v>373</v>
      </c>
      <c r="D7" s="181" t="s">
        <v>393</v>
      </c>
      <c r="E7" s="88">
        <v>43777.625</v>
      </c>
      <c r="F7" s="88">
        <v>43777.645833333336</v>
      </c>
      <c r="G7" s="89">
        <f>IF(D6="Da inicio la Ventana de Tiempo","",IF(D6="Dan Fin las Actividades del Plan","",IF(D6="Termina Ventana de Tiempo","",F7-E7)))</f>
        <v>2.0833333335758653E-2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83.25" customHeight="1">
      <c r="A8" s="51"/>
      <c r="B8" s="51">
        <v>5</v>
      </c>
      <c r="C8" s="87" t="s">
        <v>373</v>
      </c>
      <c r="D8" s="181" t="s">
        <v>394</v>
      </c>
      <c r="E8" s="88">
        <v>43777.645833333336</v>
      </c>
      <c r="F8" s="88">
        <v>43777.666666666664</v>
      </c>
      <c r="G8" s="89">
        <f>IF(D8="Da inicio la Ventana de Tiempo","",IF(D8="Dan Fin las Actividades del Plan","",IF(D8="Termina Ventana de Tiempo","",F8-E8)))</f>
        <v>2.0833333328482695E-2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60</v>
      </c>
      <c r="D9" s="181" t="s">
        <v>372</v>
      </c>
      <c r="E9" s="88">
        <v>43777.666666666664</v>
      </c>
      <c r="F9" s="88">
        <v>43777.673611111109</v>
      </c>
      <c r="G9" s="89" t="e">
        <f>IF(#REF!="Da inicio la Ventana de Tiempo","",IF(#REF!="Dan Fin las Actividades del Plan","",IF(#REF!="Termina Ventana de Tiempo","",F9-E9)))</f>
        <v>#REF!</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374</v>
      </c>
      <c r="D10" s="181" t="s">
        <v>381</v>
      </c>
      <c r="E10" s="88"/>
      <c r="F10" s="88"/>
      <c r="G10" s="89" t="e">
        <f>IF(#REF!="Da inicio la Ventana de Tiempo","",IF(#REF!="Dan Fin las Actividades del Plan","",IF(#REF!="Termina Ventana de Tiempo","",F10-E10)))</f>
        <v>#REF!</v>
      </c>
      <c r="H10" s="182" t="s">
        <v>371</v>
      </c>
      <c r="I10" s="102"/>
      <c r="J10" s="102"/>
      <c r="K10" s="90"/>
      <c r="L10" s="104"/>
      <c r="M10" s="109" t="s">
        <v>327</v>
      </c>
      <c r="N10" s="51"/>
      <c r="O10" s="84"/>
      <c r="P10" s="84"/>
      <c r="Q10" s="57" t="str">
        <f>IF(BACMB!E55="","",BACMB!E55)</f>
        <v>T-IBM-MTSI</v>
      </c>
      <c r="R10" s="57">
        <f t="shared" si="1"/>
        <v>0</v>
      </c>
      <c r="S10" s="57" t="str">
        <f t="shared" si="2"/>
        <v>0;</v>
      </c>
      <c r="T10" s="57" t="str">
        <f t="shared" si="0"/>
        <v/>
      </c>
    </row>
    <row r="11" spans="1:21" ht="34.5" customHeight="1">
      <c r="A11" s="51"/>
      <c r="B11" s="51">
        <v>8</v>
      </c>
      <c r="C11" s="87"/>
      <c r="D11" s="77"/>
      <c r="E11" s="88"/>
      <c r="F11" s="88"/>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c r="D12" s="77"/>
      <c r="E12" s="88"/>
      <c r="F12" s="88"/>
      <c r="G12" s="89">
        <f>IF(D9="Da inicio la Ventana de Tiempo","",IF(D9="Dan Fin las Actividades del Plan","",IF(D9="Termina Ventana de Tiempo","",F12-E12)))</f>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IF(D10="Da inicio la Ventana de Tiempo","",IF(D10="Dan Fin las Actividades del Plan","",IF(D10="Termina Ventana de Tiempo","",F13-E13)))</f>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ref="G14:G20" si="3">IF(D13="Da inicio la Ventana de Tiempo","",IF(D13="Dan Fin las Actividades del Plan","",IF(D13="Termina Ventana de Tiempo","",F14-E14)))</f>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06" priority="2019">
      <formula>$A5="Inicio Liberación"</formula>
    </cfRule>
  </conditionalFormatting>
  <conditionalFormatting sqref="C5">
    <cfRule type="expression" dxfId="1205" priority="2018">
      <formula>$A5="Fin Liberación"</formula>
    </cfRule>
  </conditionalFormatting>
  <conditionalFormatting sqref="L4">
    <cfRule type="expression" dxfId="1204" priority="2016">
      <formula>$A4="Fin Liberación"</formula>
    </cfRule>
    <cfRule type="expression" dxfId="1203" priority="2017">
      <formula>$A4="Inicio Liberación"</formula>
    </cfRule>
  </conditionalFormatting>
  <conditionalFormatting sqref="L4:L6">
    <cfRule type="cellIs" dxfId="1202" priority="2013" operator="equal">
      <formula>"S"</formula>
    </cfRule>
  </conditionalFormatting>
  <conditionalFormatting sqref="L4:L6">
    <cfRule type="cellIs" dxfId="1201" priority="2010" operator="equal">
      <formula>"N"</formula>
    </cfRule>
    <cfRule type="cellIs" dxfId="1200" priority="2011" operator="equal">
      <formula>"P"</formula>
    </cfRule>
    <cfRule type="cellIs" dxfId="1199" priority="2012" operator="equal">
      <formula>"T"</formula>
    </cfRule>
  </conditionalFormatting>
  <conditionalFormatting sqref="L5:L6">
    <cfRule type="expression" dxfId="1198" priority="2008">
      <formula>$A5="Fin Liberación"</formula>
    </cfRule>
    <cfRule type="expression" dxfId="1197" priority="2009">
      <formula>$A5="Inicio Liberación"</formula>
    </cfRule>
  </conditionalFormatting>
  <conditionalFormatting sqref="C4">
    <cfRule type="expression" dxfId="1196" priority="2005">
      <formula>$A4="Inicio Liberación"</formula>
    </cfRule>
  </conditionalFormatting>
  <conditionalFormatting sqref="C4">
    <cfRule type="expression" dxfId="1195" priority="2004">
      <formula>$A4="Fin Liberación"</formula>
    </cfRule>
  </conditionalFormatting>
  <conditionalFormatting sqref="G6:G202">
    <cfRule type="expression" dxfId="1194" priority="1996">
      <formula>$A6="Fin Liberación"</formula>
    </cfRule>
    <cfRule type="expression" dxfId="1193" priority="1997">
      <formula>$A6="Inicio Liberación"</formula>
    </cfRule>
  </conditionalFormatting>
  <conditionalFormatting sqref="F202">
    <cfRule type="expression" dxfId="1192" priority="1992">
      <formula>$A202="Fin Liberación"</formula>
    </cfRule>
    <cfRule type="expression" dxfId="1191" priority="1993">
      <formula>$A202="Inicio Liberación"</formula>
    </cfRule>
  </conditionalFormatting>
  <conditionalFormatting sqref="L186:L202">
    <cfRule type="cellIs" dxfId="1190" priority="1991" operator="equal">
      <formula>"S"</formula>
    </cfRule>
  </conditionalFormatting>
  <conditionalFormatting sqref="L186:L202">
    <cfRule type="cellIs" dxfId="1189" priority="1988" operator="equal">
      <formula>"N"</formula>
    </cfRule>
    <cfRule type="cellIs" dxfId="1188" priority="1989" operator="equal">
      <formula>"P"</formula>
    </cfRule>
    <cfRule type="cellIs" dxfId="1187" priority="1990" operator="equal">
      <formula>"T"</formula>
    </cfRule>
  </conditionalFormatting>
  <conditionalFormatting sqref="L186:L202">
    <cfRule type="expression" dxfId="1186" priority="1986">
      <formula>$A186="Fin Liberación"</formula>
    </cfRule>
    <cfRule type="expression" dxfId="1185" priority="1987">
      <formula>$A186="Inicio Liberación"</formula>
    </cfRule>
  </conditionalFormatting>
  <conditionalFormatting sqref="G36:G202">
    <cfRule type="expression" dxfId="1184" priority="1982">
      <formula>$A36="Fin Liberación"</formula>
    </cfRule>
    <cfRule type="expression" dxfId="1183" priority="1983">
      <formula>$A36="Inicio Liberación"</formula>
    </cfRule>
  </conditionalFormatting>
  <conditionalFormatting sqref="E202">
    <cfRule type="expression" dxfId="1182" priority="1965">
      <formula>$A202="Fin Liberación"</formula>
    </cfRule>
    <cfRule type="expression" dxfId="1181" priority="1966">
      <formula>$A202="Inicio Liberación"</formula>
    </cfRule>
  </conditionalFormatting>
  <conditionalFormatting sqref="G34">
    <cfRule type="expression" dxfId="1180" priority="1963">
      <formula>$A34="Fin Liberación"</formula>
    </cfRule>
    <cfRule type="expression" dxfId="1179" priority="1964">
      <formula>$A34="Inicio Liberación"</formula>
    </cfRule>
  </conditionalFormatting>
  <conditionalFormatting sqref="G33">
    <cfRule type="expression" dxfId="1178" priority="1953">
      <formula>$A33="Fin Liberación"</formula>
    </cfRule>
    <cfRule type="expression" dxfId="1177" priority="1954">
      <formula>$A33="Inicio Liberación"</formula>
    </cfRule>
  </conditionalFormatting>
  <conditionalFormatting sqref="G6:G202">
    <cfRule type="expression" dxfId="1176" priority="1951">
      <formula>$A6="Fin Liberación"</formula>
    </cfRule>
    <cfRule type="expression" dxfId="1175" priority="1952">
      <formula>$A6="Inicio Liberación"</formula>
    </cfRule>
  </conditionalFormatting>
  <conditionalFormatting sqref="G6:G202">
    <cfRule type="containsErrors" dxfId="1174" priority="1950">
      <formula>ISERROR(G6)</formula>
    </cfRule>
  </conditionalFormatting>
  <conditionalFormatting sqref="G6:G202">
    <cfRule type="expression" dxfId="1173" priority="1948">
      <formula>$A6="Fin Liberación"</formula>
    </cfRule>
    <cfRule type="expression" dxfId="1172" priority="1949">
      <formula>$A6="Inicio Liberación"</formula>
    </cfRule>
  </conditionalFormatting>
  <conditionalFormatting sqref="G6:G202">
    <cfRule type="expression" dxfId="1171" priority="1946">
      <formula>$A6="Fin Liberación"</formula>
    </cfRule>
    <cfRule type="expression" dxfId="1170" priority="1947">
      <formula>$A6="Inicio Liberación"</formula>
    </cfRule>
  </conditionalFormatting>
  <conditionalFormatting sqref="G6:G202">
    <cfRule type="expression" dxfId="1169" priority="1944">
      <formula>$A6="Fin Liberación"</formula>
    </cfRule>
    <cfRule type="expression" dxfId="1168" priority="1945">
      <formula>$A6="Inicio Liberación"</formula>
    </cfRule>
  </conditionalFormatting>
  <conditionalFormatting sqref="G5">
    <cfRule type="containsErrors" dxfId="1167" priority="1935">
      <formula>ISERROR(G5)</formula>
    </cfRule>
    <cfRule type="expression" dxfId="1166" priority="1936">
      <formula>$A5="Fin Liberación"</formula>
    </cfRule>
    <cfRule type="expression" dxfId="1165" priority="1937">
      <formula>$A5="Inicio Liberación"</formula>
    </cfRule>
  </conditionalFormatting>
  <conditionalFormatting sqref="C15:C81 C190:C202">
    <cfRule type="expression" dxfId="1164" priority="1932">
      <formula>$A15="Inicio Liberación"</formula>
    </cfRule>
  </conditionalFormatting>
  <conditionalFormatting sqref="C15:C81 C190:C202">
    <cfRule type="expression" dxfId="1163" priority="1931">
      <formula>$A15="Fin Liberación"</formula>
    </cfRule>
  </conditionalFormatting>
  <conditionalFormatting sqref="C203">
    <cfRule type="expression" dxfId="1162" priority="1930">
      <formula>$A203="Inicio Liberación"</formula>
    </cfRule>
  </conditionalFormatting>
  <conditionalFormatting sqref="C203">
    <cfRule type="expression" dxfId="1161" priority="1929">
      <formula>$A203="Fin Liberación"</formula>
    </cfRule>
  </conditionalFormatting>
  <conditionalFormatting sqref="G4">
    <cfRule type="containsErrors" dxfId="1160" priority="1909">
      <formula>ISERROR(G4)</formula>
    </cfRule>
    <cfRule type="expression" dxfId="1159" priority="1910">
      <formula>$A4="Fin Liberación"</formula>
    </cfRule>
    <cfRule type="expression" dxfId="1158" priority="1911">
      <formula>$A4="Inicio Liberación"</formula>
    </cfRule>
  </conditionalFormatting>
  <conditionalFormatting sqref="C204">
    <cfRule type="expression" dxfId="1157" priority="1906">
      <formula>$A204="Inicio Liberación"</formula>
    </cfRule>
  </conditionalFormatting>
  <conditionalFormatting sqref="C204">
    <cfRule type="expression" dxfId="1156" priority="1905">
      <formula>$A204="Fin Liberación"</formula>
    </cfRule>
  </conditionalFormatting>
  <conditionalFormatting sqref="E5">
    <cfRule type="containsText" dxfId="1155" priority="1877" operator="containsText" text="Captura F/H Primer Actividad pestaña Plan">
      <formula>NOT(ISERROR(SEARCH("Captura F/H Primer Actividad pestaña Plan",E5)))</formula>
    </cfRule>
  </conditionalFormatting>
  <conditionalFormatting sqref="F5">
    <cfRule type="containsText" dxfId="1154" priority="1853" operator="containsText" text="Captura la F/H FIN de Actividad actividad FIN del Plan">
      <formula>NOT(ISERROR(SEARCH("Captura la F/H FIN de Actividad actividad FIN del Plan",F5)))</formula>
    </cfRule>
    <cfRule type="containsText" dxfId="1153" priority="1886" operator="containsText" text="Captura Actividad Macro">
      <formula>NOT(ISERROR(SEARCH("Captura Actividad Macro",F5)))</formula>
    </cfRule>
  </conditionalFormatting>
  <conditionalFormatting sqref="E4">
    <cfRule type="containsText" dxfId="1152" priority="1883" operator="containsText" text="Captura Actividad Macro VTI">
      <formula>NOT(ISERROR(SEARCH("Captura Actividad Macro VTI",E4)))</formula>
    </cfRule>
  </conditionalFormatting>
  <conditionalFormatting sqref="F4">
    <cfRule type="containsText" dxfId="1151" priority="1880" operator="containsText" text="Captura Actividad Macro VTF pestaña Plan">
      <formula>NOT(ISERROR(SEARCH("Captura Actividad Macro VTF pestaña Plan",F4)))</formula>
    </cfRule>
  </conditionalFormatting>
  <conditionalFormatting sqref="F187:F201">
    <cfRule type="expression" dxfId="1150" priority="1769">
      <formula>$B187="Fin Liberación"</formula>
    </cfRule>
    <cfRule type="expression" dxfId="1149" priority="1770">
      <formula>$B187="Inicio Liberación"</formula>
    </cfRule>
  </conditionalFormatting>
  <conditionalFormatting sqref="E187:E201">
    <cfRule type="expression" dxfId="1148" priority="1767">
      <formula>$B187="Fin Liberación"</formula>
    </cfRule>
    <cfRule type="expression" dxfId="1147" priority="1768">
      <formula>$B187="Inicio Liberación"</formula>
    </cfRule>
  </conditionalFormatting>
  <conditionalFormatting sqref="C6:C9 C14:C17">
    <cfRule type="expression" dxfId="1146" priority="1691">
      <formula>$B9="Inicio Liberación"</formula>
    </cfRule>
  </conditionalFormatting>
  <conditionalFormatting sqref="C6:C9 C14:C17">
    <cfRule type="expression" dxfId="1145" priority="1692">
      <formula>$B9="Fin Liberación"</formula>
    </cfRule>
  </conditionalFormatting>
  <conditionalFormatting sqref="C190:C201 C6:C9 C14:C81">
    <cfRule type="containsText" dxfId="1144" priority="1653" operator="containsText" text="VTF">
      <formula>NOT(ISERROR(SEARCH("VTF",C6)))</formula>
    </cfRule>
    <cfRule type="containsText" dxfId="1143" priority="1654" operator="containsText" text="VTI">
      <formula>NOT(ISERROR(SEARCH("VTI",C6)))</formula>
    </cfRule>
  </conditionalFormatting>
  <conditionalFormatting sqref="C7">
    <cfRule type="expression" dxfId="1142" priority="913">
      <formula>$B7="Fin Liberación"</formula>
    </cfRule>
    <cfRule type="expression" dxfId="1141" priority="914">
      <formula>$B7="Inicio Liberación"</formula>
    </cfRule>
  </conditionalFormatting>
  <conditionalFormatting sqref="C7">
    <cfRule type="expression" dxfId="1140" priority="911">
      <formula>$B7="Fin Liberación"</formula>
    </cfRule>
    <cfRule type="expression" dxfId="1139" priority="912">
      <formula>$B7="Inicio Liberación"</formula>
    </cfRule>
  </conditionalFormatting>
  <conditionalFormatting sqref="E6">
    <cfRule type="expression" dxfId="1138" priority="849">
      <formula>$B6="Fin Liberación"</formula>
    </cfRule>
    <cfRule type="expression" dxfId="1137" priority="850">
      <formula>$B6="Inicio Liberación"</formula>
    </cfRule>
  </conditionalFormatting>
  <conditionalFormatting sqref="C15">
    <cfRule type="expression" dxfId="1136" priority="813">
      <formula>$B15="Fin Liberación"</formula>
    </cfRule>
    <cfRule type="expression" dxfId="1135" priority="814">
      <formula>$B15="Inicio Liberación"</formula>
    </cfRule>
  </conditionalFormatting>
  <conditionalFormatting sqref="C15">
    <cfRule type="expression" dxfId="1134" priority="811">
      <formula>$B15="Fin Liberación"</formula>
    </cfRule>
    <cfRule type="expression" dxfId="1133" priority="812">
      <formula>$B15="Inicio Liberación"</formula>
    </cfRule>
  </conditionalFormatting>
  <conditionalFormatting sqref="C18:C21">
    <cfRule type="expression" dxfId="1132" priority="809">
      <formula>$B21="Inicio Liberación"</formula>
    </cfRule>
  </conditionalFormatting>
  <conditionalFormatting sqref="C18:C21">
    <cfRule type="expression" dxfId="1131" priority="810">
      <formula>$B21="Fin Liberación"</formula>
    </cfRule>
  </conditionalFormatting>
  <conditionalFormatting sqref="C19">
    <cfRule type="expression" dxfId="1130" priority="807">
      <formula>$B19="Fin Liberación"</formula>
    </cfRule>
    <cfRule type="expression" dxfId="1129" priority="808">
      <formula>$B19="Inicio Liberación"</formula>
    </cfRule>
  </conditionalFormatting>
  <conditionalFormatting sqref="C19">
    <cfRule type="expression" dxfId="1128" priority="805">
      <formula>$B19="Fin Liberación"</formula>
    </cfRule>
    <cfRule type="expression" dxfId="1127" priority="806">
      <formula>$B19="Inicio Liberación"</formula>
    </cfRule>
  </conditionalFormatting>
  <conditionalFormatting sqref="C22:C25">
    <cfRule type="expression" dxfId="1126" priority="803">
      <formula>$B25="Inicio Liberación"</formula>
    </cfRule>
  </conditionalFormatting>
  <conditionalFormatting sqref="C22:C25">
    <cfRule type="expression" dxfId="1125" priority="804">
      <formula>$B25="Fin Liberación"</formula>
    </cfRule>
  </conditionalFormatting>
  <conditionalFormatting sqref="C23">
    <cfRule type="expression" dxfId="1124" priority="801">
      <formula>$B23="Fin Liberación"</formula>
    </cfRule>
    <cfRule type="expression" dxfId="1123" priority="802">
      <formula>$B23="Inicio Liberación"</formula>
    </cfRule>
  </conditionalFormatting>
  <conditionalFormatting sqref="C23">
    <cfRule type="expression" dxfId="1122" priority="799">
      <formula>$B23="Fin Liberación"</formula>
    </cfRule>
    <cfRule type="expression" dxfId="1121" priority="800">
      <formula>$B23="Inicio Liberación"</formula>
    </cfRule>
  </conditionalFormatting>
  <conditionalFormatting sqref="C26:C29">
    <cfRule type="expression" dxfId="1120" priority="797">
      <formula>$B29="Inicio Liberación"</formula>
    </cfRule>
  </conditionalFormatting>
  <conditionalFormatting sqref="C26:C29">
    <cfRule type="expression" dxfId="1119" priority="798">
      <formula>$B29="Fin Liberación"</formula>
    </cfRule>
  </conditionalFormatting>
  <conditionalFormatting sqref="C27">
    <cfRule type="expression" dxfId="1118" priority="795">
      <formula>$B27="Fin Liberación"</formula>
    </cfRule>
    <cfRule type="expression" dxfId="1117" priority="796">
      <formula>$B27="Inicio Liberación"</formula>
    </cfRule>
  </conditionalFormatting>
  <conditionalFormatting sqref="C27">
    <cfRule type="expression" dxfId="1116" priority="793">
      <formula>$B27="Fin Liberación"</formula>
    </cfRule>
    <cfRule type="expression" dxfId="1115" priority="794">
      <formula>$B27="Inicio Liberación"</formula>
    </cfRule>
  </conditionalFormatting>
  <conditionalFormatting sqref="C30:C33">
    <cfRule type="expression" dxfId="1114" priority="791">
      <formula>$B33="Inicio Liberación"</formula>
    </cfRule>
  </conditionalFormatting>
  <conditionalFormatting sqref="C30:C33">
    <cfRule type="expression" dxfId="1113" priority="792">
      <formula>$B33="Fin Liberación"</formula>
    </cfRule>
  </conditionalFormatting>
  <conditionalFormatting sqref="C31">
    <cfRule type="expression" dxfId="1112" priority="789">
      <formula>$B31="Fin Liberación"</formula>
    </cfRule>
    <cfRule type="expression" dxfId="1111" priority="790">
      <formula>$B31="Inicio Liberación"</formula>
    </cfRule>
  </conditionalFormatting>
  <conditionalFormatting sqref="C31">
    <cfRule type="expression" dxfId="1110" priority="787">
      <formula>$B31="Fin Liberación"</formula>
    </cfRule>
    <cfRule type="expression" dxfId="1109" priority="788">
      <formula>$B31="Inicio Liberación"</formula>
    </cfRule>
  </conditionalFormatting>
  <conditionalFormatting sqref="C34:C37">
    <cfRule type="expression" dxfId="1108" priority="785">
      <formula>$B37="Inicio Liberación"</formula>
    </cfRule>
  </conditionalFormatting>
  <conditionalFormatting sqref="C34:C37">
    <cfRule type="expression" dxfId="1107" priority="786">
      <formula>$B37="Fin Liberación"</formula>
    </cfRule>
  </conditionalFormatting>
  <conditionalFormatting sqref="C35">
    <cfRule type="expression" dxfId="1106" priority="783">
      <formula>$B35="Fin Liberación"</formula>
    </cfRule>
    <cfRule type="expression" dxfId="1105" priority="784">
      <formula>$B35="Inicio Liberación"</formula>
    </cfRule>
  </conditionalFormatting>
  <conditionalFormatting sqref="C35">
    <cfRule type="expression" dxfId="1104" priority="781">
      <formula>$B35="Fin Liberación"</formula>
    </cfRule>
    <cfRule type="expression" dxfId="1103" priority="782">
      <formula>$B35="Inicio Liberación"</formula>
    </cfRule>
  </conditionalFormatting>
  <conditionalFormatting sqref="C38:C41">
    <cfRule type="expression" dxfId="1102" priority="779">
      <formula>$B41="Inicio Liberación"</formula>
    </cfRule>
  </conditionalFormatting>
  <conditionalFormatting sqref="C38:C41">
    <cfRule type="expression" dxfId="1101" priority="780">
      <formula>$B41="Fin Liberación"</formula>
    </cfRule>
  </conditionalFormatting>
  <conditionalFormatting sqref="C39">
    <cfRule type="expression" dxfId="1100" priority="777">
      <formula>$B39="Fin Liberación"</formula>
    </cfRule>
    <cfRule type="expression" dxfId="1099" priority="778">
      <formula>$B39="Inicio Liberación"</formula>
    </cfRule>
  </conditionalFormatting>
  <conditionalFormatting sqref="C39">
    <cfRule type="expression" dxfId="1098" priority="775">
      <formula>$B39="Fin Liberación"</formula>
    </cfRule>
    <cfRule type="expression" dxfId="1097" priority="776">
      <formula>$B39="Inicio Liberación"</formula>
    </cfRule>
  </conditionalFormatting>
  <conditionalFormatting sqref="C42:C45">
    <cfRule type="expression" dxfId="1096" priority="773">
      <formula>$B45="Inicio Liberación"</formula>
    </cfRule>
  </conditionalFormatting>
  <conditionalFormatting sqref="C42:C45">
    <cfRule type="expression" dxfId="1095" priority="774">
      <formula>$B45="Fin Liberación"</formula>
    </cfRule>
  </conditionalFormatting>
  <conditionalFormatting sqref="C43">
    <cfRule type="expression" dxfId="1094" priority="771">
      <formula>$B43="Fin Liberación"</formula>
    </cfRule>
    <cfRule type="expression" dxfId="1093" priority="772">
      <formula>$B43="Inicio Liberación"</formula>
    </cfRule>
  </conditionalFormatting>
  <conditionalFormatting sqref="C43">
    <cfRule type="expression" dxfId="1092" priority="769">
      <formula>$B43="Fin Liberación"</formula>
    </cfRule>
    <cfRule type="expression" dxfId="1091" priority="770">
      <formula>$B43="Inicio Liberación"</formula>
    </cfRule>
  </conditionalFormatting>
  <conditionalFormatting sqref="C46:C49">
    <cfRule type="expression" dxfId="1090" priority="767">
      <formula>$B49="Inicio Liberación"</formula>
    </cfRule>
  </conditionalFormatting>
  <conditionalFormatting sqref="C46:C49">
    <cfRule type="expression" dxfId="1089" priority="768">
      <formula>$B49="Fin Liberación"</formula>
    </cfRule>
  </conditionalFormatting>
  <conditionalFormatting sqref="C47">
    <cfRule type="expression" dxfId="1088" priority="765">
      <formula>$B47="Fin Liberación"</formula>
    </cfRule>
    <cfRule type="expression" dxfId="1087" priority="766">
      <formula>$B47="Inicio Liberación"</formula>
    </cfRule>
  </conditionalFormatting>
  <conditionalFormatting sqref="C47">
    <cfRule type="expression" dxfId="1086" priority="763">
      <formula>$B47="Fin Liberación"</formula>
    </cfRule>
    <cfRule type="expression" dxfId="1085" priority="764">
      <formula>$B47="Inicio Liberación"</formula>
    </cfRule>
  </conditionalFormatting>
  <conditionalFormatting sqref="C50:C53">
    <cfRule type="expression" dxfId="1084" priority="761">
      <formula>$B53="Inicio Liberación"</formula>
    </cfRule>
  </conditionalFormatting>
  <conditionalFormatting sqref="C50:C53">
    <cfRule type="expression" dxfId="1083" priority="762">
      <formula>$B53="Fin Liberación"</formula>
    </cfRule>
  </conditionalFormatting>
  <conditionalFormatting sqref="C51">
    <cfRule type="expression" dxfId="1082" priority="759">
      <formula>$B51="Fin Liberación"</formula>
    </cfRule>
    <cfRule type="expression" dxfId="1081" priority="760">
      <formula>$B51="Inicio Liberación"</formula>
    </cfRule>
  </conditionalFormatting>
  <conditionalFormatting sqref="C51">
    <cfRule type="expression" dxfId="1080" priority="757">
      <formula>$B51="Fin Liberación"</formula>
    </cfRule>
    <cfRule type="expression" dxfId="1079" priority="758">
      <formula>$B51="Inicio Liberación"</formula>
    </cfRule>
  </conditionalFormatting>
  <conditionalFormatting sqref="C54:C57">
    <cfRule type="expression" dxfId="1078" priority="755">
      <formula>$B57="Inicio Liberación"</formula>
    </cfRule>
  </conditionalFormatting>
  <conditionalFormatting sqref="C54:C57">
    <cfRule type="expression" dxfId="1077" priority="756">
      <formula>$B57="Fin Liberación"</formula>
    </cfRule>
  </conditionalFormatting>
  <conditionalFormatting sqref="C55">
    <cfRule type="expression" dxfId="1076" priority="753">
      <formula>$B55="Fin Liberación"</formula>
    </cfRule>
    <cfRule type="expression" dxfId="1075" priority="754">
      <formula>$B55="Inicio Liberación"</formula>
    </cfRule>
  </conditionalFormatting>
  <conditionalFormatting sqref="C55">
    <cfRule type="expression" dxfId="1074" priority="751">
      <formula>$B55="Fin Liberación"</formula>
    </cfRule>
    <cfRule type="expression" dxfId="1073" priority="752">
      <formula>$B55="Inicio Liberación"</formula>
    </cfRule>
  </conditionalFormatting>
  <conditionalFormatting sqref="C58:C61">
    <cfRule type="expression" dxfId="1072" priority="745">
      <formula>$B61="Inicio Liberación"</formula>
    </cfRule>
  </conditionalFormatting>
  <conditionalFormatting sqref="C58:C61">
    <cfRule type="expression" dxfId="1071" priority="746">
      <formula>$B61="Fin Liberación"</formula>
    </cfRule>
  </conditionalFormatting>
  <conditionalFormatting sqref="C59">
    <cfRule type="expression" dxfId="1070" priority="743">
      <formula>$B59="Fin Liberación"</formula>
    </cfRule>
    <cfRule type="expression" dxfId="1069" priority="744">
      <formula>$B59="Inicio Liberación"</formula>
    </cfRule>
  </conditionalFormatting>
  <conditionalFormatting sqref="C59">
    <cfRule type="expression" dxfId="1068" priority="741">
      <formula>$B59="Fin Liberación"</formula>
    </cfRule>
    <cfRule type="expression" dxfId="1067" priority="742">
      <formula>$B59="Inicio Liberación"</formula>
    </cfRule>
  </conditionalFormatting>
  <conditionalFormatting sqref="C62:C65">
    <cfRule type="expression" dxfId="1066" priority="739">
      <formula>$B65="Inicio Liberación"</formula>
    </cfRule>
  </conditionalFormatting>
  <conditionalFormatting sqref="C62:C65">
    <cfRule type="expression" dxfId="1065" priority="740">
      <formula>$B65="Fin Liberación"</formula>
    </cfRule>
  </conditionalFormatting>
  <conditionalFormatting sqref="C63">
    <cfRule type="expression" dxfId="1064" priority="737">
      <formula>$B63="Fin Liberación"</formula>
    </cfRule>
    <cfRule type="expression" dxfId="1063" priority="738">
      <formula>$B63="Inicio Liberación"</formula>
    </cfRule>
  </conditionalFormatting>
  <conditionalFormatting sqref="C63">
    <cfRule type="expression" dxfId="1062" priority="735">
      <formula>$B63="Fin Liberación"</formula>
    </cfRule>
    <cfRule type="expression" dxfId="1061" priority="736">
      <formula>$B63="Inicio Liberación"</formula>
    </cfRule>
  </conditionalFormatting>
  <conditionalFormatting sqref="C66:C69">
    <cfRule type="expression" dxfId="1060" priority="733">
      <formula>$B69="Inicio Liberación"</formula>
    </cfRule>
  </conditionalFormatting>
  <conditionalFormatting sqref="C66:C69">
    <cfRule type="expression" dxfId="1059" priority="734">
      <formula>$B69="Fin Liberación"</formula>
    </cfRule>
  </conditionalFormatting>
  <conditionalFormatting sqref="C67">
    <cfRule type="expression" dxfId="1058" priority="731">
      <formula>$B67="Fin Liberación"</formula>
    </cfRule>
    <cfRule type="expression" dxfId="1057" priority="732">
      <formula>$B67="Inicio Liberación"</formula>
    </cfRule>
  </conditionalFormatting>
  <conditionalFormatting sqref="C67">
    <cfRule type="expression" dxfId="1056" priority="729">
      <formula>$B67="Fin Liberación"</formula>
    </cfRule>
    <cfRule type="expression" dxfId="1055" priority="730">
      <formula>$B67="Inicio Liberación"</formula>
    </cfRule>
  </conditionalFormatting>
  <conditionalFormatting sqref="C70:C73">
    <cfRule type="expression" dxfId="1054" priority="727">
      <formula>$B73="Inicio Liberación"</formula>
    </cfRule>
  </conditionalFormatting>
  <conditionalFormatting sqref="C70:C73">
    <cfRule type="expression" dxfId="1053" priority="728">
      <formula>$B73="Fin Liberación"</formula>
    </cfRule>
  </conditionalFormatting>
  <conditionalFormatting sqref="C71">
    <cfRule type="expression" dxfId="1052" priority="725">
      <formula>$B71="Fin Liberación"</formula>
    </cfRule>
    <cfRule type="expression" dxfId="1051" priority="726">
      <formula>$B71="Inicio Liberación"</formula>
    </cfRule>
  </conditionalFormatting>
  <conditionalFormatting sqref="C71">
    <cfRule type="expression" dxfId="1050" priority="723">
      <formula>$B71="Fin Liberación"</formula>
    </cfRule>
    <cfRule type="expression" dxfId="1049" priority="724">
      <formula>$B71="Inicio Liberación"</formula>
    </cfRule>
  </conditionalFormatting>
  <conditionalFormatting sqref="C74:C77">
    <cfRule type="expression" dxfId="1048" priority="721">
      <formula>$B77="Inicio Liberación"</formula>
    </cfRule>
  </conditionalFormatting>
  <conditionalFormatting sqref="C74:C77">
    <cfRule type="expression" dxfId="1047" priority="722">
      <formula>$B77="Fin Liberación"</formula>
    </cfRule>
  </conditionalFormatting>
  <conditionalFormatting sqref="C75">
    <cfRule type="expression" dxfId="1046" priority="719">
      <formula>$B75="Fin Liberación"</formula>
    </cfRule>
    <cfRule type="expression" dxfId="1045" priority="720">
      <formula>$B75="Inicio Liberación"</formula>
    </cfRule>
  </conditionalFormatting>
  <conditionalFormatting sqref="C75">
    <cfRule type="expression" dxfId="1044" priority="717">
      <formula>$B75="Fin Liberación"</formula>
    </cfRule>
    <cfRule type="expression" dxfId="1043" priority="718">
      <formula>$B75="Inicio Liberación"</formula>
    </cfRule>
  </conditionalFormatting>
  <conditionalFormatting sqref="C78:C81">
    <cfRule type="expression" dxfId="1042" priority="715">
      <formula>$B81="Inicio Liberación"</formula>
    </cfRule>
  </conditionalFormatting>
  <conditionalFormatting sqref="C78:C81">
    <cfRule type="expression" dxfId="1041" priority="716">
      <formula>$B81="Fin Liberación"</formula>
    </cfRule>
  </conditionalFormatting>
  <conditionalFormatting sqref="C79">
    <cfRule type="expression" dxfId="1040" priority="713">
      <formula>$B79="Fin Liberación"</formula>
    </cfRule>
    <cfRule type="expression" dxfId="1039" priority="714">
      <formula>$B79="Inicio Liberación"</formula>
    </cfRule>
  </conditionalFormatting>
  <conditionalFormatting sqref="C79">
    <cfRule type="expression" dxfId="1038" priority="711">
      <formula>$B79="Fin Liberación"</formula>
    </cfRule>
    <cfRule type="expression" dxfId="1037" priority="712">
      <formula>$B79="Inicio Liberación"</formula>
    </cfRule>
  </conditionalFormatting>
  <conditionalFormatting sqref="C91:C157">
    <cfRule type="expression" dxfId="1036" priority="710">
      <formula>$A91="Inicio Liberación"</formula>
    </cfRule>
  </conditionalFormatting>
  <conditionalFormatting sqref="C91:C157">
    <cfRule type="expression" dxfId="1035" priority="709">
      <formula>$A91="Fin Liberación"</formula>
    </cfRule>
  </conditionalFormatting>
  <conditionalFormatting sqref="C82:C85 C90:C93">
    <cfRule type="expression" dxfId="1034" priority="707">
      <formula>$B85="Inicio Liberación"</formula>
    </cfRule>
  </conditionalFormatting>
  <conditionalFormatting sqref="C82:C85 C90:C93">
    <cfRule type="expression" dxfId="1033" priority="708">
      <formula>$B85="Fin Liberación"</formula>
    </cfRule>
  </conditionalFormatting>
  <conditionalFormatting sqref="C82:C85 C90:C157">
    <cfRule type="containsText" dxfId="1032" priority="705" operator="containsText" text="VTF">
      <formula>NOT(ISERROR(SEARCH("VTF",C82)))</formula>
    </cfRule>
    <cfRule type="containsText" dxfId="1031" priority="706" operator="containsText" text="VTI">
      <formula>NOT(ISERROR(SEARCH("VTI",C82)))</formula>
    </cfRule>
  </conditionalFormatting>
  <conditionalFormatting sqref="C83">
    <cfRule type="expression" dxfId="1030" priority="703">
      <formula>$B83="Fin Liberación"</formula>
    </cfRule>
    <cfRule type="expression" dxfId="1029" priority="704">
      <formula>$B83="Inicio Liberación"</formula>
    </cfRule>
  </conditionalFormatting>
  <conditionalFormatting sqref="C83">
    <cfRule type="expression" dxfId="1028" priority="701">
      <formula>$B83="Fin Liberación"</formula>
    </cfRule>
    <cfRule type="expression" dxfId="1027" priority="702">
      <formula>$B83="Inicio Liberación"</formula>
    </cfRule>
  </conditionalFormatting>
  <conditionalFormatting sqref="C86:C89">
    <cfRule type="expression" dxfId="1026" priority="699">
      <formula>$B89="Inicio Liberación"</formula>
    </cfRule>
  </conditionalFormatting>
  <conditionalFormatting sqref="C86:C89">
    <cfRule type="expression" dxfId="1025" priority="700">
      <formula>$B89="Fin Liberación"</formula>
    </cfRule>
  </conditionalFormatting>
  <conditionalFormatting sqref="C86:C89">
    <cfRule type="containsText" dxfId="1024" priority="697" operator="containsText" text="VTF">
      <formula>NOT(ISERROR(SEARCH("VTF",C86)))</formula>
    </cfRule>
    <cfRule type="containsText" dxfId="1023" priority="698" operator="containsText" text="VTI">
      <formula>NOT(ISERROR(SEARCH("VTI",C86)))</formula>
    </cfRule>
  </conditionalFormatting>
  <conditionalFormatting sqref="C87">
    <cfRule type="expression" dxfId="1022" priority="695">
      <formula>$B87="Fin Liberación"</formula>
    </cfRule>
    <cfRule type="expression" dxfId="1021" priority="696">
      <formula>$B87="Inicio Liberación"</formula>
    </cfRule>
  </conditionalFormatting>
  <conditionalFormatting sqref="C87">
    <cfRule type="expression" dxfId="1020" priority="693">
      <formula>$B87="Fin Liberación"</formula>
    </cfRule>
    <cfRule type="expression" dxfId="1019" priority="694">
      <formula>$B87="Inicio Liberación"</formula>
    </cfRule>
  </conditionalFormatting>
  <conditionalFormatting sqref="C91">
    <cfRule type="expression" dxfId="1018" priority="691">
      <formula>$B91="Fin Liberación"</formula>
    </cfRule>
    <cfRule type="expression" dxfId="1017" priority="692">
      <formula>$B91="Inicio Liberación"</formula>
    </cfRule>
  </conditionalFormatting>
  <conditionalFormatting sqref="C91">
    <cfRule type="expression" dxfId="1016" priority="689">
      <formula>$B91="Fin Liberación"</formula>
    </cfRule>
    <cfRule type="expression" dxfId="1015" priority="690">
      <formula>$B91="Inicio Liberación"</formula>
    </cfRule>
  </conditionalFormatting>
  <conditionalFormatting sqref="C94:C97">
    <cfRule type="expression" dxfId="1014" priority="687">
      <formula>$B97="Inicio Liberación"</formula>
    </cfRule>
  </conditionalFormatting>
  <conditionalFormatting sqref="C94:C97">
    <cfRule type="expression" dxfId="1013" priority="688">
      <formula>$B97="Fin Liberación"</formula>
    </cfRule>
  </conditionalFormatting>
  <conditionalFormatting sqref="C95">
    <cfRule type="expression" dxfId="1012" priority="685">
      <formula>$B95="Fin Liberación"</formula>
    </cfRule>
    <cfRule type="expression" dxfId="1011" priority="686">
      <formula>$B95="Inicio Liberación"</formula>
    </cfRule>
  </conditionalFormatting>
  <conditionalFormatting sqref="C95">
    <cfRule type="expression" dxfId="1010" priority="683">
      <formula>$B95="Fin Liberación"</formula>
    </cfRule>
    <cfRule type="expression" dxfId="1009" priority="684">
      <formula>$B95="Inicio Liberación"</formula>
    </cfRule>
  </conditionalFormatting>
  <conditionalFormatting sqref="C98:C101">
    <cfRule type="expression" dxfId="1008" priority="681">
      <formula>$B101="Inicio Liberación"</formula>
    </cfRule>
  </conditionalFormatting>
  <conditionalFormatting sqref="C98:C101">
    <cfRule type="expression" dxfId="1007" priority="682">
      <formula>$B101="Fin Liberación"</formula>
    </cfRule>
  </conditionalFormatting>
  <conditionalFormatting sqref="C99">
    <cfRule type="expression" dxfId="1006" priority="679">
      <formula>$B99="Fin Liberación"</formula>
    </cfRule>
    <cfRule type="expression" dxfId="1005" priority="680">
      <formula>$B99="Inicio Liberación"</formula>
    </cfRule>
  </conditionalFormatting>
  <conditionalFormatting sqref="C99">
    <cfRule type="expression" dxfId="1004" priority="677">
      <formula>$B99="Fin Liberación"</formula>
    </cfRule>
    <cfRule type="expression" dxfId="1003" priority="678">
      <formula>$B99="Inicio Liberación"</formula>
    </cfRule>
  </conditionalFormatting>
  <conditionalFormatting sqref="C102:C105">
    <cfRule type="expression" dxfId="1002" priority="675">
      <formula>$B105="Inicio Liberación"</formula>
    </cfRule>
  </conditionalFormatting>
  <conditionalFormatting sqref="C102:C105">
    <cfRule type="expression" dxfId="1001" priority="676">
      <formula>$B105="Fin Liberación"</formula>
    </cfRule>
  </conditionalFormatting>
  <conditionalFormatting sqref="C103">
    <cfRule type="expression" dxfId="1000" priority="673">
      <formula>$B103="Fin Liberación"</formula>
    </cfRule>
    <cfRule type="expression" dxfId="999" priority="674">
      <formula>$B103="Inicio Liberación"</formula>
    </cfRule>
  </conditionalFormatting>
  <conditionalFormatting sqref="C103">
    <cfRule type="expression" dxfId="998" priority="671">
      <formula>$B103="Fin Liberación"</formula>
    </cfRule>
    <cfRule type="expression" dxfId="997" priority="672">
      <formula>$B103="Inicio Liberación"</formula>
    </cfRule>
  </conditionalFormatting>
  <conditionalFormatting sqref="C106:C109">
    <cfRule type="expression" dxfId="996" priority="669">
      <formula>$B109="Inicio Liberación"</formula>
    </cfRule>
  </conditionalFormatting>
  <conditionalFormatting sqref="C106:C109">
    <cfRule type="expression" dxfId="995" priority="670">
      <formula>$B109="Fin Liberación"</formula>
    </cfRule>
  </conditionalFormatting>
  <conditionalFormatting sqref="C107">
    <cfRule type="expression" dxfId="994" priority="667">
      <formula>$B107="Fin Liberación"</formula>
    </cfRule>
    <cfRule type="expression" dxfId="993" priority="668">
      <formula>$B107="Inicio Liberación"</formula>
    </cfRule>
  </conditionalFormatting>
  <conditionalFormatting sqref="C107">
    <cfRule type="expression" dxfId="992" priority="665">
      <formula>$B107="Fin Liberación"</formula>
    </cfRule>
    <cfRule type="expression" dxfId="991" priority="666">
      <formula>$B107="Inicio Liberación"</formula>
    </cfRule>
  </conditionalFormatting>
  <conditionalFormatting sqref="C110:C113">
    <cfRule type="expression" dxfId="990" priority="663">
      <formula>$B113="Inicio Liberación"</formula>
    </cfRule>
  </conditionalFormatting>
  <conditionalFormatting sqref="C110:C113">
    <cfRule type="expression" dxfId="989" priority="664">
      <formula>$B113="Fin Liberación"</formula>
    </cfRule>
  </conditionalFormatting>
  <conditionalFormatting sqref="C111">
    <cfRule type="expression" dxfId="988" priority="661">
      <formula>$B111="Fin Liberación"</formula>
    </cfRule>
    <cfRule type="expression" dxfId="987" priority="662">
      <formula>$B111="Inicio Liberación"</formula>
    </cfRule>
  </conditionalFormatting>
  <conditionalFormatting sqref="C111">
    <cfRule type="expression" dxfId="986" priority="659">
      <formula>$B111="Fin Liberación"</formula>
    </cfRule>
    <cfRule type="expression" dxfId="985" priority="660">
      <formula>$B111="Inicio Liberación"</formula>
    </cfRule>
  </conditionalFormatting>
  <conditionalFormatting sqref="C114:C117">
    <cfRule type="expression" dxfId="984" priority="657">
      <formula>$B117="Inicio Liberación"</formula>
    </cfRule>
  </conditionalFormatting>
  <conditionalFormatting sqref="C114:C117">
    <cfRule type="expression" dxfId="983" priority="658">
      <formula>$B117="Fin Liberación"</formula>
    </cfRule>
  </conditionalFormatting>
  <conditionalFormatting sqref="C115">
    <cfRule type="expression" dxfId="982" priority="655">
      <formula>$B115="Fin Liberación"</formula>
    </cfRule>
    <cfRule type="expression" dxfId="981" priority="656">
      <formula>$B115="Inicio Liberación"</formula>
    </cfRule>
  </conditionalFormatting>
  <conditionalFormatting sqref="C115">
    <cfRule type="expression" dxfId="980" priority="653">
      <formula>$B115="Fin Liberación"</formula>
    </cfRule>
    <cfRule type="expression" dxfId="979" priority="654">
      <formula>$B115="Inicio Liberación"</formula>
    </cfRule>
  </conditionalFormatting>
  <conditionalFormatting sqref="C118:C121">
    <cfRule type="expression" dxfId="978" priority="651">
      <formula>$B121="Inicio Liberación"</formula>
    </cfRule>
  </conditionalFormatting>
  <conditionalFormatting sqref="C118:C121">
    <cfRule type="expression" dxfId="977" priority="652">
      <formula>$B121="Fin Liberación"</formula>
    </cfRule>
  </conditionalFormatting>
  <conditionalFormatting sqref="C119">
    <cfRule type="expression" dxfId="976" priority="649">
      <formula>$B119="Fin Liberación"</formula>
    </cfRule>
    <cfRule type="expression" dxfId="975" priority="650">
      <formula>$B119="Inicio Liberación"</formula>
    </cfRule>
  </conditionalFormatting>
  <conditionalFormatting sqref="C119">
    <cfRule type="expression" dxfId="974" priority="647">
      <formula>$B119="Fin Liberación"</formula>
    </cfRule>
    <cfRule type="expression" dxfId="973" priority="648">
      <formula>$B119="Inicio Liberación"</formula>
    </cfRule>
  </conditionalFormatting>
  <conditionalFormatting sqref="C122:C125">
    <cfRule type="expression" dxfId="972" priority="645">
      <formula>$B125="Inicio Liberación"</formula>
    </cfRule>
  </conditionalFormatting>
  <conditionalFormatting sqref="C122:C125">
    <cfRule type="expression" dxfId="971" priority="646">
      <formula>$B125="Fin Liberación"</formula>
    </cfRule>
  </conditionalFormatting>
  <conditionalFormatting sqref="C123">
    <cfRule type="expression" dxfId="970" priority="643">
      <formula>$B123="Fin Liberación"</formula>
    </cfRule>
    <cfRule type="expression" dxfId="969" priority="644">
      <formula>$B123="Inicio Liberación"</formula>
    </cfRule>
  </conditionalFormatting>
  <conditionalFormatting sqref="C123">
    <cfRule type="expression" dxfId="968" priority="641">
      <formula>$B123="Fin Liberación"</formula>
    </cfRule>
    <cfRule type="expression" dxfId="967" priority="642">
      <formula>$B123="Inicio Liberación"</formula>
    </cfRule>
  </conditionalFormatting>
  <conditionalFormatting sqref="C126:C129">
    <cfRule type="expression" dxfId="966" priority="639">
      <formula>$B129="Inicio Liberación"</formula>
    </cfRule>
  </conditionalFormatting>
  <conditionalFormatting sqref="C126:C129">
    <cfRule type="expression" dxfId="965" priority="640">
      <formula>$B129="Fin Liberación"</formula>
    </cfRule>
  </conditionalFormatting>
  <conditionalFormatting sqref="C127">
    <cfRule type="expression" dxfId="964" priority="637">
      <formula>$B127="Fin Liberación"</formula>
    </cfRule>
    <cfRule type="expression" dxfId="963" priority="638">
      <formula>$B127="Inicio Liberación"</formula>
    </cfRule>
  </conditionalFormatting>
  <conditionalFormatting sqref="C127">
    <cfRule type="expression" dxfId="962" priority="635">
      <formula>$B127="Fin Liberación"</formula>
    </cfRule>
    <cfRule type="expression" dxfId="961" priority="636">
      <formula>$B127="Inicio Liberación"</formula>
    </cfRule>
  </conditionalFormatting>
  <conditionalFormatting sqref="C130:C133">
    <cfRule type="expression" dxfId="960" priority="633">
      <formula>$B133="Inicio Liberación"</formula>
    </cfRule>
  </conditionalFormatting>
  <conditionalFormatting sqref="C130:C133">
    <cfRule type="expression" dxfId="959" priority="634">
      <formula>$B133="Fin Liberación"</formula>
    </cfRule>
  </conditionalFormatting>
  <conditionalFormatting sqref="C131">
    <cfRule type="expression" dxfId="958" priority="631">
      <formula>$B131="Fin Liberación"</formula>
    </cfRule>
    <cfRule type="expression" dxfId="957" priority="632">
      <formula>$B131="Inicio Liberación"</formula>
    </cfRule>
  </conditionalFormatting>
  <conditionalFormatting sqref="C131">
    <cfRule type="expression" dxfId="956" priority="629">
      <formula>$B131="Fin Liberación"</formula>
    </cfRule>
    <cfRule type="expression" dxfId="955" priority="630">
      <formula>$B131="Inicio Liberación"</formula>
    </cfRule>
  </conditionalFormatting>
  <conditionalFormatting sqref="C134:C137">
    <cfRule type="expression" dxfId="954" priority="627">
      <formula>$B137="Inicio Liberación"</formula>
    </cfRule>
  </conditionalFormatting>
  <conditionalFormatting sqref="C134:C137">
    <cfRule type="expression" dxfId="953" priority="628">
      <formula>$B137="Fin Liberación"</formula>
    </cfRule>
  </conditionalFormatting>
  <conditionalFormatting sqref="C135">
    <cfRule type="expression" dxfId="952" priority="625">
      <formula>$B135="Fin Liberación"</formula>
    </cfRule>
    <cfRule type="expression" dxfId="951" priority="626">
      <formula>$B135="Inicio Liberación"</formula>
    </cfRule>
  </conditionalFormatting>
  <conditionalFormatting sqref="C135">
    <cfRule type="expression" dxfId="950" priority="623">
      <formula>$B135="Fin Liberación"</formula>
    </cfRule>
    <cfRule type="expression" dxfId="949" priority="624">
      <formula>$B135="Inicio Liberación"</formula>
    </cfRule>
  </conditionalFormatting>
  <conditionalFormatting sqref="C138:C141">
    <cfRule type="expression" dxfId="948" priority="621">
      <formula>$B141="Inicio Liberación"</formula>
    </cfRule>
  </conditionalFormatting>
  <conditionalFormatting sqref="C138:C141">
    <cfRule type="expression" dxfId="947" priority="622">
      <formula>$B141="Fin Liberación"</formula>
    </cfRule>
  </conditionalFormatting>
  <conditionalFormatting sqref="C139">
    <cfRule type="expression" dxfId="946" priority="619">
      <formula>$B139="Fin Liberación"</formula>
    </cfRule>
    <cfRule type="expression" dxfId="945" priority="620">
      <formula>$B139="Inicio Liberación"</formula>
    </cfRule>
  </conditionalFormatting>
  <conditionalFormatting sqref="C139">
    <cfRule type="expression" dxfId="944" priority="617">
      <formula>$B139="Fin Liberación"</formula>
    </cfRule>
    <cfRule type="expression" dxfId="943" priority="618">
      <formula>$B139="Inicio Liberación"</formula>
    </cfRule>
  </conditionalFormatting>
  <conditionalFormatting sqref="C142:C145">
    <cfRule type="expression" dxfId="942" priority="615">
      <formula>$B145="Inicio Liberación"</formula>
    </cfRule>
  </conditionalFormatting>
  <conditionalFormatting sqref="C142:C145">
    <cfRule type="expression" dxfId="941" priority="616">
      <formula>$B145="Fin Liberación"</formula>
    </cfRule>
  </conditionalFormatting>
  <conditionalFormatting sqref="C143">
    <cfRule type="expression" dxfId="940" priority="613">
      <formula>$B143="Fin Liberación"</formula>
    </cfRule>
    <cfRule type="expression" dxfId="939" priority="614">
      <formula>$B143="Inicio Liberación"</formula>
    </cfRule>
  </conditionalFormatting>
  <conditionalFormatting sqref="C143">
    <cfRule type="expression" dxfId="938" priority="611">
      <formula>$B143="Fin Liberación"</formula>
    </cfRule>
    <cfRule type="expression" dxfId="937" priority="612">
      <formula>$B143="Inicio Liberación"</formula>
    </cfRule>
  </conditionalFormatting>
  <conditionalFormatting sqref="C146:C149">
    <cfRule type="expression" dxfId="936" priority="609">
      <formula>$B149="Inicio Liberación"</formula>
    </cfRule>
  </conditionalFormatting>
  <conditionalFormatting sqref="C146:C149">
    <cfRule type="expression" dxfId="935" priority="610">
      <formula>$B149="Fin Liberación"</formula>
    </cfRule>
  </conditionalFormatting>
  <conditionalFormatting sqref="C147">
    <cfRule type="expression" dxfId="934" priority="607">
      <formula>$B147="Fin Liberación"</formula>
    </cfRule>
    <cfRule type="expression" dxfId="933" priority="608">
      <formula>$B147="Inicio Liberación"</formula>
    </cfRule>
  </conditionalFormatting>
  <conditionalFormatting sqref="C147">
    <cfRule type="expression" dxfId="932" priority="605">
      <formula>$B147="Fin Liberación"</formula>
    </cfRule>
    <cfRule type="expression" dxfId="931" priority="606">
      <formula>$B147="Inicio Liberación"</formula>
    </cfRule>
  </conditionalFormatting>
  <conditionalFormatting sqref="C150:C153">
    <cfRule type="expression" dxfId="930" priority="603">
      <formula>$B153="Inicio Liberación"</formula>
    </cfRule>
  </conditionalFormatting>
  <conditionalFormatting sqref="C150:C153">
    <cfRule type="expression" dxfId="929" priority="604">
      <formula>$B153="Fin Liberación"</formula>
    </cfRule>
  </conditionalFormatting>
  <conditionalFormatting sqref="C151">
    <cfRule type="expression" dxfId="928" priority="601">
      <formula>$B151="Fin Liberación"</formula>
    </cfRule>
    <cfRule type="expression" dxfId="927" priority="602">
      <formula>$B151="Inicio Liberación"</formula>
    </cfRule>
  </conditionalFormatting>
  <conditionalFormatting sqref="C151">
    <cfRule type="expression" dxfId="926" priority="599">
      <formula>$B151="Fin Liberación"</formula>
    </cfRule>
    <cfRule type="expression" dxfId="925" priority="600">
      <formula>$B151="Inicio Liberación"</formula>
    </cfRule>
  </conditionalFormatting>
  <conditionalFormatting sqref="C154:C157">
    <cfRule type="expression" dxfId="924" priority="597">
      <formula>$B157="Inicio Liberación"</formula>
    </cfRule>
  </conditionalFormatting>
  <conditionalFormatting sqref="C154:C157">
    <cfRule type="expression" dxfId="923" priority="598">
      <formula>$B157="Fin Liberación"</formula>
    </cfRule>
  </conditionalFormatting>
  <conditionalFormatting sqref="C155">
    <cfRule type="expression" dxfId="922" priority="595">
      <formula>$B155="Fin Liberación"</formula>
    </cfRule>
    <cfRule type="expression" dxfId="921" priority="596">
      <formula>$B155="Inicio Liberación"</formula>
    </cfRule>
  </conditionalFormatting>
  <conditionalFormatting sqref="C155">
    <cfRule type="expression" dxfId="920" priority="593">
      <formula>$B155="Fin Liberación"</formula>
    </cfRule>
    <cfRule type="expression" dxfId="919" priority="594">
      <formula>$B155="Inicio Liberación"</formula>
    </cfRule>
  </conditionalFormatting>
  <conditionalFormatting sqref="C158:C165">
    <cfRule type="expression" dxfId="918" priority="592">
      <formula>$A158="Inicio Liberación"</formula>
    </cfRule>
  </conditionalFormatting>
  <conditionalFormatting sqref="C158:C165">
    <cfRule type="expression" dxfId="917" priority="591">
      <formula>$A158="Fin Liberación"</formula>
    </cfRule>
  </conditionalFormatting>
  <conditionalFormatting sqref="C158:C165">
    <cfRule type="containsText" dxfId="916" priority="589" operator="containsText" text="VTF">
      <formula>NOT(ISERROR(SEARCH("VTF",C158)))</formula>
    </cfRule>
    <cfRule type="containsText" dxfId="915" priority="590" operator="containsText" text="VTI">
      <formula>NOT(ISERROR(SEARCH("VTI",C158)))</formula>
    </cfRule>
  </conditionalFormatting>
  <conditionalFormatting sqref="C158:C161">
    <cfRule type="expression" dxfId="914" priority="587">
      <formula>$B161="Inicio Liberación"</formula>
    </cfRule>
  </conditionalFormatting>
  <conditionalFormatting sqref="C158:C161">
    <cfRule type="expression" dxfId="913" priority="588">
      <formula>$B161="Fin Liberación"</formula>
    </cfRule>
  </conditionalFormatting>
  <conditionalFormatting sqref="C159">
    <cfRule type="expression" dxfId="912" priority="585">
      <formula>$B159="Fin Liberación"</formula>
    </cfRule>
    <cfRule type="expression" dxfId="911" priority="586">
      <formula>$B159="Inicio Liberación"</formula>
    </cfRule>
  </conditionalFormatting>
  <conditionalFormatting sqref="C159">
    <cfRule type="expression" dxfId="910" priority="583">
      <formula>$B159="Fin Liberación"</formula>
    </cfRule>
    <cfRule type="expression" dxfId="909" priority="584">
      <formula>$B159="Inicio Liberación"</formula>
    </cfRule>
  </conditionalFormatting>
  <conditionalFormatting sqref="C162:C165">
    <cfRule type="expression" dxfId="908" priority="581">
      <formula>$B165="Inicio Liberación"</formula>
    </cfRule>
  </conditionalFormatting>
  <conditionalFormatting sqref="C162:C165">
    <cfRule type="expression" dxfId="907" priority="582">
      <formula>$B165="Fin Liberación"</formula>
    </cfRule>
  </conditionalFormatting>
  <conditionalFormatting sqref="C163">
    <cfRule type="expression" dxfId="906" priority="579">
      <formula>$B163="Fin Liberación"</formula>
    </cfRule>
    <cfRule type="expression" dxfId="905" priority="580">
      <formula>$B163="Inicio Liberación"</formula>
    </cfRule>
  </conditionalFormatting>
  <conditionalFormatting sqref="C163">
    <cfRule type="expression" dxfId="904" priority="577">
      <formula>$B163="Fin Liberación"</formula>
    </cfRule>
    <cfRule type="expression" dxfId="903" priority="578">
      <formula>$B163="Inicio Liberación"</formula>
    </cfRule>
  </conditionalFormatting>
  <conditionalFormatting sqref="C166:C173">
    <cfRule type="expression" dxfId="902" priority="576">
      <formula>$A166="Inicio Liberación"</formula>
    </cfRule>
  </conditionalFormatting>
  <conditionalFormatting sqref="C166:C173">
    <cfRule type="expression" dxfId="901" priority="575">
      <formula>$A166="Fin Liberación"</formula>
    </cfRule>
  </conditionalFormatting>
  <conditionalFormatting sqref="C166:C173">
    <cfRule type="containsText" dxfId="900" priority="573" operator="containsText" text="VTF">
      <formula>NOT(ISERROR(SEARCH("VTF",C166)))</formula>
    </cfRule>
    <cfRule type="containsText" dxfId="899" priority="574" operator="containsText" text="VTI">
      <formula>NOT(ISERROR(SEARCH("VTI",C166)))</formula>
    </cfRule>
  </conditionalFormatting>
  <conditionalFormatting sqref="C166:C169">
    <cfRule type="expression" dxfId="898" priority="571">
      <formula>$B169="Inicio Liberación"</formula>
    </cfRule>
  </conditionalFormatting>
  <conditionalFormatting sqref="C166:C169">
    <cfRule type="expression" dxfId="897" priority="572">
      <formula>$B169="Fin Liberación"</formula>
    </cfRule>
  </conditionalFormatting>
  <conditionalFormatting sqref="C167">
    <cfRule type="expression" dxfId="896" priority="569">
      <formula>$B167="Fin Liberación"</formula>
    </cfRule>
    <cfRule type="expression" dxfId="895" priority="570">
      <formula>$B167="Inicio Liberación"</formula>
    </cfRule>
  </conditionalFormatting>
  <conditionalFormatting sqref="C167">
    <cfRule type="expression" dxfId="894" priority="567">
      <formula>$B167="Fin Liberación"</formula>
    </cfRule>
    <cfRule type="expression" dxfId="893" priority="568">
      <formula>$B167="Inicio Liberación"</formula>
    </cfRule>
  </conditionalFormatting>
  <conditionalFormatting sqref="C170:C173">
    <cfRule type="expression" dxfId="892" priority="565">
      <formula>$B173="Inicio Liberación"</formula>
    </cfRule>
  </conditionalFormatting>
  <conditionalFormatting sqref="C170:C173">
    <cfRule type="expression" dxfId="891" priority="566">
      <formula>$B173="Fin Liberación"</formula>
    </cfRule>
  </conditionalFormatting>
  <conditionalFormatting sqref="C171">
    <cfRule type="expression" dxfId="890" priority="563">
      <formula>$B171="Fin Liberación"</formula>
    </cfRule>
    <cfRule type="expression" dxfId="889" priority="564">
      <formula>$B171="Inicio Liberación"</formula>
    </cfRule>
  </conditionalFormatting>
  <conditionalFormatting sqref="C171">
    <cfRule type="expression" dxfId="888" priority="561">
      <formula>$B171="Fin Liberación"</formula>
    </cfRule>
    <cfRule type="expression" dxfId="887" priority="562">
      <formula>$B171="Inicio Liberación"</formula>
    </cfRule>
  </conditionalFormatting>
  <conditionalFormatting sqref="C174:C181">
    <cfRule type="expression" dxfId="886" priority="560">
      <formula>$A174="Inicio Liberación"</formula>
    </cfRule>
  </conditionalFormatting>
  <conditionalFormatting sqref="C174:C181">
    <cfRule type="expression" dxfId="885" priority="559">
      <formula>$A174="Fin Liberación"</formula>
    </cfRule>
  </conditionalFormatting>
  <conditionalFormatting sqref="C174:C181">
    <cfRule type="containsText" dxfId="884" priority="557" operator="containsText" text="VTF">
      <formula>NOT(ISERROR(SEARCH("VTF",C174)))</formula>
    </cfRule>
    <cfRule type="containsText" dxfId="883" priority="558" operator="containsText" text="VTI">
      <formula>NOT(ISERROR(SEARCH("VTI",C174)))</formula>
    </cfRule>
  </conditionalFormatting>
  <conditionalFormatting sqref="C174:C177">
    <cfRule type="expression" dxfId="882" priority="555">
      <formula>$B177="Inicio Liberación"</formula>
    </cfRule>
  </conditionalFormatting>
  <conditionalFormatting sqref="C174:C177">
    <cfRule type="expression" dxfId="881" priority="556">
      <formula>$B177="Fin Liberación"</formula>
    </cfRule>
  </conditionalFormatting>
  <conditionalFormatting sqref="C175">
    <cfRule type="expression" dxfId="880" priority="553">
      <formula>$B175="Fin Liberación"</formula>
    </cfRule>
    <cfRule type="expression" dxfId="879" priority="554">
      <formula>$B175="Inicio Liberación"</formula>
    </cfRule>
  </conditionalFormatting>
  <conditionalFormatting sqref="C175">
    <cfRule type="expression" dxfId="878" priority="551">
      <formula>$B175="Fin Liberación"</formula>
    </cfRule>
    <cfRule type="expression" dxfId="877" priority="552">
      <formula>$B175="Inicio Liberación"</formula>
    </cfRule>
  </conditionalFormatting>
  <conditionalFormatting sqref="C178:C181">
    <cfRule type="expression" dxfId="876" priority="549">
      <formula>$B181="Inicio Liberación"</formula>
    </cfRule>
  </conditionalFormatting>
  <conditionalFormatting sqref="C178:C181">
    <cfRule type="expression" dxfId="875" priority="550">
      <formula>$B181="Fin Liberación"</formula>
    </cfRule>
  </conditionalFormatting>
  <conditionalFormatting sqref="C179">
    <cfRule type="expression" dxfId="874" priority="547">
      <formula>$B179="Fin Liberación"</formula>
    </cfRule>
    <cfRule type="expression" dxfId="873" priority="548">
      <formula>$B179="Inicio Liberación"</formula>
    </cfRule>
  </conditionalFormatting>
  <conditionalFormatting sqref="C179">
    <cfRule type="expression" dxfId="872" priority="545">
      <formula>$B179="Fin Liberación"</formula>
    </cfRule>
    <cfRule type="expression" dxfId="871" priority="546">
      <formula>$B179="Inicio Liberación"</formula>
    </cfRule>
  </conditionalFormatting>
  <conditionalFormatting sqref="C182:C189">
    <cfRule type="expression" dxfId="870" priority="544">
      <formula>$A182="Inicio Liberación"</formula>
    </cfRule>
  </conditionalFormatting>
  <conditionalFormatting sqref="C182:C189">
    <cfRule type="expression" dxfId="869" priority="543">
      <formula>$A182="Fin Liberación"</formula>
    </cfRule>
  </conditionalFormatting>
  <conditionalFormatting sqref="C182:C189">
    <cfRule type="containsText" dxfId="868" priority="541" operator="containsText" text="VTF">
      <formula>NOT(ISERROR(SEARCH("VTF",C182)))</formula>
    </cfRule>
    <cfRule type="containsText" dxfId="867" priority="542" operator="containsText" text="VTI">
      <formula>NOT(ISERROR(SEARCH("VTI",C182)))</formula>
    </cfRule>
  </conditionalFormatting>
  <conditionalFormatting sqref="C182:C185">
    <cfRule type="expression" dxfId="866" priority="539">
      <formula>$B185="Inicio Liberación"</formula>
    </cfRule>
  </conditionalFormatting>
  <conditionalFormatting sqref="C182:C185">
    <cfRule type="expression" dxfId="865" priority="540">
      <formula>$B185="Fin Liberación"</formula>
    </cfRule>
  </conditionalFormatting>
  <conditionalFormatting sqref="C183">
    <cfRule type="expression" dxfId="864" priority="537">
      <formula>$B183="Fin Liberación"</formula>
    </cfRule>
    <cfRule type="expression" dxfId="863" priority="538">
      <formula>$B183="Inicio Liberación"</formula>
    </cfRule>
  </conditionalFormatting>
  <conditionalFormatting sqref="C183">
    <cfRule type="expression" dxfId="862" priority="535">
      <formula>$B183="Fin Liberación"</formula>
    </cfRule>
    <cfRule type="expression" dxfId="861" priority="536">
      <formula>$B183="Inicio Liberación"</formula>
    </cfRule>
  </conditionalFormatting>
  <conditionalFormatting sqref="C186:C189">
    <cfRule type="expression" dxfId="860" priority="533">
      <formula>$B189="Inicio Liberación"</formula>
    </cfRule>
  </conditionalFormatting>
  <conditionalFormatting sqref="C186:C189">
    <cfRule type="expression" dxfId="859" priority="534">
      <formula>$B189="Fin Liberación"</formula>
    </cfRule>
  </conditionalFormatting>
  <conditionalFormatting sqref="C187">
    <cfRule type="expression" dxfId="858" priority="531">
      <formula>$B187="Fin Liberación"</formula>
    </cfRule>
    <cfRule type="expression" dxfId="857" priority="532">
      <formula>$B187="Inicio Liberación"</formula>
    </cfRule>
  </conditionalFormatting>
  <conditionalFormatting sqref="C187">
    <cfRule type="expression" dxfId="856" priority="529">
      <formula>$B187="Fin Liberación"</formula>
    </cfRule>
    <cfRule type="expression" dxfId="855" priority="530">
      <formula>$B187="Inicio Liberación"</formula>
    </cfRule>
  </conditionalFormatting>
  <conditionalFormatting sqref="F6">
    <cfRule type="expression" dxfId="854" priority="527">
      <formula>$B6="Fin Liberación"</formula>
    </cfRule>
    <cfRule type="expression" dxfId="853" priority="528">
      <formula>$B6="Inicio Liberación"</formula>
    </cfRule>
  </conditionalFormatting>
  <conditionalFormatting sqref="L7:L185">
    <cfRule type="cellIs" dxfId="852" priority="510" operator="equal">
      <formula>"S"</formula>
    </cfRule>
  </conditionalFormatting>
  <conditionalFormatting sqref="L7:L185">
    <cfRule type="cellIs" dxfId="851" priority="507" operator="equal">
      <formula>"N"</formula>
    </cfRule>
    <cfRule type="cellIs" dxfId="850" priority="508" operator="equal">
      <formula>"P"</formula>
    </cfRule>
    <cfRule type="cellIs" dxfId="849" priority="509" operator="equal">
      <formula>"T"</formula>
    </cfRule>
  </conditionalFormatting>
  <conditionalFormatting sqref="L7:L185">
    <cfRule type="expression" dxfId="848" priority="505">
      <formula>$A7="Fin Liberación"</formula>
    </cfRule>
    <cfRule type="expression" dxfId="847" priority="506">
      <formula>$A7="Inicio Liberación"</formula>
    </cfRule>
  </conditionalFormatting>
  <conditionalFormatting sqref="E7">
    <cfRule type="expression" dxfId="846" priority="497">
      <formula>$B7="Fin Liberación"</formula>
    </cfRule>
    <cfRule type="expression" dxfId="845" priority="498">
      <formula>$B7="Inicio Liberación"</formula>
    </cfRule>
  </conditionalFormatting>
  <conditionalFormatting sqref="E12:E13">
    <cfRule type="expression" dxfId="844" priority="481">
      <formula>$B12="Fin Liberación"</formula>
    </cfRule>
    <cfRule type="expression" dxfId="843" priority="482">
      <formula>$B12="Inicio Liberación"</formula>
    </cfRule>
  </conditionalFormatting>
  <conditionalFormatting sqref="F12:F13">
    <cfRule type="expression" dxfId="842" priority="479">
      <formula>$B12="Fin Liberación"</formula>
    </cfRule>
    <cfRule type="expression" dxfId="841" priority="480">
      <formula>$B12="Inicio Liberación"</formula>
    </cfRule>
  </conditionalFormatting>
  <conditionalFormatting sqref="E14">
    <cfRule type="expression" dxfId="840" priority="477">
      <formula>$B14="Fin Liberación"</formula>
    </cfRule>
    <cfRule type="expression" dxfId="839" priority="478">
      <formula>$B14="Inicio Liberación"</formula>
    </cfRule>
  </conditionalFormatting>
  <conditionalFormatting sqref="F14">
    <cfRule type="expression" dxfId="838" priority="475">
      <formula>$B14="Fin Liberación"</formula>
    </cfRule>
    <cfRule type="expression" dxfId="837" priority="476">
      <formula>$B14="Inicio Liberación"</formula>
    </cfRule>
  </conditionalFormatting>
  <conditionalFormatting sqref="E15:E17">
    <cfRule type="expression" dxfId="836" priority="473">
      <formula>$B15="Fin Liberación"</formula>
    </cfRule>
    <cfRule type="expression" dxfId="835" priority="474">
      <formula>$B15="Inicio Liberación"</formula>
    </cfRule>
  </conditionalFormatting>
  <conditionalFormatting sqref="F15:F17">
    <cfRule type="expression" dxfId="834" priority="471">
      <formula>$B15="Fin Liberación"</formula>
    </cfRule>
    <cfRule type="expression" dxfId="833" priority="472">
      <formula>$B15="Inicio Liberación"</formula>
    </cfRule>
  </conditionalFormatting>
  <conditionalFormatting sqref="E18">
    <cfRule type="expression" dxfId="832" priority="469">
      <formula>$B18="Fin Liberación"</formula>
    </cfRule>
    <cfRule type="expression" dxfId="831" priority="470">
      <formula>$B18="Inicio Liberación"</formula>
    </cfRule>
  </conditionalFormatting>
  <conditionalFormatting sqref="F18">
    <cfRule type="expression" dxfId="830" priority="467">
      <formula>$B18="Fin Liberación"</formula>
    </cfRule>
    <cfRule type="expression" dxfId="829" priority="468">
      <formula>$B18="Inicio Liberación"</formula>
    </cfRule>
  </conditionalFormatting>
  <conditionalFormatting sqref="E19:E21">
    <cfRule type="expression" dxfId="828" priority="465">
      <formula>$B19="Fin Liberación"</formula>
    </cfRule>
    <cfRule type="expression" dxfId="827" priority="466">
      <formula>$B19="Inicio Liberación"</formula>
    </cfRule>
  </conditionalFormatting>
  <conditionalFormatting sqref="F19:F21">
    <cfRule type="expression" dxfId="826" priority="463">
      <formula>$B19="Fin Liberación"</formula>
    </cfRule>
    <cfRule type="expression" dxfId="825" priority="464">
      <formula>$B19="Inicio Liberación"</formula>
    </cfRule>
  </conditionalFormatting>
  <conditionalFormatting sqref="E22">
    <cfRule type="expression" dxfId="824" priority="461">
      <formula>$B22="Fin Liberación"</formula>
    </cfRule>
    <cfRule type="expression" dxfId="823" priority="462">
      <formula>$B22="Inicio Liberación"</formula>
    </cfRule>
  </conditionalFormatting>
  <conditionalFormatting sqref="F22">
    <cfRule type="expression" dxfId="822" priority="459">
      <formula>$B22="Fin Liberación"</formula>
    </cfRule>
    <cfRule type="expression" dxfId="821" priority="460">
      <formula>$B22="Inicio Liberación"</formula>
    </cfRule>
  </conditionalFormatting>
  <conditionalFormatting sqref="E23:E25">
    <cfRule type="expression" dxfId="820" priority="457">
      <formula>$B23="Fin Liberación"</formula>
    </cfRule>
    <cfRule type="expression" dxfId="819" priority="458">
      <formula>$B23="Inicio Liberación"</formula>
    </cfRule>
  </conditionalFormatting>
  <conditionalFormatting sqref="F23:F25">
    <cfRule type="expression" dxfId="818" priority="455">
      <formula>$B23="Fin Liberación"</formula>
    </cfRule>
    <cfRule type="expression" dxfId="817" priority="456">
      <formula>$B23="Inicio Liberación"</formula>
    </cfRule>
  </conditionalFormatting>
  <conditionalFormatting sqref="E26">
    <cfRule type="expression" dxfId="816" priority="453">
      <formula>$B26="Fin Liberación"</formula>
    </cfRule>
    <cfRule type="expression" dxfId="815" priority="454">
      <formula>$B26="Inicio Liberación"</formula>
    </cfRule>
  </conditionalFormatting>
  <conditionalFormatting sqref="F26">
    <cfRule type="expression" dxfId="814" priority="451">
      <formula>$B26="Fin Liberación"</formula>
    </cfRule>
    <cfRule type="expression" dxfId="813" priority="452">
      <formula>$B26="Inicio Liberación"</formula>
    </cfRule>
  </conditionalFormatting>
  <conditionalFormatting sqref="E27:E29">
    <cfRule type="expression" dxfId="812" priority="449">
      <formula>$B27="Fin Liberación"</formula>
    </cfRule>
    <cfRule type="expression" dxfId="811" priority="450">
      <formula>$B27="Inicio Liberación"</formula>
    </cfRule>
  </conditionalFormatting>
  <conditionalFormatting sqref="F27:F29">
    <cfRule type="expression" dxfId="810" priority="447">
      <formula>$B27="Fin Liberación"</formula>
    </cfRule>
    <cfRule type="expression" dxfId="809" priority="448">
      <formula>$B27="Inicio Liberación"</formula>
    </cfRule>
  </conditionalFormatting>
  <conditionalFormatting sqref="E30">
    <cfRule type="expression" dxfId="808" priority="445">
      <formula>$B30="Fin Liberación"</formula>
    </cfRule>
    <cfRule type="expression" dxfId="807" priority="446">
      <formula>$B30="Inicio Liberación"</formula>
    </cfRule>
  </conditionalFormatting>
  <conditionalFormatting sqref="F30">
    <cfRule type="expression" dxfId="806" priority="443">
      <formula>$B30="Fin Liberación"</formula>
    </cfRule>
    <cfRule type="expression" dxfId="805" priority="444">
      <formula>$B30="Inicio Liberación"</formula>
    </cfRule>
  </conditionalFormatting>
  <conditionalFormatting sqref="E31:E33">
    <cfRule type="expression" dxfId="804" priority="441">
      <formula>$B31="Fin Liberación"</formula>
    </cfRule>
    <cfRule type="expression" dxfId="803" priority="442">
      <formula>$B31="Inicio Liberación"</formula>
    </cfRule>
  </conditionalFormatting>
  <conditionalFormatting sqref="F31:F33">
    <cfRule type="expression" dxfId="802" priority="439">
      <formula>$B31="Fin Liberación"</formula>
    </cfRule>
    <cfRule type="expression" dxfId="801" priority="440">
      <formula>$B31="Inicio Liberación"</formula>
    </cfRule>
  </conditionalFormatting>
  <conditionalFormatting sqref="E34">
    <cfRule type="expression" dxfId="800" priority="437">
      <formula>$B34="Fin Liberación"</formula>
    </cfRule>
    <cfRule type="expression" dxfId="799" priority="438">
      <formula>$B34="Inicio Liberación"</formula>
    </cfRule>
  </conditionalFormatting>
  <conditionalFormatting sqref="F34">
    <cfRule type="expression" dxfId="798" priority="435">
      <formula>$B34="Fin Liberación"</formula>
    </cfRule>
    <cfRule type="expression" dxfId="797" priority="436">
      <formula>$B34="Inicio Liberación"</formula>
    </cfRule>
  </conditionalFormatting>
  <conditionalFormatting sqref="E35:E37">
    <cfRule type="expression" dxfId="796" priority="433">
      <formula>$B35="Fin Liberación"</formula>
    </cfRule>
    <cfRule type="expression" dxfId="795" priority="434">
      <formula>$B35="Inicio Liberación"</formula>
    </cfRule>
  </conditionalFormatting>
  <conditionalFormatting sqref="F35:F37">
    <cfRule type="expression" dxfId="794" priority="431">
      <formula>$B35="Fin Liberación"</formula>
    </cfRule>
    <cfRule type="expression" dxfId="793" priority="432">
      <formula>$B35="Inicio Liberación"</formula>
    </cfRule>
  </conditionalFormatting>
  <conditionalFormatting sqref="E38">
    <cfRule type="expression" dxfId="792" priority="429">
      <formula>$B38="Fin Liberación"</formula>
    </cfRule>
    <cfRule type="expression" dxfId="791" priority="430">
      <formula>$B38="Inicio Liberación"</formula>
    </cfRule>
  </conditionalFormatting>
  <conditionalFormatting sqref="F38">
    <cfRule type="expression" dxfId="790" priority="427">
      <formula>$B38="Fin Liberación"</formula>
    </cfRule>
    <cfRule type="expression" dxfId="789" priority="428">
      <formula>$B38="Inicio Liberación"</formula>
    </cfRule>
  </conditionalFormatting>
  <conditionalFormatting sqref="E39:E41">
    <cfRule type="expression" dxfId="788" priority="425">
      <formula>$B39="Fin Liberación"</formula>
    </cfRule>
    <cfRule type="expression" dxfId="787" priority="426">
      <formula>$B39="Inicio Liberación"</formula>
    </cfRule>
  </conditionalFormatting>
  <conditionalFormatting sqref="F39:F41">
    <cfRule type="expression" dxfId="786" priority="423">
      <formula>$B39="Fin Liberación"</formula>
    </cfRule>
    <cfRule type="expression" dxfId="785" priority="424">
      <formula>$B39="Inicio Liberación"</formula>
    </cfRule>
  </conditionalFormatting>
  <conditionalFormatting sqref="E42">
    <cfRule type="expression" dxfId="784" priority="421">
      <formula>$B42="Fin Liberación"</formula>
    </cfRule>
    <cfRule type="expression" dxfId="783" priority="422">
      <formula>$B42="Inicio Liberación"</formula>
    </cfRule>
  </conditionalFormatting>
  <conditionalFormatting sqref="F42">
    <cfRule type="expression" dxfId="782" priority="419">
      <formula>$B42="Fin Liberación"</formula>
    </cfRule>
    <cfRule type="expression" dxfId="781" priority="420">
      <formula>$B42="Inicio Liberación"</formula>
    </cfRule>
  </conditionalFormatting>
  <conditionalFormatting sqref="E43:E45">
    <cfRule type="expression" dxfId="780" priority="417">
      <formula>$B43="Fin Liberación"</formula>
    </cfRule>
    <cfRule type="expression" dxfId="779" priority="418">
      <formula>$B43="Inicio Liberación"</formula>
    </cfRule>
  </conditionalFormatting>
  <conditionalFormatting sqref="F43:F45">
    <cfRule type="expression" dxfId="778" priority="415">
      <formula>$B43="Fin Liberación"</formula>
    </cfRule>
    <cfRule type="expression" dxfId="777" priority="416">
      <formula>$B43="Inicio Liberación"</formula>
    </cfRule>
  </conditionalFormatting>
  <conditionalFormatting sqref="E46">
    <cfRule type="expression" dxfId="776" priority="413">
      <formula>$B46="Fin Liberación"</formula>
    </cfRule>
    <cfRule type="expression" dxfId="775" priority="414">
      <formula>$B46="Inicio Liberación"</formula>
    </cfRule>
  </conditionalFormatting>
  <conditionalFormatting sqref="F46">
    <cfRule type="expression" dxfId="774" priority="411">
      <formula>$B46="Fin Liberación"</formula>
    </cfRule>
    <cfRule type="expression" dxfId="773" priority="412">
      <formula>$B46="Inicio Liberación"</formula>
    </cfRule>
  </conditionalFormatting>
  <conditionalFormatting sqref="E47:E49">
    <cfRule type="expression" dxfId="772" priority="409">
      <formula>$B47="Fin Liberación"</formula>
    </cfRule>
    <cfRule type="expression" dxfId="771" priority="410">
      <formula>$B47="Inicio Liberación"</formula>
    </cfRule>
  </conditionalFormatting>
  <conditionalFormatting sqref="F47:F49">
    <cfRule type="expression" dxfId="770" priority="407">
      <formula>$B47="Fin Liberación"</formula>
    </cfRule>
    <cfRule type="expression" dxfId="769" priority="408">
      <formula>$B47="Inicio Liberación"</formula>
    </cfRule>
  </conditionalFormatting>
  <conditionalFormatting sqref="E50">
    <cfRule type="expression" dxfId="768" priority="405">
      <formula>$B50="Fin Liberación"</formula>
    </cfRule>
    <cfRule type="expression" dxfId="767" priority="406">
      <formula>$B50="Inicio Liberación"</formula>
    </cfRule>
  </conditionalFormatting>
  <conditionalFormatting sqref="F50">
    <cfRule type="expression" dxfId="766" priority="403">
      <formula>$B50="Fin Liberación"</formula>
    </cfRule>
    <cfRule type="expression" dxfId="765" priority="404">
      <formula>$B50="Inicio Liberación"</formula>
    </cfRule>
  </conditionalFormatting>
  <conditionalFormatting sqref="E51:E53">
    <cfRule type="expression" dxfId="764" priority="401">
      <formula>$B51="Fin Liberación"</formula>
    </cfRule>
    <cfRule type="expression" dxfId="763" priority="402">
      <formula>$B51="Inicio Liberación"</formula>
    </cfRule>
  </conditionalFormatting>
  <conditionalFormatting sqref="F51:F53">
    <cfRule type="expression" dxfId="762" priority="399">
      <formula>$B51="Fin Liberación"</formula>
    </cfRule>
    <cfRule type="expression" dxfId="761" priority="400">
      <formula>$B51="Inicio Liberación"</formula>
    </cfRule>
  </conditionalFormatting>
  <conditionalFormatting sqref="E54">
    <cfRule type="expression" dxfId="760" priority="397">
      <formula>$B54="Fin Liberación"</formula>
    </cfRule>
    <cfRule type="expression" dxfId="759" priority="398">
      <formula>$B54="Inicio Liberación"</formula>
    </cfRule>
  </conditionalFormatting>
  <conditionalFormatting sqref="F54">
    <cfRule type="expression" dxfId="758" priority="395">
      <formula>$B54="Fin Liberación"</formula>
    </cfRule>
    <cfRule type="expression" dxfId="757" priority="396">
      <formula>$B54="Inicio Liberación"</formula>
    </cfRule>
  </conditionalFormatting>
  <conditionalFormatting sqref="E55:E57">
    <cfRule type="expression" dxfId="756" priority="393">
      <formula>$B55="Fin Liberación"</formula>
    </cfRule>
    <cfRule type="expression" dxfId="755" priority="394">
      <formula>$B55="Inicio Liberación"</formula>
    </cfRule>
  </conditionalFormatting>
  <conditionalFormatting sqref="F55:F57">
    <cfRule type="expression" dxfId="754" priority="391">
      <formula>$B55="Fin Liberación"</formula>
    </cfRule>
    <cfRule type="expression" dxfId="753" priority="392">
      <formula>$B55="Inicio Liberación"</formula>
    </cfRule>
  </conditionalFormatting>
  <conditionalFormatting sqref="E58">
    <cfRule type="expression" dxfId="752" priority="389">
      <formula>$B58="Fin Liberación"</formula>
    </cfRule>
    <cfRule type="expression" dxfId="751" priority="390">
      <formula>$B58="Inicio Liberación"</formula>
    </cfRule>
  </conditionalFormatting>
  <conditionalFormatting sqref="F58">
    <cfRule type="expression" dxfId="750" priority="387">
      <formula>$B58="Fin Liberación"</formula>
    </cfRule>
    <cfRule type="expression" dxfId="749" priority="388">
      <formula>$B58="Inicio Liberación"</formula>
    </cfRule>
  </conditionalFormatting>
  <conditionalFormatting sqref="E59:E61">
    <cfRule type="expression" dxfId="748" priority="385">
      <formula>$B59="Fin Liberación"</formula>
    </cfRule>
    <cfRule type="expression" dxfId="747" priority="386">
      <formula>$B59="Inicio Liberación"</formula>
    </cfRule>
  </conditionalFormatting>
  <conditionalFormatting sqref="F59:F61">
    <cfRule type="expression" dxfId="746" priority="383">
      <formula>$B59="Fin Liberación"</formula>
    </cfRule>
    <cfRule type="expression" dxfId="745" priority="384">
      <formula>$B59="Inicio Liberación"</formula>
    </cfRule>
  </conditionalFormatting>
  <conditionalFormatting sqref="E62">
    <cfRule type="expression" dxfId="744" priority="381">
      <formula>$B62="Fin Liberación"</formula>
    </cfRule>
    <cfRule type="expression" dxfId="743" priority="382">
      <formula>$B62="Inicio Liberación"</formula>
    </cfRule>
  </conditionalFormatting>
  <conditionalFormatting sqref="F62">
    <cfRule type="expression" dxfId="742" priority="379">
      <formula>$B62="Fin Liberación"</formula>
    </cfRule>
    <cfRule type="expression" dxfId="741" priority="380">
      <formula>$B62="Inicio Liberación"</formula>
    </cfRule>
  </conditionalFormatting>
  <conditionalFormatting sqref="E63:E65">
    <cfRule type="expression" dxfId="740" priority="377">
      <formula>$B63="Fin Liberación"</formula>
    </cfRule>
    <cfRule type="expression" dxfId="739" priority="378">
      <formula>$B63="Inicio Liberación"</formula>
    </cfRule>
  </conditionalFormatting>
  <conditionalFormatting sqref="F63:F65">
    <cfRule type="expression" dxfId="738" priority="375">
      <formula>$B63="Fin Liberación"</formula>
    </cfRule>
    <cfRule type="expression" dxfId="737" priority="376">
      <formula>$B63="Inicio Liberación"</formula>
    </cfRule>
  </conditionalFormatting>
  <conditionalFormatting sqref="E66">
    <cfRule type="expression" dxfId="736" priority="373">
      <formula>$B66="Fin Liberación"</formula>
    </cfRule>
    <cfRule type="expression" dxfId="735" priority="374">
      <formula>$B66="Inicio Liberación"</formula>
    </cfRule>
  </conditionalFormatting>
  <conditionalFormatting sqref="F66">
    <cfRule type="expression" dxfId="734" priority="371">
      <formula>$B66="Fin Liberación"</formula>
    </cfRule>
    <cfRule type="expression" dxfId="733" priority="372">
      <formula>$B66="Inicio Liberación"</formula>
    </cfRule>
  </conditionalFormatting>
  <conditionalFormatting sqref="E67:E69">
    <cfRule type="expression" dxfId="732" priority="369">
      <formula>$B67="Fin Liberación"</formula>
    </cfRule>
    <cfRule type="expression" dxfId="731" priority="370">
      <formula>$B67="Inicio Liberación"</formula>
    </cfRule>
  </conditionalFormatting>
  <conditionalFormatting sqref="F67:F69">
    <cfRule type="expression" dxfId="730" priority="367">
      <formula>$B67="Fin Liberación"</formula>
    </cfRule>
    <cfRule type="expression" dxfId="729" priority="368">
      <formula>$B67="Inicio Liberación"</formula>
    </cfRule>
  </conditionalFormatting>
  <conditionalFormatting sqref="E70">
    <cfRule type="expression" dxfId="728" priority="365">
      <formula>$B70="Fin Liberación"</formula>
    </cfRule>
    <cfRule type="expression" dxfId="727" priority="366">
      <formula>$B70="Inicio Liberación"</formula>
    </cfRule>
  </conditionalFormatting>
  <conditionalFormatting sqref="F70">
    <cfRule type="expression" dxfId="726" priority="363">
      <formula>$B70="Fin Liberación"</formula>
    </cfRule>
    <cfRule type="expression" dxfId="725" priority="364">
      <formula>$B70="Inicio Liberación"</formula>
    </cfRule>
  </conditionalFormatting>
  <conditionalFormatting sqref="E71:E73">
    <cfRule type="expression" dxfId="724" priority="361">
      <formula>$B71="Fin Liberación"</formula>
    </cfRule>
    <cfRule type="expression" dxfId="723" priority="362">
      <formula>$B71="Inicio Liberación"</formula>
    </cfRule>
  </conditionalFormatting>
  <conditionalFormatting sqref="F71:F73">
    <cfRule type="expression" dxfId="722" priority="359">
      <formula>$B71="Fin Liberación"</formula>
    </cfRule>
    <cfRule type="expression" dxfId="721" priority="360">
      <formula>$B71="Inicio Liberación"</formula>
    </cfRule>
  </conditionalFormatting>
  <conditionalFormatting sqref="E74">
    <cfRule type="expression" dxfId="720" priority="357">
      <formula>$B74="Fin Liberación"</formula>
    </cfRule>
    <cfRule type="expression" dxfId="719" priority="358">
      <formula>$B74="Inicio Liberación"</formula>
    </cfRule>
  </conditionalFormatting>
  <conditionalFormatting sqref="F74">
    <cfRule type="expression" dxfId="718" priority="355">
      <formula>$B74="Fin Liberación"</formula>
    </cfRule>
    <cfRule type="expression" dxfId="717" priority="356">
      <formula>$B74="Inicio Liberación"</formula>
    </cfRule>
  </conditionalFormatting>
  <conditionalFormatting sqref="E75:E77">
    <cfRule type="expression" dxfId="716" priority="353">
      <formula>$B75="Fin Liberación"</formula>
    </cfRule>
    <cfRule type="expression" dxfId="715" priority="354">
      <formula>$B75="Inicio Liberación"</formula>
    </cfRule>
  </conditionalFormatting>
  <conditionalFormatting sqref="F75:F77">
    <cfRule type="expression" dxfId="714" priority="351">
      <formula>$B75="Fin Liberación"</formula>
    </cfRule>
    <cfRule type="expression" dxfId="713" priority="352">
      <formula>$B75="Inicio Liberación"</formula>
    </cfRule>
  </conditionalFormatting>
  <conditionalFormatting sqref="E78">
    <cfRule type="expression" dxfId="712" priority="349">
      <formula>$B78="Fin Liberación"</formula>
    </cfRule>
    <cfRule type="expression" dxfId="711" priority="350">
      <formula>$B78="Inicio Liberación"</formula>
    </cfRule>
  </conditionalFormatting>
  <conditionalFormatting sqref="F78">
    <cfRule type="expression" dxfId="710" priority="347">
      <formula>$B78="Fin Liberación"</formula>
    </cfRule>
    <cfRule type="expression" dxfId="709" priority="348">
      <formula>$B78="Inicio Liberación"</formula>
    </cfRule>
  </conditionalFormatting>
  <conditionalFormatting sqref="E79:E81">
    <cfRule type="expression" dxfId="708" priority="345">
      <formula>$B79="Fin Liberación"</formula>
    </cfRule>
    <cfRule type="expression" dxfId="707" priority="346">
      <formula>$B79="Inicio Liberación"</formula>
    </cfRule>
  </conditionalFormatting>
  <conditionalFormatting sqref="F79:F81">
    <cfRule type="expression" dxfId="706" priority="343">
      <formula>$B79="Fin Liberación"</formula>
    </cfRule>
    <cfRule type="expression" dxfId="705" priority="344">
      <formula>$B79="Inicio Liberación"</formula>
    </cfRule>
  </conditionalFormatting>
  <conditionalFormatting sqref="E82">
    <cfRule type="expression" dxfId="704" priority="341">
      <formula>$B82="Fin Liberación"</formula>
    </cfRule>
    <cfRule type="expression" dxfId="703" priority="342">
      <formula>$B82="Inicio Liberación"</formula>
    </cfRule>
  </conditionalFormatting>
  <conditionalFormatting sqref="F82">
    <cfRule type="expression" dxfId="702" priority="339">
      <formula>$B82="Fin Liberación"</formula>
    </cfRule>
    <cfRule type="expression" dxfId="701" priority="340">
      <formula>$B82="Inicio Liberación"</formula>
    </cfRule>
  </conditionalFormatting>
  <conditionalFormatting sqref="E83:E85">
    <cfRule type="expression" dxfId="700" priority="337">
      <formula>$B83="Fin Liberación"</formula>
    </cfRule>
    <cfRule type="expression" dxfId="699" priority="338">
      <formula>$B83="Inicio Liberación"</formula>
    </cfRule>
  </conditionalFormatting>
  <conditionalFormatting sqref="F83:F85">
    <cfRule type="expression" dxfId="698" priority="335">
      <formula>$B83="Fin Liberación"</formula>
    </cfRule>
    <cfRule type="expression" dxfId="697" priority="336">
      <formula>$B83="Inicio Liberación"</formula>
    </cfRule>
  </conditionalFormatting>
  <conditionalFormatting sqref="E86">
    <cfRule type="expression" dxfId="696" priority="333">
      <formula>$B86="Fin Liberación"</formula>
    </cfRule>
    <cfRule type="expression" dxfId="695" priority="334">
      <formula>$B86="Inicio Liberación"</formula>
    </cfRule>
  </conditionalFormatting>
  <conditionalFormatting sqref="F86">
    <cfRule type="expression" dxfId="694" priority="331">
      <formula>$B86="Fin Liberación"</formula>
    </cfRule>
    <cfRule type="expression" dxfId="693" priority="332">
      <formula>$B86="Inicio Liberación"</formula>
    </cfRule>
  </conditionalFormatting>
  <conditionalFormatting sqref="E87:E89">
    <cfRule type="expression" dxfId="692" priority="329">
      <formula>$B87="Fin Liberación"</formula>
    </cfRule>
    <cfRule type="expression" dxfId="691" priority="330">
      <formula>$B87="Inicio Liberación"</formula>
    </cfRule>
  </conditionalFormatting>
  <conditionalFormatting sqref="F87:F89">
    <cfRule type="expression" dxfId="690" priority="327">
      <formula>$B87="Fin Liberación"</formula>
    </cfRule>
    <cfRule type="expression" dxfId="689" priority="328">
      <formula>$B87="Inicio Liberación"</formula>
    </cfRule>
  </conditionalFormatting>
  <conditionalFormatting sqref="E90">
    <cfRule type="expression" dxfId="688" priority="325">
      <formula>$B90="Fin Liberación"</formula>
    </cfRule>
    <cfRule type="expression" dxfId="687" priority="326">
      <formula>$B90="Inicio Liberación"</formula>
    </cfRule>
  </conditionalFormatting>
  <conditionalFormatting sqref="F90">
    <cfRule type="expression" dxfId="686" priority="323">
      <formula>$B90="Fin Liberación"</formula>
    </cfRule>
    <cfRule type="expression" dxfId="685" priority="324">
      <formula>$B90="Inicio Liberación"</formula>
    </cfRule>
  </conditionalFormatting>
  <conditionalFormatting sqref="E91:E93">
    <cfRule type="expression" dxfId="684" priority="321">
      <formula>$B91="Fin Liberación"</formula>
    </cfRule>
    <cfRule type="expression" dxfId="683" priority="322">
      <formula>$B91="Inicio Liberación"</formula>
    </cfRule>
  </conditionalFormatting>
  <conditionalFormatting sqref="F91:F93">
    <cfRule type="expression" dxfId="682" priority="319">
      <formula>$B91="Fin Liberación"</formula>
    </cfRule>
    <cfRule type="expression" dxfId="681" priority="320">
      <formula>$B91="Inicio Liberación"</formula>
    </cfRule>
  </conditionalFormatting>
  <conditionalFormatting sqref="E94">
    <cfRule type="expression" dxfId="680" priority="317">
      <formula>$B94="Fin Liberación"</formula>
    </cfRule>
    <cfRule type="expression" dxfId="679" priority="318">
      <formula>$B94="Inicio Liberación"</formula>
    </cfRule>
  </conditionalFormatting>
  <conditionalFormatting sqref="F94">
    <cfRule type="expression" dxfId="678" priority="315">
      <formula>$B94="Fin Liberación"</formula>
    </cfRule>
    <cfRule type="expression" dxfId="677" priority="316">
      <formula>$B94="Inicio Liberación"</formula>
    </cfRule>
  </conditionalFormatting>
  <conditionalFormatting sqref="E95:E97">
    <cfRule type="expression" dxfId="676" priority="313">
      <formula>$B95="Fin Liberación"</formula>
    </cfRule>
    <cfRule type="expression" dxfId="675" priority="314">
      <formula>$B95="Inicio Liberación"</formula>
    </cfRule>
  </conditionalFormatting>
  <conditionalFormatting sqref="F95:F97">
    <cfRule type="expression" dxfId="674" priority="311">
      <formula>$B95="Fin Liberación"</formula>
    </cfRule>
    <cfRule type="expression" dxfId="673" priority="312">
      <formula>$B95="Inicio Liberación"</formula>
    </cfRule>
  </conditionalFormatting>
  <conditionalFormatting sqref="E98">
    <cfRule type="expression" dxfId="672" priority="309">
      <formula>$B98="Fin Liberación"</formula>
    </cfRule>
    <cfRule type="expression" dxfId="671" priority="310">
      <formula>$B98="Inicio Liberación"</formula>
    </cfRule>
  </conditionalFormatting>
  <conditionalFormatting sqref="F98">
    <cfRule type="expression" dxfId="670" priority="307">
      <formula>$B98="Fin Liberación"</formula>
    </cfRule>
    <cfRule type="expression" dxfId="669" priority="308">
      <formula>$B98="Inicio Liberación"</formula>
    </cfRule>
  </conditionalFormatting>
  <conditionalFormatting sqref="E99:E100">
    <cfRule type="expression" dxfId="668" priority="305">
      <formula>$B99="Fin Liberación"</formula>
    </cfRule>
    <cfRule type="expression" dxfId="667" priority="306">
      <formula>$B99="Inicio Liberación"</formula>
    </cfRule>
  </conditionalFormatting>
  <conditionalFormatting sqref="F99:F100">
    <cfRule type="expression" dxfId="666" priority="303">
      <formula>$B99="Fin Liberación"</formula>
    </cfRule>
    <cfRule type="expression" dxfId="665" priority="304">
      <formula>$B99="Inicio Liberación"</formula>
    </cfRule>
  </conditionalFormatting>
  <conditionalFormatting sqref="E101">
    <cfRule type="expression" dxfId="664" priority="301">
      <formula>$B101="Fin Liberación"</formula>
    </cfRule>
    <cfRule type="expression" dxfId="663" priority="302">
      <formula>$B101="Inicio Liberación"</formula>
    </cfRule>
  </conditionalFormatting>
  <conditionalFormatting sqref="F101">
    <cfRule type="expression" dxfId="662" priority="299">
      <formula>$B101="Fin Liberación"</formula>
    </cfRule>
    <cfRule type="expression" dxfId="661" priority="300">
      <formula>$B101="Inicio Liberación"</formula>
    </cfRule>
  </conditionalFormatting>
  <conditionalFormatting sqref="E102">
    <cfRule type="expression" dxfId="660" priority="297">
      <formula>$B102="Fin Liberación"</formula>
    </cfRule>
    <cfRule type="expression" dxfId="659" priority="298">
      <formula>$B102="Inicio Liberación"</formula>
    </cfRule>
  </conditionalFormatting>
  <conditionalFormatting sqref="F102">
    <cfRule type="expression" dxfId="658" priority="295">
      <formula>$B102="Fin Liberación"</formula>
    </cfRule>
    <cfRule type="expression" dxfId="657" priority="296">
      <formula>$B102="Inicio Liberación"</formula>
    </cfRule>
  </conditionalFormatting>
  <conditionalFormatting sqref="E103:E105">
    <cfRule type="expression" dxfId="656" priority="293">
      <formula>$B103="Fin Liberación"</formula>
    </cfRule>
    <cfRule type="expression" dxfId="655" priority="294">
      <formula>$B103="Inicio Liberación"</formula>
    </cfRule>
  </conditionalFormatting>
  <conditionalFormatting sqref="F103:F105">
    <cfRule type="expression" dxfId="654" priority="291">
      <formula>$B103="Fin Liberación"</formula>
    </cfRule>
    <cfRule type="expression" dxfId="653" priority="292">
      <formula>$B103="Inicio Liberación"</formula>
    </cfRule>
  </conditionalFormatting>
  <conditionalFormatting sqref="E106">
    <cfRule type="expression" dxfId="652" priority="289">
      <formula>$B106="Fin Liberación"</formula>
    </cfRule>
    <cfRule type="expression" dxfId="651" priority="290">
      <formula>$B106="Inicio Liberación"</formula>
    </cfRule>
  </conditionalFormatting>
  <conditionalFormatting sqref="F106">
    <cfRule type="expression" dxfId="650" priority="287">
      <formula>$B106="Fin Liberación"</formula>
    </cfRule>
    <cfRule type="expression" dxfId="649" priority="288">
      <formula>$B106="Inicio Liberación"</formula>
    </cfRule>
  </conditionalFormatting>
  <conditionalFormatting sqref="E107:E109">
    <cfRule type="expression" dxfId="648" priority="285">
      <formula>$B107="Fin Liberación"</formula>
    </cfRule>
    <cfRule type="expression" dxfId="647" priority="286">
      <formula>$B107="Inicio Liberación"</formula>
    </cfRule>
  </conditionalFormatting>
  <conditionalFormatting sqref="F107:F109">
    <cfRule type="expression" dxfId="646" priority="283">
      <formula>$B107="Fin Liberación"</formula>
    </cfRule>
    <cfRule type="expression" dxfId="645" priority="284">
      <formula>$B107="Inicio Liberación"</formula>
    </cfRule>
  </conditionalFormatting>
  <conditionalFormatting sqref="E110">
    <cfRule type="expression" dxfId="644" priority="281">
      <formula>$B110="Fin Liberación"</formula>
    </cfRule>
    <cfRule type="expression" dxfId="643" priority="282">
      <formula>$B110="Inicio Liberación"</formula>
    </cfRule>
  </conditionalFormatting>
  <conditionalFormatting sqref="F110">
    <cfRule type="expression" dxfId="642" priority="279">
      <formula>$B110="Fin Liberación"</formula>
    </cfRule>
    <cfRule type="expression" dxfId="641" priority="280">
      <formula>$B110="Inicio Liberación"</formula>
    </cfRule>
  </conditionalFormatting>
  <conditionalFormatting sqref="E111:E113">
    <cfRule type="expression" dxfId="640" priority="277">
      <formula>$B111="Fin Liberación"</formula>
    </cfRule>
    <cfRule type="expression" dxfId="639" priority="278">
      <formula>$B111="Inicio Liberación"</formula>
    </cfRule>
  </conditionalFormatting>
  <conditionalFormatting sqref="F111:F113">
    <cfRule type="expression" dxfId="638" priority="275">
      <formula>$B111="Fin Liberación"</formula>
    </cfRule>
    <cfRule type="expression" dxfId="637" priority="276">
      <formula>$B111="Inicio Liberación"</formula>
    </cfRule>
  </conditionalFormatting>
  <conditionalFormatting sqref="E114">
    <cfRule type="expression" dxfId="636" priority="273">
      <formula>$B114="Fin Liberación"</formula>
    </cfRule>
    <cfRule type="expression" dxfId="635" priority="274">
      <formula>$B114="Inicio Liberación"</formula>
    </cfRule>
  </conditionalFormatting>
  <conditionalFormatting sqref="F114">
    <cfRule type="expression" dxfId="634" priority="271">
      <formula>$B114="Fin Liberación"</formula>
    </cfRule>
    <cfRule type="expression" dxfId="633" priority="272">
      <formula>$B114="Inicio Liberación"</formula>
    </cfRule>
  </conditionalFormatting>
  <conditionalFormatting sqref="E115:E117">
    <cfRule type="expression" dxfId="632" priority="269">
      <formula>$B115="Fin Liberación"</formula>
    </cfRule>
    <cfRule type="expression" dxfId="631" priority="270">
      <formula>$B115="Inicio Liberación"</formula>
    </cfRule>
  </conditionalFormatting>
  <conditionalFormatting sqref="F115:F117">
    <cfRule type="expression" dxfId="630" priority="267">
      <formula>$B115="Fin Liberación"</formula>
    </cfRule>
    <cfRule type="expression" dxfId="629" priority="268">
      <formula>$B115="Inicio Liberación"</formula>
    </cfRule>
  </conditionalFormatting>
  <conditionalFormatting sqref="E118">
    <cfRule type="expression" dxfId="628" priority="265">
      <formula>$B118="Fin Liberación"</formula>
    </cfRule>
    <cfRule type="expression" dxfId="627" priority="266">
      <formula>$B118="Inicio Liberación"</formula>
    </cfRule>
  </conditionalFormatting>
  <conditionalFormatting sqref="F118">
    <cfRule type="expression" dxfId="626" priority="263">
      <formula>$B118="Fin Liberación"</formula>
    </cfRule>
    <cfRule type="expression" dxfId="625" priority="264">
      <formula>$B118="Inicio Liberación"</formula>
    </cfRule>
  </conditionalFormatting>
  <conditionalFormatting sqref="E119:E121">
    <cfRule type="expression" dxfId="624" priority="261">
      <formula>$B119="Fin Liberación"</formula>
    </cfRule>
    <cfRule type="expression" dxfId="623" priority="262">
      <formula>$B119="Inicio Liberación"</formula>
    </cfRule>
  </conditionalFormatting>
  <conditionalFormatting sqref="F119:F121">
    <cfRule type="expression" dxfId="622" priority="259">
      <formula>$B119="Fin Liberación"</formula>
    </cfRule>
    <cfRule type="expression" dxfId="621" priority="260">
      <formula>$B119="Inicio Liberación"</formula>
    </cfRule>
  </conditionalFormatting>
  <conditionalFormatting sqref="E122">
    <cfRule type="expression" dxfId="620" priority="257">
      <formula>$B122="Fin Liberación"</formula>
    </cfRule>
    <cfRule type="expression" dxfId="619" priority="258">
      <formula>$B122="Inicio Liberación"</formula>
    </cfRule>
  </conditionalFormatting>
  <conditionalFormatting sqref="F122">
    <cfRule type="expression" dxfId="618" priority="255">
      <formula>$B122="Fin Liberación"</formula>
    </cfRule>
    <cfRule type="expression" dxfId="617" priority="256">
      <formula>$B122="Inicio Liberación"</formula>
    </cfRule>
  </conditionalFormatting>
  <conditionalFormatting sqref="E123:E125">
    <cfRule type="expression" dxfId="616" priority="253">
      <formula>$B123="Fin Liberación"</formula>
    </cfRule>
    <cfRule type="expression" dxfId="615" priority="254">
      <formula>$B123="Inicio Liberación"</formula>
    </cfRule>
  </conditionalFormatting>
  <conditionalFormatting sqref="F123:F125">
    <cfRule type="expression" dxfId="614" priority="251">
      <formula>$B123="Fin Liberación"</formula>
    </cfRule>
    <cfRule type="expression" dxfId="613" priority="252">
      <formula>$B123="Inicio Liberación"</formula>
    </cfRule>
  </conditionalFormatting>
  <conditionalFormatting sqref="E126">
    <cfRule type="expression" dxfId="612" priority="249">
      <formula>$B126="Fin Liberación"</formula>
    </cfRule>
    <cfRule type="expression" dxfId="611" priority="250">
      <formula>$B126="Inicio Liberación"</formula>
    </cfRule>
  </conditionalFormatting>
  <conditionalFormatting sqref="F126">
    <cfRule type="expression" dxfId="610" priority="247">
      <formula>$B126="Fin Liberación"</formula>
    </cfRule>
    <cfRule type="expression" dxfId="609" priority="248">
      <formula>$B126="Inicio Liberación"</formula>
    </cfRule>
  </conditionalFormatting>
  <conditionalFormatting sqref="E127:E129">
    <cfRule type="expression" dxfId="608" priority="245">
      <formula>$B127="Fin Liberación"</formula>
    </cfRule>
    <cfRule type="expression" dxfId="607" priority="246">
      <formula>$B127="Inicio Liberación"</formula>
    </cfRule>
  </conditionalFormatting>
  <conditionalFormatting sqref="F127:F129">
    <cfRule type="expression" dxfId="606" priority="243">
      <formula>$B127="Fin Liberación"</formula>
    </cfRule>
    <cfRule type="expression" dxfId="605" priority="244">
      <formula>$B127="Inicio Liberación"</formula>
    </cfRule>
  </conditionalFormatting>
  <conditionalFormatting sqref="E130">
    <cfRule type="expression" dxfId="604" priority="241">
      <formula>$B130="Fin Liberación"</formula>
    </cfRule>
    <cfRule type="expression" dxfId="603" priority="242">
      <formula>$B130="Inicio Liberación"</formula>
    </cfRule>
  </conditionalFormatting>
  <conditionalFormatting sqref="F130">
    <cfRule type="expression" dxfId="602" priority="239">
      <formula>$B130="Fin Liberación"</formula>
    </cfRule>
    <cfRule type="expression" dxfId="601" priority="240">
      <formula>$B130="Inicio Liberación"</formula>
    </cfRule>
  </conditionalFormatting>
  <conditionalFormatting sqref="E131:E133">
    <cfRule type="expression" dxfId="600" priority="237">
      <formula>$B131="Fin Liberación"</formula>
    </cfRule>
    <cfRule type="expression" dxfId="599" priority="238">
      <formula>$B131="Inicio Liberación"</formula>
    </cfRule>
  </conditionalFormatting>
  <conditionalFormatting sqref="F131:F133">
    <cfRule type="expression" dxfId="598" priority="235">
      <formula>$B131="Fin Liberación"</formula>
    </cfRule>
    <cfRule type="expression" dxfId="597" priority="236">
      <formula>$B131="Inicio Liberación"</formula>
    </cfRule>
  </conditionalFormatting>
  <conditionalFormatting sqref="E134">
    <cfRule type="expression" dxfId="596" priority="233">
      <formula>$B134="Fin Liberación"</formula>
    </cfRule>
    <cfRule type="expression" dxfId="595" priority="234">
      <formula>$B134="Inicio Liberación"</formula>
    </cfRule>
  </conditionalFormatting>
  <conditionalFormatting sqref="F134">
    <cfRule type="expression" dxfId="594" priority="231">
      <formula>$B134="Fin Liberación"</formula>
    </cfRule>
    <cfRule type="expression" dxfId="593" priority="232">
      <formula>$B134="Inicio Liberación"</formula>
    </cfRule>
  </conditionalFormatting>
  <conditionalFormatting sqref="E135:E137">
    <cfRule type="expression" dxfId="592" priority="229">
      <formula>$B135="Fin Liberación"</formula>
    </cfRule>
    <cfRule type="expression" dxfId="591" priority="230">
      <formula>$B135="Inicio Liberación"</formula>
    </cfRule>
  </conditionalFormatting>
  <conditionalFormatting sqref="F135:F137">
    <cfRule type="expression" dxfId="590" priority="227">
      <formula>$B135="Fin Liberación"</formula>
    </cfRule>
    <cfRule type="expression" dxfId="589" priority="228">
      <formula>$B135="Inicio Liberación"</formula>
    </cfRule>
  </conditionalFormatting>
  <conditionalFormatting sqref="E138">
    <cfRule type="expression" dxfId="588" priority="225">
      <formula>$B138="Fin Liberación"</formula>
    </cfRule>
    <cfRule type="expression" dxfId="587" priority="226">
      <formula>$B138="Inicio Liberación"</formula>
    </cfRule>
  </conditionalFormatting>
  <conditionalFormatting sqref="F138">
    <cfRule type="expression" dxfId="586" priority="223">
      <formula>$B138="Fin Liberación"</formula>
    </cfRule>
    <cfRule type="expression" dxfId="585" priority="224">
      <formula>$B138="Inicio Liberación"</formula>
    </cfRule>
  </conditionalFormatting>
  <conditionalFormatting sqref="E139:E141">
    <cfRule type="expression" dxfId="584" priority="221">
      <formula>$B139="Fin Liberación"</formula>
    </cfRule>
    <cfRule type="expression" dxfId="583" priority="222">
      <formula>$B139="Inicio Liberación"</formula>
    </cfRule>
  </conditionalFormatting>
  <conditionalFormatting sqref="F139:F141">
    <cfRule type="expression" dxfId="582" priority="219">
      <formula>$B139="Fin Liberación"</formula>
    </cfRule>
    <cfRule type="expression" dxfId="581" priority="220">
      <formula>$B139="Inicio Liberación"</formula>
    </cfRule>
  </conditionalFormatting>
  <conditionalFormatting sqref="E142">
    <cfRule type="expression" dxfId="580" priority="217">
      <formula>$B142="Fin Liberación"</formula>
    </cfRule>
    <cfRule type="expression" dxfId="579" priority="218">
      <formula>$B142="Inicio Liberación"</formula>
    </cfRule>
  </conditionalFormatting>
  <conditionalFormatting sqref="F142">
    <cfRule type="expression" dxfId="578" priority="215">
      <formula>$B142="Fin Liberación"</formula>
    </cfRule>
    <cfRule type="expression" dxfId="577" priority="216">
      <formula>$B142="Inicio Liberación"</formula>
    </cfRule>
  </conditionalFormatting>
  <conditionalFormatting sqref="E143:E145">
    <cfRule type="expression" dxfId="576" priority="213">
      <formula>$B143="Fin Liberación"</formula>
    </cfRule>
    <cfRule type="expression" dxfId="575" priority="214">
      <formula>$B143="Inicio Liberación"</formula>
    </cfRule>
  </conditionalFormatting>
  <conditionalFormatting sqref="F143:F145">
    <cfRule type="expression" dxfId="574" priority="211">
      <formula>$B143="Fin Liberación"</formula>
    </cfRule>
    <cfRule type="expression" dxfId="573" priority="212">
      <formula>$B143="Inicio Liberación"</formula>
    </cfRule>
  </conditionalFormatting>
  <conditionalFormatting sqref="E146">
    <cfRule type="expression" dxfId="572" priority="209">
      <formula>$B146="Fin Liberación"</formula>
    </cfRule>
    <cfRule type="expression" dxfId="571" priority="210">
      <formula>$B146="Inicio Liberación"</formula>
    </cfRule>
  </conditionalFormatting>
  <conditionalFormatting sqref="F146">
    <cfRule type="expression" dxfId="570" priority="207">
      <formula>$B146="Fin Liberación"</formula>
    </cfRule>
    <cfRule type="expression" dxfId="569" priority="208">
      <formula>$B146="Inicio Liberación"</formula>
    </cfRule>
  </conditionalFormatting>
  <conditionalFormatting sqref="E147:E149">
    <cfRule type="expression" dxfId="568" priority="205">
      <formula>$B147="Fin Liberación"</formula>
    </cfRule>
    <cfRule type="expression" dxfId="567" priority="206">
      <formula>$B147="Inicio Liberación"</formula>
    </cfRule>
  </conditionalFormatting>
  <conditionalFormatting sqref="F147:F149">
    <cfRule type="expression" dxfId="566" priority="203">
      <formula>$B147="Fin Liberación"</formula>
    </cfRule>
    <cfRule type="expression" dxfId="565" priority="204">
      <formula>$B147="Inicio Liberación"</formula>
    </cfRule>
  </conditionalFormatting>
  <conditionalFormatting sqref="E150">
    <cfRule type="expression" dxfId="564" priority="201">
      <formula>$B150="Fin Liberación"</formula>
    </cfRule>
    <cfRule type="expression" dxfId="563" priority="202">
      <formula>$B150="Inicio Liberación"</formula>
    </cfRule>
  </conditionalFormatting>
  <conditionalFormatting sqref="F150">
    <cfRule type="expression" dxfId="562" priority="199">
      <formula>$B150="Fin Liberación"</formula>
    </cfRule>
    <cfRule type="expression" dxfId="561" priority="200">
      <formula>$B150="Inicio Liberación"</formula>
    </cfRule>
  </conditionalFormatting>
  <conditionalFormatting sqref="E151:E153">
    <cfRule type="expression" dxfId="560" priority="197">
      <formula>$B151="Fin Liberación"</formula>
    </cfRule>
    <cfRule type="expression" dxfId="559" priority="198">
      <formula>$B151="Inicio Liberación"</formula>
    </cfRule>
  </conditionalFormatting>
  <conditionalFormatting sqref="F151:F153">
    <cfRule type="expression" dxfId="558" priority="195">
      <formula>$B151="Fin Liberación"</formula>
    </cfRule>
    <cfRule type="expression" dxfId="557" priority="196">
      <formula>$B151="Inicio Liberación"</formula>
    </cfRule>
  </conditionalFormatting>
  <conditionalFormatting sqref="E154">
    <cfRule type="expression" dxfId="556" priority="193">
      <formula>$B154="Fin Liberación"</formula>
    </cfRule>
    <cfRule type="expression" dxfId="555" priority="194">
      <formula>$B154="Inicio Liberación"</formula>
    </cfRule>
  </conditionalFormatting>
  <conditionalFormatting sqref="F154">
    <cfRule type="expression" dxfId="554" priority="191">
      <formula>$B154="Fin Liberación"</formula>
    </cfRule>
    <cfRule type="expression" dxfId="553" priority="192">
      <formula>$B154="Inicio Liberación"</formula>
    </cfRule>
  </conditionalFormatting>
  <conditionalFormatting sqref="E155:E157">
    <cfRule type="expression" dxfId="552" priority="189">
      <formula>$B155="Fin Liberación"</formula>
    </cfRule>
    <cfRule type="expression" dxfId="551" priority="190">
      <formula>$B155="Inicio Liberación"</formula>
    </cfRule>
  </conditionalFormatting>
  <conditionalFormatting sqref="F155:F157">
    <cfRule type="expression" dxfId="550" priority="187">
      <formula>$B155="Fin Liberación"</formula>
    </cfRule>
    <cfRule type="expression" dxfId="549" priority="188">
      <formula>$B155="Inicio Liberación"</formula>
    </cfRule>
  </conditionalFormatting>
  <conditionalFormatting sqref="E158">
    <cfRule type="expression" dxfId="548" priority="185">
      <formula>$B158="Fin Liberación"</formula>
    </cfRule>
    <cfRule type="expression" dxfId="547" priority="186">
      <formula>$B158="Inicio Liberación"</formula>
    </cfRule>
  </conditionalFormatting>
  <conditionalFormatting sqref="F158">
    <cfRule type="expression" dxfId="546" priority="183">
      <formula>$B158="Fin Liberación"</formula>
    </cfRule>
    <cfRule type="expression" dxfId="545" priority="184">
      <formula>$B158="Inicio Liberación"</formula>
    </cfRule>
  </conditionalFormatting>
  <conditionalFormatting sqref="E159:E161">
    <cfRule type="expression" dxfId="544" priority="181">
      <formula>$B159="Fin Liberación"</formula>
    </cfRule>
    <cfRule type="expression" dxfId="543" priority="182">
      <formula>$B159="Inicio Liberación"</formula>
    </cfRule>
  </conditionalFormatting>
  <conditionalFormatting sqref="F159:F161">
    <cfRule type="expression" dxfId="542" priority="179">
      <formula>$B159="Fin Liberación"</formula>
    </cfRule>
    <cfRule type="expression" dxfId="541" priority="180">
      <formula>$B159="Inicio Liberación"</formula>
    </cfRule>
  </conditionalFormatting>
  <conditionalFormatting sqref="E162">
    <cfRule type="expression" dxfId="540" priority="177">
      <formula>$B162="Fin Liberación"</formula>
    </cfRule>
    <cfRule type="expression" dxfId="539" priority="178">
      <formula>$B162="Inicio Liberación"</formula>
    </cfRule>
  </conditionalFormatting>
  <conditionalFormatting sqref="F162">
    <cfRule type="expression" dxfId="538" priority="175">
      <formula>$B162="Fin Liberación"</formula>
    </cfRule>
    <cfRule type="expression" dxfId="537" priority="176">
      <formula>$B162="Inicio Liberación"</formula>
    </cfRule>
  </conditionalFormatting>
  <conditionalFormatting sqref="E163:E165">
    <cfRule type="expression" dxfId="536" priority="173">
      <formula>$B163="Fin Liberación"</formula>
    </cfRule>
    <cfRule type="expression" dxfId="535" priority="174">
      <formula>$B163="Inicio Liberación"</formula>
    </cfRule>
  </conditionalFormatting>
  <conditionalFormatting sqref="F163:F165">
    <cfRule type="expression" dxfId="534" priority="171">
      <formula>$B163="Fin Liberación"</formula>
    </cfRule>
    <cfRule type="expression" dxfId="533" priority="172">
      <formula>$B163="Inicio Liberación"</formula>
    </cfRule>
  </conditionalFormatting>
  <conditionalFormatting sqref="E166">
    <cfRule type="expression" dxfId="532" priority="169">
      <formula>$B166="Fin Liberación"</formula>
    </cfRule>
    <cfRule type="expression" dxfId="531" priority="170">
      <formula>$B166="Inicio Liberación"</formula>
    </cfRule>
  </conditionalFormatting>
  <conditionalFormatting sqref="F166">
    <cfRule type="expression" dxfId="530" priority="167">
      <formula>$B166="Fin Liberación"</formula>
    </cfRule>
    <cfRule type="expression" dxfId="529" priority="168">
      <formula>$B166="Inicio Liberación"</formula>
    </cfRule>
  </conditionalFormatting>
  <conditionalFormatting sqref="E167:E169">
    <cfRule type="expression" dxfId="528" priority="165">
      <formula>$B167="Fin Liberación"</formula>
    </cfRule>
    <cfRule type="expression" dxfId="527" priority="166">
      <formula>$B167="Inicio Liberación"</formula>
    </cfRule>
  </conditionalFormatting>
  <conditionalFormatting sqref="F167:F169">
    <cfRule type="expression" dxfId="526" priority="163">
      <formula>$B167="Fin Liberación"</formula>
    </cfRule>
    <cfRule type="expression" dxfId="525" priority="164">
      <formula>$B167="Inicio Liberación"</formula>
    </cfRule>
  </conditionalFormatting>
  <conditionalFormatting sqref="E170">
    <cfRule type="expression" dxfId="524" priority="161">
      <formula>$B170="Fin Liberación"</formula>
    </cfRule>
    <cfRule type="expression" dxfId="523" priority="162">
      <formula>$B170="Inicio Liberación"</formula>
    </cfRule>
  </conditionalFormatting>
  <conditionalFormatting sqref="F170">
    <cfRule type="expression" dxfId="522" priority="159">
      <formula>$B170="Fin Liberación"</formula>
    </cfRule>
    <cfRule type="expression" dxfId="521" priority="160">
      <formula>$B170="Inicio Liberación"</formula>
    </cfRule>
  </conditionalFormatting>
  <conditionalFormatting sqref="E171:E173">
    <cfRule type="expression" dxfId="520" priority="157">
      <formula>$B171="Fin Liberación"</formula>
    </cfRule>
    <cfRule type="expression" dxfId="519" priority="158">
      <formula>$B171="Inicio Liberación"</formula>
    </cfRule>
  </conditionalFormatting>
  <conditionalFormatting sqref="F171:F173">
    <cfRule type="expression" dxfId="518" priority="155">
      <formula>$B171="Fin Liberación"</formula>
    </cfRule>
    <cfRule type="expression" dxfId="517" priority="156">
      <formula>$B171="Inicio Liberación"</formula>
    </cfRule>
  </conditionalFormatting>
  <conditionalFormatting sqref="E174">
    <cfRule type="expression" dxfId="516" priority="153">
      <formula>$B174="Fin Liberación"</formula>
    </cfRule>
    <cfRule type="expression" dxfId="515" priority="154">
      <formula>$B174="Inicio Liberación"</formula>
    </cfRule>
  </conditionalFormatting>
  <conditionalFormatting sqref="F174">
    <cfRule type="expression" dxfId="514" priority="151">
      <formula>$B174="Fin Liberación"</formula>
    </cfRule>
    <cfRule type="expression" dxfId="513" priority="152">
      <formula>$B174="Inicio Liberación"</formula>
    </cfRule>
  </conditionalFormatting>
  <conditionalFormatting sqref="E175:E177">
    <cfRule type="expression" dxfId="512" priority="149">
      <formula>$B175="Fin Liberación"</formula>
    </cfRule>
    <cfRule type="expression" dxfId="511" priority="150">
      <formula>$B175="Inicio Liberación"</formula>
    </cfRule>
  </conditionalFormatting>
  <conditionalFormatting sqref="F175:F177">
    <cfRule type="expression" dxfId="510" priority="147">
      <formula>$B175="Fin Liberación"</formula>
    </cfRule>
    <cfRule type="expression" dxfId="509" priority="148">
      <formula>$B175="Inicio Liberación"</formula>
    </cfRule>
  </conditionalFormatting>
  <conditionalFormatting sqref="E178">
    <cfRule type="expression" dxfId="508" priority="145">
      <formula>$B178="Fin Liberación"</formula>
    </cfRule>
    <cfRule type="expression" dxfId="507" priority="146">
      <formula>$B178="Inicio Liberación"</formula>
    </cfRule>
  </conditionalFormatting>
  <conditionalFormatting sqref="F178">
    <cfRule type="expression" dxfId="506" priority="143">
      <formula>$B178="Fin Liberación"</formula>
    </cfRule>
    <cfRule type="expression" dxfId="505" priority="144">
      <formula>$B178="Inicio Liberación"</formula>
    </cfRule>
  </conditionalFormatting>
  <conditionalFormatting sqref="E179:E181">
    <cfRule type="expression" dxfId="504" priority="141">
      <formula>$B179="Fin Liberación"</formula>
    </cfRule>
    <cfRule type="expression" dxfId="503" priority="142">
      <formula>$B179="Inicio Liberación"</formula>
    </cfRule>
  </conditionalFormatting>
  <conditionalFormatting sqref="F179:F181">
    <cfRule type="expression" dxfId="502" priority="139">
      <formula>$B179="Fin Liberación"</formula>
    </cfRule>
    <cfRule type="expression" dxfId="501" priority="140">
      <formula>$B179="Inicio Liberación"</formula>
    </cfRule>
  </conditionalFormatting>
  <conditionalFormatting sqref="E182">
    <cfRule type="expression" dxfId="500" priority="137">
      <formula>$B182="Fin Liberación"</formula>
    </cfRule>
    <cfRule type="expression" dxfId="499" priority="138">
      <formula>$B182="Inicio Liberación"</formula>
    </cfRule>
  </conditionalFormatting>
  <conditionalFormatting sqref="F182">
    <cfRule type="expression" dxfId="498" priority="135">
      <formula>$B182="Fin Liberación"</formula>
    </cfRule>
    <cfRule type="expression" dxfId="497" priority="136">
      <formula>$B182="Inicio Liberación"</formula>
    </cfRule>
  </conditionalFormatting>
  <conditionalFormatting sqref="E183:E185">
    <cfRule type="expression" dxfId="496" priority="133">
      <formula>$B183="Fin Liberación"</formula>
    </cfRule>
    <cfRule type="expression" dxfId="495" priority="134">
      <formula>$B183="Inicio Liberación"</formula>
    </cfRule>
  </conditionalFormatting>
  <conditionalFormatting sqref="F183:F185">
    <cfRule type="expression" dxfId="494" priority="131">
      <formula>$B183="Fin Liberación"</formula>
    </cfRule>
    <cfRule type="expression" dxfId="493" priority="132">
      <formula>$B183="Inicio Liberación"</formula>
    </cfRule>
  </conditionalFormatting>
  <conditionalFormatting sqref="E186">
    <cfRule type="expression" dxfId="492" priority="129">
      <formula>$B186="Fin Liberación"</formula>
    </cfRule>
    <cfRule type="expression" dxfId="491" priority="130">
      <formula>$B186="Inicio Liberación"</formula>
    </cfRule>
  </conditionalFormatting>
  <conditionalFormatting sqref="F186">
    <cfRule type="expression" dxfId="490" priority="127">
      <formula>$B186="Fin Liberación"</formula>
    </cfRule>
    <cfRule type="expression" dxfId="489" priority="128">
      <formula>$B186="Inicio Liberación"</formula>
    </cfRule>
  </conditionalFormatting>
  <conditionalFormatting sqref="C10">
    <cfRule type="expression" dxfId="488" priority="125">
      <formula>$B13="Inicio Liberación"</formula>
    </cfRule>
  </conditionalFormatting>
  <conditionalFormatting sqref="C10">
    <cfRule type="expression" dxfId="487" priority="126">
      <formula>$B13="Fin Liberación"</formula>
    </cfRule>
  </conditionalFormatting>
  <conditionalFormatting sqref="C10">
    <cfRule type="containsText" dxfId="486" priority="123" operator="containsText" text="VTF">
      <formula>NOT(ISERROR(SEARCH("VTF",C10)))</formula>
    </cfRule>
    <cfRule type="containsText" dxfId="485" priority="124" operator="containsText" text="VTI">
      <formula>NOT(ISERROR(SEARCH("VTI",C10)))</formula>
    </cfRule>
  </conditionalFormatting>
  <conditionalFormatting sqref="C11">
    <cfRule type="expression" dxfId="484" priority="121">
      <formula>$B14="Inicio Liberación"</formula>
    </cfRule>
  </conditionalFormatting>
  <conditionalFormatting sqref="C11">
    <cfRule type="expression" dxfId="483" priority="122">
      <formula>$B14="Fin Liberación"</formula>
    </cfRule>
  </conditionalFormatting>
  <conditionalFormatting sqref="C11">
    <cfRule type="containsText" dxfId="482" priority="119" operator="containsText" text="VTF">
      <formula>NOT(ISERROR(SEARCH("VTF",C11)))</formula>
    </cfRule>
    <cfRule type="containsText" dxfId="481" priority="120" operator="containsText" text="VTI">
      <formula>NOT(ISERROR(SEARCH("VTI",C11)))</formula>
    </cfRule>
  </conditionalFormatting>
  <conditionalFormatting sqref="C12">
    <cfRule type="expression" dxfId="480" priority="117">
      <formula>$B15="Inicio Liberación"</formula>
    </cfRule>
  </conditionalFormatting>
  <conditionalFormatting sqref="C12">
    <cfRule type="expression" dxfId="479" priority="118">
      <formula>$B15="Fin Liberación"</formula>
    </cfRule>
  </conditionalFormatting>
  <conditionalFormatting sqref="C12">
    <cfRule type="containsText" dxfId="478" priority="115" operator="containsText" text="VTF">
      <formula>NOT(ISERROR(SEARCH("VTF",C12)))</formula>
    </cfRule>
    <cfRule type="containsText" dxfId="477" priority="116" operator="containsText" text="VTI">
      <formula>NOT(ISERROR(SEARCH("VTI",C12)))</formula>
    </cfRule>
  </conditionalFormatting>
  <conditionalFormatting sqref="C13">
    <cfRule type="expression" dxfId="476" priority="113">
      <formula>$B16="Inicio Liberación"</formula>
    </cfRule>
  </conditionalFormatting>
  <conditionalFormatting sqref="C13">
    <cfRule type="expression" dxfId="475" priority="114">
      <formula>$B16="Fin Liberación"</formula>
    </cfRule>
  </conditionalFormatting>
  <conditionalFormatting sqref="C13">
    <cfRule type="containsText" dxfId="474" priority="111" operator="containsText" text="VTF">
      <formula>NOT(ISERROR(SEARCH("VTF",C13)))</formula>
    </cfRule>
    <cfRule type="containsText" dxfId="473" priority="112" operator="containsText" text="VTI">
      <formula>NOT(ISERROR(SEARCH("VTI",C13)))</formula>
    </cfRule>
  </conditionalFormatting>
  <conditionalFormatting sqref="D6">
    <cfRule type="expression" dxfId="472" priority="2022">
      <formula>$B8="Fin Liberación"</formula>
    </cfRule>
    <cfRule type="expression" dxfId="471" priority="2023">
      <formula>$B8="Inicio Liberación"</formula>
    </cfRule>
  </conditionalFormatting>
  <conditionalFormatting sqref="D7">
    <cfRule type="expression" dxfId="470" priority="109">
      <formula>$B9="Fin Liberación"</formula>
    </cfRule>
    <cfRule type="expression" dxfId="469" priority="110">
      <formula>$B9="Inicio Liberación"</formula>
    </cfRule>
  </conditionalFormatting>
  <conditionalFormatting sqref="D13">
    <cfRule type="expression" dxfId="468" priority="97">
      <formula>$B15="Fin Liberación"</formula>
    </cfRule>
    <cfRule type="expression" dxfId="467" priority="98">
      <formula>$B15="Inicio Liberación"</formula>
    </cfRule>
  </conditionalFormatting>
  <conditionalFormatting sqref="D14">
    <cfRule type="expression" dxfId="466" priority="95">
      <formula>$B16="Fin Liberación"</formula>
    </cfRule>
    <cfRule type="expression" dxfId="465" priority="96">
      <formula>$B16="Inicio Liberación"</formula>
    </cfRule>
  </conditionalFormatting>
  <conditionalFormatting sqref="D15:D17">
    <cfRule type="expression" dxfId="464" priority="93">
      <formula>$B17="Fin Liberación"</formula>
    </cfRule>
    <cfRule type="expression" dxfId="463" priority="94">
      <formula>$B17="Inicio Liberación"</formula>
    </cfRule>
  </conditionalFormatting>
  <conditionalFormatting sqref="D18:D20">
    <cfRule type="expression" dxfId="462" priority="91">
      <formula>$B20="Fin Liberación"</formula>
    </cfRule>
    <cfRule type="expression" dxfId="461" priority="92">
      <formula>$B20="Inicio Liberación"</formula>
    </cfRule>
  </conditionalFormatting>
  <conditionalFormatting sqref="D21">
    <cfRule type="expression" dxfId="460" priority="89">
      <formula>$B23="Fin Liberación"</formula>
    </cfRule>
    <cfRule type="expression" dxfId="459" priority="90">
      <formula>$B23="Inicio Liberación"</formula>
    </cfRule>
  </conditionalFormatting>
  <conditionalFormatting sqref="D22">
    <cfRule type="expression" dxfId="458" priority="87">
      <formula>$B24="Fin Liberación"</formula>
    </cfRule>
    <cfRule type="expression" dxfId="457" priority="88">
      <formula>$B24="Inicio Liberación"</formula>
    </cfRule>
  </conditionalFormatting>
  <conditionalFormatting sqref="D23">
    <cfRule type="expression" dxfId="456" priority="85">
      <formula>$B25="Fin Liberación"</formula>
    </cfRule>
    <cfRule type="expression" dxfId="455" priority="86">
      <formula>$B25="Inicio Liberación"</formula>
    </cfRule>
  </conditionalFormatting>
  <conditionalFormatting sqref="D24">
    <cfRule type="expression" dxfId="454" priority="83">
      <formula>$B26="Fin Liberación"</formula>
    </cfRule>
    <cfRule type="expression" dxfId="453" priority="84">
      <formula>$B26="Inicio Liberación"</formula>
    </cfRule>
  </conditionalFormatting>
  <conditionalFormatting sqref="D25">
    <cfRule type="expression" dxfId="452" priority="81">
      <formula>$B27="Fin Liberación"</formula>
    </cfRule>
    <cfRule type="expression" dxfId="451" priority="82">
      <formula>$B27="Inicio Liberación"</formula>
    </cfRule>
  </conditionalFormatting>
  <conditionalFormatting sqref="D26">
    <cfRule type="expression" dxfId="450" priority="79">
      <formula>$B28="Fin Liberación"</formula>
    </cfRule>
    <cfRule type="expression" dxfId="449" priority="80">
      <formula>$B28="Inicio Liberación"</formula>
    </cfRule>
  </conditionalFormatting>
  <conditionalFormatting sqref="D27">
    <cfRule type="expression" dxfId="448" priority="77">
      <formula>$B29="Fin Liberación"</formula>
    </cfRule>
    <cfRule type="expression" dxfId="447" priority="78">
      <formula>$B29="Inicio Liberación"</formula>
    </cfRule>
  </conditionalFormatting>
  <conditionalFormatting sqref="D28">
    <cfRule type="expression" dxfId="446" priority="75">
      <formula>$B30="Fin Liberación"</formula>
    </cfRule>
    <cfRule type="expression" dxfId="445" priority="76">
      <formula>$B30="Inicio Liberación"</formula>
    </cfRule>
  </conditionalFormatting>
  <conditionalFormatting sqref="D29">
    <cfRule type="expression" dxfId="444" priority="73">
      <formula>$B31="Fin Liberación"</formula>
    </cfRule>
    <cfRule type="expression" dxfId="443" priority="74">
      <formula>$B31="Inicio Liberación"</formula>
    </cfRule>
  </conditionalFormatting>
  <conditionalFormatting sqref="D30:D32">
    <cfRule type="expression" dxfId="442" priority="71">
      <formula>$B32="Fin Liberación"</formula>
    </cfRule>
    <cfRule type="expression" dxfId="441" priority="72">
      <formula>$B32="Inicio Liberación"</formula>
    </cfRule>
  </conditionalFormatting>
  <conditionalFormatting sqref="D33:D35">
    <cfRule type="expression" dxfId="440" priority="69">
      <formula>$B35="Fin Liberación"</formula>
    </cfRule>
    <cfRule type="expression" dxfId="439" priority="70">
      <formula>$B35="Inicio Liberación"</formula>
    </cfRule>
  </conditionalFormatting>
  <conditionalFormatting sqref="D8">
    <cfRule type="expression" dxfId="438" priority="67">
      <formula>$B10="Fin Liberación"</formula>
    </cfRule>
    <cfRule type="expression" dxfId="437" priority="68">
      <formula>$B10="Inicio Liberación"</formula>
    </cfRule>
  </conditionalFormatting>
  <conditionalFormatting sqref="F7">
    <cfRule type="expression" dxfId="436" priority="21">
      <formula>$B7="Fin Liberación"</formula>
    </cfRule>
    <cfRule type="expression" dxfId="435" priority="22">
      <formula>$B7="Inicio Liberación"</formula>
    </cfRule>
  </conditionalFormatting>
  <conditionalFormatting sqref="E8">
    <cfRule type="expression" dxfId="434" priority="19">
      <formula>$B8="Fin Liberación"</formula>
    </cfRule>
    <cfRule type="expression" dxfId="433" priority="20">
      <formula>$B8="Inicio Liberación"</formula>
    </cfRule>
  </conditionalFormatting>
  <conditionalFormatting sqref="F8">
    <cfRule type="expression" dxfId="432" priority="17">
      <formula>$B8="Fin Liberación"</formula>
    </cfRule>
    <cfRule type="expression" dxfId="431" priority="18">
      <formula>$B8="Inicio Liberación"</formula>
    </cfRule>
  </conditionalFormatting>
  <conditionalFormatting sqref="E9">
    <cfRule type="expression" dxfId="430" priority="15">
      <formula>$B9="Fin Liberación"</formula>
    </cfRule>
    <cfRule type="expression" dxfId="429" priority="16">
      <formula>$B9="Inicio Liberación"</formula>
    </cfRule>
  </conditionalFormatting>
  <conditionalFormatting sqref="F9">
    <cfRule type="expression" dxfId="428" priority="13">
      <formula>$B9="Fin Liberación"</formula>
    </cfRule>
    <cfRule type="expression" dxfId="427" priority="14">
      <formula>$B9="Inicio Liberación"</formula>
    </cfRule>
  </conditionalFormatting>
  <conditionalFormatting sqref="E10">
    <cfRule type="expression" dxfId="426" priority="11">
      <formula>$B10="Fin Liberación"</formula>
    </cfRule>
    <cfRule type="expression" dxfId="425" priority="12">
      <formula>$B10="Inicio Liberación"</formula>
    </cfRule>
  </conditionalFormatting>
  <conditionalFormatting sqref="F10">
    <cfRule type="expression" dxfId="424" priority="9">
      <formula>$B10="Fin Liberación"</formula>
    </cfRule>
    <cfRule type="expression" dxfId="423" priority="10">
      <formula>$B10="Inicio Liberación"</formula>
    </cfRule>
  </conditionalFormatting>
  <conditionalFormatting sqref="E11">
    <cfRule type="expression" dxfId="422" priority="7">
      <formula>$B11="Fin Liberación"</formula>
    </cfRule>
    <cfRule type="expression" dxfId="421" priority="8">
      <formula>$B11="Inicio Liberación"</formula>
    </cfRule>
  </conditionalFormatting>
  <conditionalFormatting sqref="F11">
    <cfRule type="expression" dxfId="420" priority="5">
      <formula>$B11="Fin Liberación"</formula>
    </cfRule>
    <cfRule type="expression" dxfId="419" priority="6">
      <formula>$B11="Inicio Liberación"</formula>
    </cfRule>
  </conditionalFormatting>
  <conditionalFormatting sqref="D10">
    <cfRule type="expression" dxfId="418" priority="3">
      <formula>$B14="Fin Liberación"</formula>
    </cfRule>
    <cfRule type="expression" dxfId="417" priority="4">
      <formula>$B14="Inicio Liberación"</formula>
    </cfRule>
  </conditionalFormatting>
  <conditionalFormatting sqref="D9">
    <cfRule type="expression" dxfId="416" priority="1">
      <formula>$B11="Fin Liberación"</formula>
    </cfRule>
    <cfRule type="expression" dxfId="415" priority="2">
      <formula>$B11="Inicio Liberación"</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43"/>
  <sheetViews>
    <sheetView showGridLines="0" zoomScaleNormal="100" workbookViewId="0">
      <selection activeCell="C13" sqref="C13:E13"/>
    </sheetView>
  </sheetViews>
  <sheetFormatPr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13" t="s">
        <v>359</v>
      </c>
      <c r="C2" s="213"/>
      <c r="D2" s="213"/>
      <c r="E2" s="213"/>
    </row>
    <row r="3" spans="2:35" ht="15" customHeight="1">
      <c r="B3" s="214" t="s">
        <v>209</v>
      </c>
      <c r="C3" s="215"/>
      <c r="D3" s="215"/>
      <c r="E3" s="216"/>
    </row>
    <row r="4" spans="2:35" ht="15" customHeight="1">
      <c r="B4" s="220" t="s">
        <v>385</v>
      </c>
      <c r="C4" s="221"/>
      <c r="D4" s="221"/>
      <c r="E4" s="222"/>
    </row>
    <row r="5" spans="2:35" ht="16.5" customHeight="1">
      <c r="B5" s="44"/>
      <c r="C5" s="44"/>
      <c r="D5" s="44"/>
      <c r="E5" s="44"/>
    </row>
    <row r="6" spans="2:35" ht="16.5" customHeight="1">
      <c r="B6" s="213" t="s">
        <v>207</v>
      </c>
      <c r="C6" s="213"/>
      <c r="D6" s="213"/>
      <c r="E6" s="213"/>
    </row>
    <row r="7" spans="2:35" ht="16.5" customHeight="1">
      <c r="B7" s="47" t="s">
        <v>208</v>
      </c>
      <c r="C7" s="48" t="s">
        <v>136</v>
      </c>
      <c r="D7" s="47" t="s">
        <v>134</v>
      </c>
      <c r="E7" s="48" t="s">
        <v>135</v>
      </c>
    </row>
    <row r="8" spans="2:35" ht="15" customHeight="1">
      <c r="B8" s="45" t="s">
        <v>370</v>
      </c>
      <c r="C8" s="45">
        <v>58090212</v>
      </c>
      <c r="D8" s="45" t="s">
        <v>385</v>
      </c>
      <c r="E8" s="45" t="s">
        <v>384</v>
      </c>
    </row>
    <row r="10" spans="2:35">
      <c r="B10" s="218" t="s">
        <v>358</v>
      </c>
      <c r="C10" s="218"/>
      <c r="D10" s="218"/>
      <c r="E10" s="218"/>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19" t="s">
        <v>210</v>
      </c>
      <c r="D11" s="219"/>
      <c r="E11" s="219"/>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7" t="s">
        <v>376</v>
      </c>
      <c r="D12" s="217"/>
      <c r="E12" s="217"/>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t="s">
        <v>375</v>
      </c>
      <c r="C13" s="217" t="s">
        <v>377</v>
      </c>
      <c r="D13" s="217"/>
      <c r="E13" s="217"/>
      <c r="F13" s="38"/>
      <c r="G13" s="38">
        <f t="shared" ref="G13:G21" si="0">IFERROR(SEARCH("/",C13,1)-2,"")</f>
        <v>25</v>
      </c>
      <c r="H13" s="38" t="str">
        <f t="shared" ref="H13:H21" si="1">IFERROR(LEFT(C13,G13),"")</f>
        <v xml:space="preserve">Adriana Miranda Figueroa </v>
      </c>
      <c r="I13" s="39" t="str">
        <f t="shared" ref="I13:I21" si="2">IF(H13="","",CONCATENATE(H13,";"))</f>
        <v>Adriana Miranda Figueroa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7"/>
      <c r="D14" s="217"/>
      <c r="E14" s="217"/>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7"/>
      <c r="D15" s="217"/>
      <c r="E15" s="217"/>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7"/>
      <c r="D16" s="217"/>
      <c r="E16" s="217"/>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7"/>
      <c r="D17" s="217"/>
      <c r="E17" s="217"/>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7"/>
      <c r="D18" s="217"/>
      <c r="E18" s="217"/>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7"/>
      <c r="D19" s="217"/>
      <c r="E19" s="217"/>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20"/>
      <c r="D20" s="221"/>
      <c r="E20" s="222"/>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7"/>
      <c r="D21" s="217"/>
      <c r="E21" s="217"/>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18" t="s">
        <v>360</v>
      </c>
      <c r="C23" s="218"/>
      <c r="D23" s="218"/>
      <c r="E23" s="218"/>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4" t="s">
        <v>209</v>
      </c>
      <c r="C24" s="215"/>
      <c r="D24" s="215"/>
      <c r="E24" s="216"/>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20"/>
      <c r="C25" s="221"/>
      <c r="D25" s="221"/>
      <c r="E25" s="222"/>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20"/>
      <c r="C26" s="221"/>
      <c r="D26" s="221"/>
      <c r="E26" s="222"/>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20"/>
      <c r="C27" s="221"/>
      <c r="D27" s="221"/>
      <c r="E27" s="222"/>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20"/>
      <c r="C28" s="221"/>
      <c r="D28" s="221"/>
      <c r="E28" s="222"/>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20"/>
      <c r="C29" s="221"/>
      <c r="D29" s="221"/>
      <c r="E29" s="222"/>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20"/>
      <c r="C30" s="221"/>
      <c r="D30" s="221"/>
      <c r="E30" s="222"/>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20"/>
      <c r="C31" s="221"/>
      <c r="D31" s="221"/>
      <c r="E31" s="222"/>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20"/>
      <c r="C32" s="221"/>
      <c r="D32" s="221"/>
      <c r="E32" s="222"/>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20"/>
      <c r="C33" s="221"/>
      <c r="D33" s="221"/>
      <c r="E33" s="222"/>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20"/>
      <c r="C34" s="221"/>
      <c r="D34" s="221"/>
      <c r="E34" s="222"/>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20"/>
      <c r="C35" s="221"/>
      <c r="D35" s="221"/>
      <c r="E35" s="222"/>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3:E3"/>
    <mergeCell ref="B6:E6"/>
    <mergeCell ref="C18:E18"/>
    <mergeCell ref="C17:E17"/>
    <mergeCell ref="B10:E10"/>
    <mergeCell ref="C11:E11"/>
    <mergeCell ref="C12:E12"/>
    <mergeCell ref="C13:E13"/>
    <mergeCell ref="C15:E15"/>
    <mergeCell ref="C14:E14"/>
    <mergeCell ref="C16:E16"/>
    <mergeCell ref="B4:E4"/>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G12" sqref="G12"/>
    </sheetView>
  </sheetViews>
  <sheetFormatPr defaultColWidth="11.4257812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D1:AB244"/>
  <sheetViews>
    <sheetView zoomScale="80" zoomScaleNormal="80" workbookViewId="0">
      <selection activeCell="D15" sqref="D15:D36"/>
    </sheetView>
  </sheetViews>
  <sheetFormatPr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53" zoomScaleNormal="100" zoomScaleSheetLayoutView="100" workbookViewId="0">
      <selection activeCell="A28" sqref="A28:XFD28"/>
    </sheetView>
  </sheetViews>
  <sheetFormatPr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E6" sqref="E6"/>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Modificar un usuario de dominio para IDE-WEB
Antecedentes: El aplicativo de IDE-WEB utiliza seguridad integrada.
Descripción: Se solicita que el área de seguridad de T-System genere el usuario de dominio para el aplicativo de IDE-WEB.</v>
      </c>
      <c r="F2" s="14" t="str">
        <f>IGC!C23</f>
        <v>Captura F/H Primer Actividad pestaña Plan</v>
      </c>
      <c r="G2" s="14">
        <f>IGC!E23</f>
        <v>43777.673611111109</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cpidwuatnete01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SELECCION4</vt:lpstr>
      <vt:lpstr>SELECCION5</vt:lpstr>
      <vt:lpstr>SELECCION6</vt:lpstr>
      <vt:lpstr>SELECCION7</vt:lpstr>
      <vt:lpstr>SELECCION8</vt:lpstr>
      <vt:lpstr>SELECCION9</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2017-12-20T00:11:08Z</cp:lastPrinted>
  <dcterms:created xsi:type="dcterms:W3CDTF">2015-10-24T16:41:04Z</dcterms:created>
  <dcterms:modified xsi:type="dcterms:W3CDTF">2020-07-25T18:49:55Z</dcterms:modified>
</cp:coreProperties>
</file>