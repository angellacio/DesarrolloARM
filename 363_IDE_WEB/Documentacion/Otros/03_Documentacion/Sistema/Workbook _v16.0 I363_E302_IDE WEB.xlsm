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filterPrivacy="1" showInkAnnotation="0" codeName="ThisWorkbook" defaultThemeVersion="124226"/>
  <xr:revisionPtr revIDLastSave="0" documentId="8_{47EA0A3D-AFF2-49FC-B27B-E893369C591C}" xr6:coauthVersionLast="36" xr6:coauthVersionMax="36" xr10:uidLastSave="{00000000-0000-0000-0000-000000000000}"/>
  <workbookProtection workbookAlgorithmName="SHA-512" workbookHashValue="iQSABl1C776f9v+74fN5wu2hSBivRC+YmS5MWCLWtTV4LmacblObXq3uyKZrKowavkU7zk8EREcuc3JYrsmHqg==" workbookSaltValue="hroZwnVSdDpnuOqZM7Z+hQ==" workbookSpinCount="100000" lockStructure="1"/>
  <bookViews>
    <workbookView xWindow="0" yWindow="0" windowWidth="20490" windowHeight="7545" tabRatio="862" activeTab="2" xr2:uid="{00000000-000D-0000-FFFF-FFFF00000000}"/>
  </bookViews>
  <sheets>
    <sheet name="Histórico" sheetId="13" r:id="rId1"/>
    <sheet name="Ayuda" sheetId="1" r:id="rId2"/>
    <sheet name="Hoja Captura" sheetId="12" r:id="rId3"/>
    <sheet name="Entregables Contractuales" sheetId="3" r:id="rId4"/>
    <sheet name="Nombrado Artefactos" sheetId="4" r:id="rId5"/>
    <sheet name="Nombrado Artefactos PC" sheetId="6" r:id="rId6"/>
    <sheet name="Artefactos AVL" sheetId="11" r:id="rId7"/>
    <sheet name="Catalogos" sheetId="8" state="hidden" r:id="rId8"/>
  </sheets>
  <externalReferences>
    <externalReference r:id="rId9"/>
    <externalReference r:id="rId10"/>
  </externalReferences>
  <definedNames>
    <definedName name="_01_Administración_del_Riesgo">Catalogos!$Y$4:$Y$15</definedName>
    <definedName name="_02_Recursos_y_Servicios">Catalogos!$DA$4:$DA$25</definedName>
    <definedName name="_03_Cobranza">Catalogos!$AC$4:$AC$13</definedName>
    <definedName name="_04_Control_de_Obligaciones">Catalogos!$AS$4:$AS$16</definedName>
    <definedName name="_05_Cuenta_Tributaria">Catalogos!$AW$4:$AW$4</definedName>
    <definedName name="_06_Declaraciones_y_Pagos__Documentos_Digitales">Catalogos!$BA$4:$BA$21</definedName>
    <definedName name="_07_Devoluciones_y_Compensaciones">Catalogos!$BM$4:$BM$21</definedName>
    <definedName name="_08_Fiscalización">Catalogos!$BY$4:$BY$28</definedName>
    <definedName name="_09_Notificación_Verificación">Catalogos!$CO$4:$CO$13</definedName>
    <definedName name="_10_Registro_Contable">Catalogos!$DE$4:$DE$10</definedName>
    <definedName name="_11_Identificación_del_Contribuyente">Catalogos!$DM$4:$DM$26</definedName>
    <definedName name="_12_Al_Contribuyente">Catalogos!$DQ$4:$DQ$34</definedName>
    <definedName name="_13_Comercio_Exterior_Despacho">Catalogos!$AG$4:$AG$55</definedName>
    <definedName name="_14_Planeación">Catalogos!$DU$4:$DU$4</definedName>
    <definedName name="_15_Internos_de_Control">Catalogos!$DY$4:$DY$20</definedName>
    <definedName name="_16_Jurídicos">Catalogos!$EC$4:$EC$38</definedName>
    <definedName name="_17_Transversales_de_TI">Catalogos!$EG$4:$EG$35</definedName>
    <definedName name="_19_e.Firma">Catalogos!$BQ$4:$BQ$15</definedName>
    <definedName name="_20_Comercio_exterior_Pre_despacho">Catalogos!$AK$4:$AK$8</definedName>
    <definedName name="_21_Factura_Electrónica">Catalogos!$BU$4:$BU$9</definedName>
    <definedName name="_22_Medios_de_Autenticación">Catalogos!$CK$4:$CK$4</definedName>
    <definedName name="_23_Portales_Móviles">Catalogos!$CS$4:$CS$4</definedName>
    <definedName name="_24_Portales_Transaccionales">Catalogos!$CW$4:$CW$4</definedName>
    <definedName name="_25_Comercio_Exterior_Soporte_a_la_Operación">Catalogos!$AO$4:$AO$38</definedName>
    <definedName name="_26_MAT_Comercio_Exterior">Catalogos!$CG$4:$CG$22</definedName>
    <definedName name="_27_Fiscalización_Específicos">Catalogos!$CC$4:$CC$4</definedName>
    <definedName name="_28_Declaraciones_y_Pagos_Informativas_y_Pagos_Provisionales">Catalogos!$BI$4:$BI$38</definedName>
    <definedName name="_29_Declaraciones_y_Pagos_Legados_y_Declaraciones_anuales">Catalogos!$BE$4:$BE$29</definedName>
    <definedName name="_30_Contabilidad_Electrónica">Catalogos!$EK$4</definedName>
    <definedName name="_31_Fiscalicación_Control">Catalogos!$EO$4</definedName>
    <definedName name="_32_Mis_Cuentas">Catalogos!$DI$4</definedName>
    <definedName name="_xlnm._FilterDatabase" localSheetId="6" hidden="1">'Artefactos AVL'!$B$17:$P$43</definedName>
    <definedName name="_xlnm._FilterDatabase" localSheetId="7" hidden="1">Catalogos!$AP$3:$AS$3</definedName>
    <definedName name="_xlnm._FilterDatabase" localSheetId="3" hidden="1">'Entregables Contractuales'!$B$5:$B$36</definedName>
    <definedName name="_xlnm._FilterDatabase" localSheetId="2" hidden="1">'Hoja Captura'!$A$1:$D$18</definedName>
    <definedName name="_xlnm._FilterDatabase" localSheetId="4" hidden="1">'Nombrado Artefactos'!$A$10:$A$86</definedName>
    <definedName name="_xlnm._FilterDatabase" localSheetId="5" hidden="1">'Nombrado Artefactos PC'!$A$8:$A$64</definedName>
    <definedName name="CAM">Catalogos!$I$9:$I$11</definedName>
    <definedName name="Servicios">Catalogos!$G$4:$G$34</definedName>
    <definedName name="Z_41B348E9_DE08_4F64_948D_855D8EF9DC1D_.wvu.Cols" localSheetId="6" hidden="1">'Artefactos AVL'!$A:$A,'Artefactos AVL'!$P:$P</definedName>
    <definedName name="Z_41B348E9_DE08_4F64_948D_855D8EF9DC1D_.wvu.Cols" localSheetId="7" hidden="1">Catalogos!$T:$X</definedName>
    <definedName name="Z_41B348E9_DE08_4F64_948D_855D8EF9DC1D_.wvu.Cols" localSheetId="4" hidden="1">'Nombrado Artefactos'!#REF!,'Nombrado Artefactos'!$C:$C,'Nombrado Artefactos'!$R:$S</definedName>
    <definedName name="Z_41B348E9_DE08_4F64_948D_855D8EF9DC1D_.wvu.Cols" localSheetId="5" hidden="1">'Nombrado Artefactos PC'!$A:$A,'Nombrado Artefactos PC'!$J:$J</definedName>
    <definedName name="Z_41B348E9_DE08_4F64_948D_855D8EF9DC1D_.wvu.FilterData" localSheetId="6" hidden="1">'Artefactos AVL'!#REF!</definedName>
    <definedName name="Z_41B348E9_DE08_4F64_948D_855D8EF9DC1D_.wvu.FilterData" localSheetId="7" hidden="1">Catalogos!#REF!</definedName>
    <definedName name="Z_41B348E9_DE08_4F64_948D_855D8EF9DC1D_.wvu.FilterData" localSheetId="3" hidden="1">'Entregables Contractuales'!$B$6:$E$24</definedName>
    <definedName name="Z_41B348E9_DE08_4F64_948D_855D8EF9DC1D_.wvu.FilterData" localSheetId="4" hidden="1">'Nombrado Artefactos'!$A$10:$I$83</definedName>
    <definedName name="Z_41B348E9_DE08_4F64_948D_855D8EF9DC1D_.wvu.FilterData" localSheetId="5" hidden="1">'Nombrado Artefactos PC'!$A$8:$H$58</definedName>
    <definedName name="Z_41B348E9_DE08_4F64_948D_855D8EF9DC1D_.wvu.PrintArea" localSheetId="6" hidden="1">'Artefactos AVL'!$A$1:$M$35</definedName>
    <definedName name="Z_41B348E9_DE08_4F64_948D_855D8EF9DC1D_.wvu.PrintArea" localSheetId="1" hidden="1">Ayuda!$A$1:$J$16</definedName>
    <definedName name="Z_41B348E9_DE08_4F64_948D_855D8EF9DC1D_.wvu.PrintArea" localSheetId="7" hidden="1">Catalogos!$B$1:$AB$23</definedName>
    <definedName name="Z_41B348E9_DE08_4F64_948D_855D8EF9DC1D_.wvu.PrintArea" localSheetId="3" hidden="1">'Entregables Contractuales'!$A$2:$B$24</definedName>
    <definedName name="Z_41B348E9_DE08_4F64_948D_855D8EF9DC1D_.wvu.PrintArea" localSheetId="4" hidden="1">'Nombrado Artefactos'!$A$1:$I$82</definedName>
    <definedName name="Z_41B348E9_DE08_4F64_948D_855D8EF9DC1D_.wvu.PrintArea" localSheetId="5" hidden="1">'Nombrado Artefactos PC'!$A$1:$I$17</definedName>
    <definedName name="Z_41B348E9_DE08_4F64_948D_855D8EF9DC1D_.wvu.Rows" localSheetId="7" hidden="1">Catalogos!#REF!,Catalogos!#REF!</definedName>
    <definedName name="Z_41B348E9_DE08_4F64_948D_855D8EF9DC1D_.wvu.Rows" localSheetId="4" hidden="1">'Nombrado Artefactos'!$8:$9</definedName>
    <definedName name="Z_885128CB_C7E7_4F99_B059_3D33F9918444_.wvu.Cols" localSheetId="7" hidden="1">Catalogos!$AB:$AJ</definedName>
    <definedName name="Z_885128CB_C7E7_4F99_B059_3D33F9918444_.wvu.Cols" localSheetId="4" hidden="1">'Nombrado Artefactos'!#REF!,'Nombrado Artefactos'!$C:$C,'Nombrado Artefactos'!#REF!</definedName>
    <definedName name="Z_885128CB_C7E7_4F99_B059_3D33F9918444_.wvu.Cols" localSheetId="5" hidden="1">'Nombrado Artefactos PC'!$A:$A,'Nombrado Artefactos PC'!$D:$D,'Nombrado Artefactos PC'!$J:$J</definedName>
    <definedName name="Z_885128CB_C7E7_4F99_B059_3D33F9918444_.wvu.FilterData" localSheetId="7" hidden="1">Catalogos!#REF!</definedName>
    <definedName name="Z_885128CB_C7E7_4F99_B059_3D33F9918444_.wvu.FilterData" localSheetId="3" hidden="1">'Entregables Contractuales'!$B$6:$E$24</definedName>
    <definedName name="Z_885128CB_C7E7_4F99_B059_3D33F9918444_.wvu.FilterData" localSheetId="4" hidden="1">'Nombrado Artefactos'!$A$10:$I$82</definedName>
    <definedName name="Z_885128CB_C7E7_4F99_B059_3D33F9918444_.wvu.FilterData" localSheetId="5" hidden="1">'Nombrado Artefactos PC'!$A$8:$H$17</definedName>
    <definedName name="Z_885128CB_C7E7_4F99_B059_3D33F9918444_.wvu.PrintArea" localSheetId="6" hidden="1">'Artefactos AVL'!$A$1:$M$28</definedName>
    <definedName name="Z_885128CB_C7E7_4F99_B059_3D33F9918444_.wvu.PrintArea" localSheetId="1" hidden="1">Ayuda!$A$1:$J$16</definedName>
    <definedName name="Z_885128CB_C7E7_4F99_B059_3D33F9918444_.wvu.PrintArea" localSheetId="7" hidden="1">Catalogos!$B$1:$AB$23</definedName>
    <definedName name="Z_885128CB_C7E7_4F99_B059_3D33F9918444_.wvu.PrintArea" localSheetId="3" hidden="1">'Entregables Contractuales'!$A$2:$B$24</definedName>
    <definedName name="Z_885128CB_C7E7_4F99_B059_3D33F9918444_.wvu.PrintArea" localSheetId="4" hidden="1">'Nombrado Artefactos'!$A$1:$I$82</definedName>
    <definedName name="Z_885128CB_C7E7_4F99_B059_3D33F9918444_.wvu.PrintArea" localSheetId="5" hidden="1">'Nombrado Artefactos PC'!$A$1:$I$17</definedName>
    <definedName name="Z_885128CB_C7E7_4F99_B059_3D33F9918444_.wvu.Rows" localSheetId="1" hidden="1">Ayuda!#REF!,Ayuda!#REF!,Ayuda!#REF!,Ayuda!#REF!,Ayuda!#REF!,Ayuda!#REF!</definedName>
    <definedName name="Z_885128CB_C7E7_4F99_B059_3D33F9918444_.wvu.Rows" localSheetId="4" hidden="1">'Nombrado Artefactos'!$9:$9</definedName>
    <definedName name="Z_885128CB_C7E7_4F99_B059_3D33F9918444_.wvu.Rows" localSheetId="5" hidden="1">'Nombrado Artefactos PC'!#REF!</definedName>
  </definedNames>
  <calcPr calcId="179021"/>
  <customWorkbookViews>
    <customWorkbookView name="eminero - Personal View" guid="{885128CB-C7E7-4F99-B059-3D33F9918444}" mergeInterval="0" personalView="1" maximized="1" windowWidth="1362" windowHeight="543" tabRatio="668" activeSheetId="8"/>
    <customWorkbookView name="pramos - Personal View" guid="{41B348E9-DE08-4F64-948D-855D8EF9DC1D}" mergeInterval="0" personalView="1" xWindow="58" yWindow="29" windowWidth="1256" windowHeight="483" tabRatio="725" activeSheetId="7"/>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E19" i="8" l="1"/>
  <c r="BE18" i="8"/>
  <c r="AO35" i="8"/>
  <c r="I4" i="4"/>
  <c r="BM20" i="8"/>
  <c r="BE21" i="8"/>
  <c r="AO26" i="8"/>
  <c r="B12" i="11"/>
  <c r="C12" i="11" s="1"/>
  <c r="H12" i="11"/>
  <c r="J12" i="11" s="1"/>
  <c r="K12" i="11"/>
  <c r="L12" i="11" s="1"/>
  <c r="D12" i="12"/>
  <c r="B14" i="11" s="1"/>
  <c r="J14" i="11"/>
  <c r="H14" i="11"/>
  <c r="I6" i="4"/>
  <c r="Q76" i="4" s="1"/>
  <c r="K76" i="4"/>
  <c r="F4" i="4"/>
  <c r="J6" i="4" s="1"/>
  <c r="F6" i="4" s="1"/>
  <c r="G19" i="8"/>
  <c r="G27" i="8"/>
  <c r="G28" i="8"/>
  <c r="G4" i="4"/>
  <c r="H64" i="4" s="1"/>
  <c r="I64" i="4" s="1"/>
  <c r="B6" i="4"/>
  <c r="F4" i="6" s="1"/>
  <c r="K31" i="4"/>
  <c r="G31" i="4"/>
  <c r="C4" i="4"/>
  <c r="D4" i="4" s="1"/>
  <c r="K4" i="4"/>
  <c r="L4" i="4" s="1"/>
  <c r="K19" i="4"/>
  <c r="D6" i="4"/>
  <c r="BY27" i="8"/>
  <c r="DE10" i="8"/>
  <c r="DE9" i="8"/>
  <c r="K22" i="4"/>
  <c r="D23" i="6"/>
  <c r="H23" i="6" s="1"/>
  <c r="D31" i="6"/>
  <c r="H31" i="6" s="1"/>
  <c r="K65" i="4"/>
  <c r="K86" i="4"/>
  <c r="K85" i="4"/>
  <c r="K73" i="4"/>
  <c r="K64" i="4"/>
  <c r="K63" i="4"/>
  <c r="K62" i="4"/>
  <c r="K52" i="4"/>
  <c r="K51" i="4"/>
  <c r="K50" i="4"/>
  <c r="K46" i="4"/>
  <c r="K30" i="4"/>
  <c r="K24" i="4"/>
  <c r="K25" i="4"/>
  <c r="K12" i="4"/>
  <c r="K13" i="4"/>
  <c r="K14" i="4"/>
  <c r="K15" i="4"/>
  <c r="K16" i="4"/>
  <c r="K17" i="4"/>
  <c r="K20" i="4"/>
  <c r="K21" i="4"/>
  <c r="K11" i="4"/>
  <c r="K23" i="4"/>
  <c r="K26" i="4"/>
  <c r="K27" i="4"/>
  <c r="K28" i="4"/>
  <c r="K29" i="4"/>
  <c r="K32" i="4"/>
  <c r="K33" i="4"/>
  <c r="K34" i="4"/>
  <c r="H34" i="4" s="1"/>
  <c r="I34" i="4" s="1"/>
  <c r="K35" i="4"/>
  <c r="K36" i="4"/>
  <c r="K37" i="4"/>
  <c r="K38" i="4"/>
  <c r="H38" i="4" s="1"/>
  <c r="I38" i="4" s="1"/>
  <c r="K39" i="4"/>
  <c r="K40" i="4"/>
  <c r="K41" i="4"/>
  <c r="K42" i="4"/>
  <c r="H42" i="4" s="1"/>
  <c r="I42" i="4" s="1"/>
  <c r="K43" i="4"/>
  <c r="K44" i="4"/>
  <c r="K45" i="4"/>
  <c r="K47" i="4"/>
  <c r="H47" i="4" s="1"/>
  <c r="I47" i="4" s="1"/>
  <c r="K48" i="4"/>
  <c r="K49" i="4"/>
  <c r="K84" i="4"/>
  <c r="K53" i="4"/>
  <c r="K54" i="4"/>
  <c r="K55" i="4"/>
  <c r="K56" i="4"/>
  <c r="K57" i="4"/>
  <c r="H57" i="4" s="1"/>
  <c r="I57" i="4" s="1"/>
  <c r="K58" i="4"/>
  <c r="K59" i="4"/>
  <c r="K60" i="4"/>
  <c r="K61" i="4"/>
  <c r="H61" i="4" s="1"/>
  <c r="I61" i="4" s="1"/>
  <c r="K66" i="4"/>
  <c r="K67" i="4"/>
  <c r="K68" i="4"/>
  <c r="K69" i="4"/>
  <c r="K70" i="4"/>
  <c r="K71" i="4"/>
  <c r="K72" i="4"/>
  <c r="K74" i="4"/>
  <c r="H74" i="4" s="1"/>
  <c r="I74" i="4" s="1"/>
  <c r="K75" i="4"/>
  <c r="K77" i="4"/>
  <c r="K78" i="4"/>
  <c r="K79" i="4"/>
  <c r="H79" i="4" s="1"/>
  <c r="I79" i="4" s="1"/>
  <c r="K80" i="4"/>
  <c r="K81" i="4"/>
  <c r="K82" i="4"/>
  <c r="K83" i="4"/>
  <c r="H83" i="4" s="1"/>
  <c r="I83" i="4" s="1"/>
  <c r="K18" i="4"/>
  <c r="EL72" i="8"/>
  <c r="EH72" i="8"/>
  <c r="ED72" i="8"/>
  <c r="DZ72" i="8"/>
  <c r="DV71" i="8"/>
  <c r="DR72" i="8"/>
  <c r="DN72" i="8"/>
  <c r="DJ72" i="8"/>
  <c r="DF72" i="8"/>
  <c r="DB72" i="8"/>
  <c r="CX72" i="8"/>
  <c r="CT72" i="8"/>
  <c r="CP72" i="8"/>
  <c r="CL72" i="8"/>
  <c r="CH72" i="8"/>
  <c r="CD72" i="8"/>
  <c r="BZ72" i="8"/>
  <c r="BV73" i="8"/>
  <c r="BR72" i="8"/>
  <c r="BN72" i="8"/>
  <c r="BJ73" i="8"/>
  <c r="BF72" i="8"/>
  <c r="BB73" i="8"/>
  <c r="AX72" i="8"/>
  <c r="AT72" i="8"/>
  <c r="AP72" i="8"/>
  <c r="AL75" i="8"/>
  <c r="AH72" i="8"/>
  <c r="AD70" i="8"/>
  <c r="Z72" i="8"/>
  <c r="V72" i="8"/>
  <c r="BA5" i="8"/>
  <c r="BA6" i="8"/>
  <c r="BA7" i="8"/>
  <c r="BA8" i="8"/>
  <c r="BA9" i="8"/>
  <c r="BA10" i="8"/>
  <c r="BA11" i="8"/>
  <c r="BA12" i="8"/>
  <c r="BA13" i="8"/>
  <c r="BA14" i="8"/>
  <c r="BA15" i="8"/>
  <c r="BA16" i="8"/>
  <c r="BA17" i="8"/>
  <c r="BA18" i="8"/>
  <c r="BA19" i="8"/>
  <c r="BA20" i="8"/>
  <c r="BA4" i="8"/>
  <c r="EG5" i="8"/>
  <c r="EG6" i="8"/>
  <c r="EG7" i="8"/>
  <c r="EG8" i="8"/>
  <c r="EG9" i="8"/>
  <c r="EG10" i="8"/>
  <c r="EG11" i="8"/>
  <c r="EG12" i="8"/>
  <c r="EG13" i="8"/>
  <c r="EG14" i="8"/>
  <c r="EG15" i="8"/>
  <c r="EG16" i="8"/>
  <c r="EG17" i="8"/>
  <c r="EG18" i="8"/>
  <c r="EG19" i="8"/>
  <c r="EG20" i="8"/>
  <c r="EG21" i="8"/>
  <c r="EG22" i="8"/>
  <c r="EG23" i="8"/>
  <c r="EG24" i="8"/>
  <c r="EG25" i="8"/>
  <c r="EG26" i="8"/>
  <c r="EG27" i="8"/>
  <c r="EG28" i="8"/>
  <c r="EG29" i="8"/>
  <c r="EG30" i="8"/>
  <c r="EG31" i="8"/>
  <c r="EG32" i="8"/>
  <c r="EG33" i="8"/>
  <c r="EG34" i="8"/>
  <c r="EG35" i="8"/>
  <c r="EG4" i="8"/>
  <c r="EC5" i="8"/>
  <c r="EC6" i="8"/>
  <c r="EC7" i="8"/>
  <c r="EC8" i="8"/>
  <c r="EC9" i="8"/>
  <c r="EC10" i="8"/>
  <c r="EC11" i="8"/>
  <c r="EC12" i="8"/>
  <c r="EC13" i="8"/>
  <c r="EC14" i="8"/>
  <c r="EC15" i="8"/>
  <c r="EC16" i="8"/>
  <c r="EC17" i="8"/>
  <c r="EC18" i="8"/>
  <c r="EC19" i="8"/>
  <c r="EC20" i="8"/>
  <c r="EC21" i="8"/>
  <c r="EC22" i="8"/>
  <c r="EC23" i="8"/>
  <c r="EC24" i="8"/>
  <c r="EC25" i="8"/>
  <c r="EC26" i="8"/>
  <c r="EC27" i="8"/>
  <c r="EC28" i="8"/>
  <c r="EC29" i="8"/>
  <c r="EC30" i="8"/>
  <c r="EC31" i="8"/>
  <c r="EC32" i="8"/>
  <c r="EC33" i="8"/>
  <c r="EC34" i="8"/>
  <c r="EC35" i="8"/>
  <c r="EC36" i="8"/>
  <c r="EC37" i="8"/>
  <c r="EC38" i="8"/>
  <c r="EC4" i="8"/>
  <c r="DY5" i="8"/>
  <c r="DY6" i="8"/>
  <c r="DY7" i="8"/>
  <c r="DY8" i="8"/>
  <c r="DY9" i="8"/>
  <c r="DY10" i="8"/>
  <c r="DY11" i="8"/>
  <c r="DY12" i="8"/>
  <c r="DY13" i="8"/>
  <c r="DY14" i="8"/>
  <c r="DY15" i="8"/>
  <c r="DY16" i="8"/>
  <c r="DY17" i="8"/>
  <c r="DY18" i="8"/>
  <c r="DY19" i="8"/>
  <c r="DY20" i="8"/>
  <c r="DY4" i="8"/>
  <c r="DU4" i="8"/>
  <c r="DQ5" i="8"/>
  <c r="DQ6" i="8"/>
  <c r="DQ7" i="8"/>
  <c r="DQ8" i="8"/>
  <c r="DQ9" i="8"/>
  <c r="DQ10" i="8"/>
  <c r="DQ11" i="8"/>
  <c r="DQ12" i="8"/>
  <c r="DQ13" i="8"/>
  <c r="DQ14" i="8"/>
  <c r="DQ15" i="8"/>
  <c r="DQ16" i="8"/>
  <c r="DQ17" i="8"/>
  <c r="DQ18" i="8"/>
  <c r="DQ19" i="8"/>
  <c r="DQ20" i="8"/>
  <c r="DQ21" i="8"/>
  <c r="DQ22" i="8"/>
  <c r="DQ23" i="8"/>
  <c r="DQ24" i="8"/>
  <c r="DQ25" i="8"/>
  <c r="DQ26" i="8"/>
  <c r="DQ27" i="8"/>
  <c r="DQ28" i="8"/>
  <c r="DQ29" i="8"/>
  <c r="DQ30" i="8"/>
  <c r="DQ31" i="8"/>
  <c r="DQ32" i="8"/>
  <c r="DQ33" i="8"/>
  <c r="DQ34" i="8"/>
  <c r="DQ4" i="8"/>
  <c r="DM5" i="8"/>
  <c r="DM6" i="8"/>
  <c r="DM7" i="8"/>
  <c r="DM8" i="8"/>
  <c r="DM9" i="8"/>
  <c r="DM10" i="8"/>
  <c r="DM11" i="8"/>
  <c r="DM12" i="8"/>
  <c r="DM13" i="8"/>
  <c r="DM14" i="8"/>
  <c r="DM15" i="8"/>
  <c r="DM16" i="8"/>
  <c r="DM17" i="8"/>
  <c r="DM18" i="8"/>
  <c r="DM19" i="8"/>
  <c r="DM20" i="8"/>
  <c r="DM21" i="8"/>
  <c r="DM22" i="8"/>
  <c r="DM23" i="8"/>
  <c r="DM24" i="8"/>
  <c r="DM25" i="8"/>
  <c r="DM26" i="8"/>
  <c r="DM4" i="8"/>
  <c r="DE5" i="8"/>
  <c r="DE6" i="8"/>
  <c r="DE7" i="8"/>
  <c r="DE8" i="8"/>
  <c r="DE4" i="8"/>
  <c r="DA5" i="8"/>
  <c r="DA6" i="8"/>
  <c r="DA7" i="8"/>
  <c r="DA8" i="8"/>
  <c r="DA9" i="8"/>
  <c r="DA10" i="8"/>
  <c r="DA11" i="8"/>
  <c r="DA12" i="8"/>
  <c r="DA13" i="8"/>
  <c r="DA14" i="8"/>
  <c r="DA15" i="8"/>
  <c r="DA16" i="8"/>
  <c r="DA17" i="8"/>
  <c r="DA18" i="8"/>
  <c r="DA19" i="8"/>
  <c r="DA20" i="8"/>
  <c r="DA21" i="8"/>
  <c r="DA22" i="8"/>
  <c r="DA23" i="8"/>
  <c r="DA24" i="8"/>
  <c r="DA25" i="8"/>
  <c r="DA4" i="8"/>
  <c r="CW4" i="8"/>
  <c r="CS4" i="8"/>
  <c r="CS5" i="8"/>
  <c r="CO5" i="8"/>
  <c r="CO6" i="8"/>
  <c r="CO7" i="8"/>
  <c r="CO8" i="8"/>
  <c r="CO9" i="8"/>
  <c r="CO10" i="8"/>
  <c r="CO11" i="8"/>
  <c r="CO12" i="8"/>
  <c r="CO13" i="8"/>
  <c r="CO4" i="8"/>
  <c r="CG5" i="8"/>
  <c r="CG6" i="8"/>
  <c r="CG7" i="8"/>
  <c r="CG8" i="8"/>
  <c r="CG9" i="8"/>
  <c r="CG10" i="8"/>
  <c r="CG11" i="8"/>
  <c r="CG12" i="8"/>
  <c r="CG13" i="8"/>
  <c r="CG14" i="8"/>
  <c r="CG15" i="8"/>
  <c r="CG16" i="8"/>
  <c r="CG17" i="8"/>
  <c r="CG18" i="8"/>
  <c r="CG19" i="8"/>
  <c r="CG20" i="8"/>
  <c r="CG21" i="8"/>
  <c r="CG22" i="8"/>
  <c r="CG4" i="8"/>
  <c r="BY5" i="8"/>
  <c r="BY6" i="8"/>
  <c r="BY7" i="8"/>
  <c r="BY8" i="8"/>
  <c r="BY9" i="8"/>
  <c r="BY10" i="8"/>
  <c r="BY11" i="8"/>
  <c r="BY12" i="8"/>
  <c r="BY13" i="8"/>
  <c r="BY14" i="8"/>
  <c r="BY15" i="8"/>
  <c r="BY16" i="8"/>
  <c r="BY17" i="8"/>
  <c r="BY18" i="8"/>
  <c r="BY19" i="8"/>
  <c r="BY20" i="8"/>
  <c r="BY21" i="8"/>
  <c r="BY22" i="8"/>
  <c r="BY23" i="8"/>
  <c r="BY24" i="8"/>
  <c r="BY25" i="8"/>
  <c r="BY26" i="8"/>
  <c r="BY28" i="8"/>
  <c r="BY4" i="8"/>
  <c r="BU5" i="8"/>
  <c r="BU6" i="8"/>
  <c r="BU7" i="8"/>
  <c r="BU8" i="8"/>
  <c r="BU9" i="8"/>
  <c r="BU4" i="8"/>
  <c r="BQ5" i="8"/>
  <c r="BQ6" i="8"/>
  <c r="BQ7" i="8"/>
  <c r="BQ8" i="8"/>
  <c r="BQ9" i="8"/>
  <c r="BQ10" i="8"/>
  <c r="BQ11" i="8"/>
  <c r="BQ12" i="8"/>
  <c r="BQ13" i="8"/>
  <c r="BQ14" i="8"/>
  <c r="BQ15" i="8"/>
  <c r="BQ4" i="8"/>
  <c r="BM5" i="8"/>
  <c r="BM6" i="8"/>
  <c r="BM7" i="8"/>
  <c r="BM8" i="8"/>
  <c r="BM9" i="8"/>
  <c r="BM10" i="8"/>
  <c r="BM11" i="8"/>
  <c r="BM12" i="8"/>
  <c r="BM13" i="8"/>
  <c r="BM14" i="8"/>
  <c r="BM15" i="8"/>
  <c r="BM16" i="8"/>
  <c r="BM17" i="8"/>
  <c r="BM18" i="8"/>
  <c r="BM19" i="8"/>
  <c r="BM21" i="8"/>
  <c r="BM4" i="8"/>
  <c r="BI23" i="8"/>
  <c r="BI24" i="8"/>
  <c r="BI25" i="8"/>
  <c r="BI26" i="8"/>
  <c r="BI27" i="8"/>
  <c r="BI28" i="8"/>
  <c r="BI29" i="8"/>
  <c r="BI30" i="8"/>
  <c r="BI31" i="8"/>
  <c r="BI32" i="8"/>
  <c r="BI33" i="8"/>
  <c r="BI34" i="8"/>
  <c r="BI35" i="8"/>
  <c r="BI36" i="8"/>
  <c r="BI37" i="8"/>
  <c r="BI38" i="8"/>
  <c r="BI5" i="8"/>
  <c r="BI6" i="8"/>
  <c r="BI7" i="8"/>
  <c r="BI8" i="8"/>
  <c r="BI9" i="8"/>
  <c r="BI10" i="8"/>
  <c r="BI11" i="8"/>
  <c r="BI12" i="8"/>
  <c r="BI13" i="8"/>
  <c r="BI14" i="8"/>
  <c r="BI15" i="8"/>
  <c r="BI16" i="8"/>
  <c r="BI17" i="8"/>
  <c r="BI18" i="8"/>
  <c r="BI19" i="8"/>
  <c r="BI20" i="8"/>
  <c r="BI21" i="8"/>
  <c r="BI22" i="8"/>
  <c r="BI4" i="8"/>
  <c r="BE5" i="8"/>
  <c r="BE6" i="8"/>
  <c r="BE7" i="8"/>
  <c r="BE8" i="8"/>
  <c r="BE9" i="8"/>
  <c r="BE10" i="8"/>
  <c r="BE11" i="8"/>
  <c r="BE12" i="8"/>
  <c r="BE13" i="8"/>
  <c r="BE14" i="8"/>
  <c r="BE15" i="8"/>
  <c r="BE16" i="8"/>
  <c r="BE17" i="8"/>
  <c r="BE20" i="8"/>
  <c r="BE22" i="8"/>
  <c r="BE23" i="8"/>
  <c r="BE24" i="8"/>
  <c r="BE25" i="8"/>
  <c r="BE26" i="8"/>
  <c r="BE27" i="8"/>
  <c r="BE28" i="8"/>
  <c r="BE4" i="8"/>
  <c r="AS5" i="8"/>
  <c r="AS6" i="8"/>
  <c r="AS7" i="8"/>
  <c r="AS8" i="8"/>
  <c r="AS9" i="8"/>
  <c r="AS10" i="8"/>
  <c r="AS11" i="8"/>
  <c r="AS12" i="8"/>
  <c r="AS13" i="8"/>
  <c r="AS14" i="8"/>
  <c r="AS15" i="8"/>
  <c r="AS4" i="8"/>
  <c r="AO5" i="8"/>
  <c r="AO6" i="8"/>
  <c r="AO7" i="8"/>
  <c r="AO8" i="8"/>
  <c r="AO10" i="8"/>
  <c r="AO11" i="8"/>
  <c r="AO12" i="8"/>
  <c r="AO13" i="8"/>
  <c r="AO14" i="8"/>
  <c r="AO15" i="8"/>
  <c r="AO16" i="8"/>
  <c r="AO17" i="8"/>
  <c r="AO18" i="8"/>
  <c r="AO19" i="8"/>
  <c r="AO20" i="8"/>
  <c r="AO21" i="8"/>
  <c r="AO22" i="8"/>
  <c r="AO23" i="8"/>
  <c r="AO24" i="8"/>
  <c r="AO25" i="8"/>
  <c r="AO27" i="8"/>
  <c r="AO28" i="8"/>
  <c r="AO29" i="8"/>
  <c r="AO30" i="8"/>
  <c r="AO31" i="8"/>
  <c r="AO32" i="8"/>
  <c r="AO4" i="8"/>
  <c r="AK5" i="8"/>
  <c r="AK6" i="8"/>
  <c r="AK7" i="8"/>
  <c r="AK8" i="8"/>
  <c r="AK4" i="8"/>
  <c r="AG5" i="8"/>
  <c r="AG6" i="8"/>
  <c r="AG7" i="8"/>
  <c r="AG8" i="8"/>
  <c r="AG9" i="8"/>
  <c r="AG10" i="8"/>
  <c r="AG11" i="8"/>
  <c r="AG12" i="8"/>
  <c r="AG13" i="8"/>
  <c r="AG14" i="8"/>
  <c r="AG15" i="8"/>
  <c r="AG16" i="8"/>
  <c r="AG17" i="8"/>
  <c r="AG18" i="8"/>
  <c r="AO9" i="8"/>
  <c r="AG19" i="8"/>
  <c r="AG20" i="8"/>
  <c r="AG21" i="8"/>
  <c r="AG22" i="8"/>
  <c r="AG23" i="8"/>
  <c r="AG24" i="8"/>
  <c r="AG25" i="8"/>
  <c r="AG26" i="8"/>
  <c r="AG27" i="8"/>
  <c r="AG28" i="8"/>
  <c r="AG29" i="8"/>
  <c r="AG30" i="8"/>
  <c r="AG31" i="8"/>
  <c r="AG32" i="8"/>
  <c r="AG33" i="8"/>
  <c r="AG34" i="8"/>
  <c r="AG35" i="8"/>
  <c r="AG36" i="8"/>
  <c r="AG37" i="8"/>
  <c r="AG38" i="8"/>
  <c r="AG39" i="8"/>
  <c r="AG40" i="8"/>
  <c r="AG41" i="8"/>
  <c r="AG42" i="8"/>
  <c r="AG43" i="8"/>
  <c r="AG44" i="8"/>
  <c r="AG45" i="8"/>
  <c r="AG46" i="8"/>
  <c r="AG47" i="8"/>
  <c r="AG48" i="8"/>
  <c r="AG49" i="8"/>
  <c r="AG50" i="8"/>
  <c r="AO33" i="8"/>
  <c r="AG51" i="8"/>
  <c r="AG52" i="8"/>
  <c r="AG53" i="8"/>
  <c r="AG54" i="8"/>
  <c r="AG55" i="8"/>
  <c r="AC5" i="8"/>
  <c r="AC6" i="8"/>
  <c r="AC7" i="8"/>
  <c r="AC8" i="8"/>
  <c r="AC9" i="8"/>
  <c r="AC10" i="8"/>
  <c r="AC11" i="8"/>
  <c r="AC12" i="8"/>
  <c r="AC13" i="8"/>
  <c r="Y5" i="8"/>
  <c r="Y6" i="8"/>
  <c r="Y7" i="8"/>
  <c r="Y8" i="8"/>
  <c r="Y9" i="8"/>
  <c r="Y10" i="8"/>
  <c r="Y11" i="8"/>
  <c r="Y12" i="8"/>
  <c r="Y13" i="8"/>
  <c r="Y14" i="8"/>
  <c r="Y15" i="8"/>
  <c r="Y4" i="8"/>
  <c r="AC14" i="8"/>
  <c r="AC15" i="8"/>
  <c r="G11" i="8"/>
  <c r="EG42" i="8"/>
  <c r="EG43" i="8"/>
  <c r="EG44" i="8"/>
  <c r="EG45" i="8"/>
  <c r="EG41" i="8"/>
  <c r="DY21" i="8"/>
  <c r="DQ40" i="8"/>
  <c r="DQ41" i="8"/>
  <c r="DQ42" i="8"/>
  <c r="DQ43" i="8"/>
  <c r="DQ44" i="8"/>
  <c r="DQ45" i="8"/>
  <c r="DQ46" i="8"/>
  <c r="DM34" i="8"/>
  <c r="DM35" i="8"/>
  <c r="DM36" i="8"/>
  <c r="DM37" i="8"/>
  <c r="DM38" i="8"/>
  <c r="DM39" i="8"/>
  <c r="DM40" i="8"/>
  <c r="DM41" i="8"/>
  <c r="DA26" i="8"/>
  <c r="DA27" i="8"/>
  <c r="DA28" i="8"/>
  <c r="DA29" i="8"/>
  <c r="DA30" i="8"/>
  <c r="DA31" i="8"/>
  <c r="DA32" i="8"/>
  <c r="BY41" i="8"/>
  <c r="BY40" i="8"/>
  <c r="BY39" i="8"/>
  <c r="BY38" i="8"/>
  <c r="BY37" i="8"/>
  <c r="BY36" i="8"/>
  <c r="BY35" i="8"/>
  <c r="BI39" i="8"/>
  <c r="BI40" i="8"/>
  <c r="BM25" i="8"/>
  <c r="BM26" i="8"/>
  <c r="BM27" i="8"/>
  <c r="AO38" i="8"/>
  <c r="AO39" i="8"/>
  <c r="AO40" i="8"/>
  <c r="AK9" i="8"/>
  <c r="AK10" i="8"/>
  <c r="AC16" i="8"/>
  <c r="AC17" i="8"/>
  <c r="AC18" i="8"/>
  <c r="EO5" i="8"/>
  <c r="EO4" i="8"/>
  <c r="EK5" i="8"/>
  <c r="EK4" i="8"/>
  <c r="EG36" i="8"/>
  <c r="EG37" i="8"/>
  <c r="EG38" i="8"/>
  <c r="EG39" i="8"/>
  <c r="EG40" i="8"/>
  <c r="EG46" i="8"/>
  <c r="EG47" i="8"/>
  <c r="EG48" i="8"/>
  <c r="EG49" i="8"/>
  <c r="EG50" i="8"/>
  <c r="EG51" i="8"/>
  <c r="EG52" i="8"/>
  <c r="EG53" i="8"/>
  <c r="EG54" i="8"/>
  <c r="EG55" i="8"/>
  <c r="EG56" i="8"/>
  <c r="EG57" i="8"/>
  <c r="EG58" i="8"/>
  <c r="EG59" i="8"/>
  <c r="EG60" i="8"/>
  <c r="EG61" i="8"/>
  <c r="EG62" i="8"/>
  <c r="EG63" i="8"/>
  <c r="EG64" i="8"/>
  <c r="EG65" i="8"/>
  <c r="EG66" i="8"/>
  <c r="EG67" i="8"/>
  <c r="EC39" i="8"/>
  <c r="EC40" i="8"/>
  <c r="EC41" i="8"/>
  <c r="EC42" i="8"/>
  <c r="EC43" i="8"/>
  <c r="EC44" i="8"/>
  <c r="EC45" i="8"/>
  <c r="EC46" i="8"/>
  <c r="EC47" i="8"/>
  <c r="EC48" i="8"/>
  <c r="EC49" i="8"/>
  <c r="EC50" i="8"/>
  <c r="EC51" i="8"/>
  <c r="EC52" i="8"/>
  <c r="EC53" i="8"/>
  <c r="EC54" i="8"/>
  <c r="EC55" i="8"/>
  <c r="EC56" i="8"/>
  <c r="EC57" i="8"/>
  <c r="EC58" i="8"/>
  <c r="EC59" i="8"/>
  <c r="EC60" i="8"/>
  <c r="EC61" i="8"/>
  <c r="DY22" i="8"/>
  <c r="DY23" i="8"/>
  <c r="DY24" i="8"/>
  <c r="DY25" i="8"/>
  <c r="DY26" i="8"/>
  <c r="DY27" i="8"/>
  <c r="DY28" i="8"/>
  <c r="DY29" i="8"/>
  <c r="DY30" i="8"/>
  <c r="DU5" i="8"/>
  <c r="DQ35" i="8"/>
  <c r="DQ36" i="8"/>
  <c r="DQ38" i="8"/>
  <c r="DQ39" i="8"/>
  <c r="DQ37" i="8"/>
  <c r="DQ47" i="8"/>
  <c r="DQ48" i="8"/>
  <c r="DQ49" i="8"/>
  <c r="DQ50" i="8"/>
  <c r="DQ51" i="8"/>
  <c r="DQ52" i="8"/>
  <c r="DQ53" i="8"/>
  <c r="DQ54" i="8"/>
  <c r="DQ55" i="8"/>
  <c r="DQ56" i="8"/>
  <c r="DQ57" i="8"/>
  <c r="DQ58" i="8"/>
  <c r="DQ59" i="8"/>
  <c r="DQ60" i="8"/>
  <c r="DQ61" i="8"/>
  <c r="DQ62" i="8"/>
  <c r="DQ63" i="8"/>
  <c r="DQ64" i="8"/>
  <c r="DQ65" i="8"/>
  <c r="DQ66" i="8"/>
  <c r="DQ67" i="8"/>
  <c r="DM27" i="8"/>
  <c r="DM28" i="8"/>
  <c r="DM29" i="8"/>
  <c r="DM30" i="8"/>
  <c r="DM31" i="8"/>
  <c r="DM32" i="8"/>
  <c r="DM33" i="8"/>
  <c r="DM42" i="8"/>
  <c r="DM43" i="8"/>
  <c r="DM44" i="8"/>
  <c r="DM45" i="8"/>
  <c r="DM46" i="8"/>
  <c r="DM47" i="8"/>
  <c r="DM48" i="8"/>
  <c r="DM49" i="8"/>
  <c r="DM50" i="8"/>
  <c r="DM51" i="8"/>
  <c r="DM52" i="8"/>
  <c r="DM53" i="8"/>
  <c r="DM54" i="8"/>
  <c r="DM55" i="8"/>
  <c r="DM56" i="8"/>
  <c r="DM57" i="8"/>
  <c r="DM58" i="8"/>
  <c r="DM59" i="8"/>
  <c r="DM60" i="8"/>
  <c r="DM61" i="8"/>
  <c r="DM62" i="8"/>
  <c r="DM63" i="8"/>
  <c r="DM64" i="8"/>
  <c r="DM65" i="8"/>
  <c r="DI4" i="8"/>
  <c r="DA35" i="8"/>
  <c r="DA36" i="8"/>
  <c r="DA37" i="8"/>
  <c r="DA38" i="8"/>
  <c r="DA39" i="8"/>
  <c r="DA40" i="8"/>
  <c r="DA41" i="8"/>
  <c r="DA42" i="8"/>
  <c r="DA43" i="8"/>
  <c r="DA44" i="8"/>
  <c r="DA45" i="8"/>
  <c r="DA46" i="8"/>
  <c r="DA47" i="8"/>
  <c r="DA48" i="8"/>
  <c r="DA49" i="8"/>
  <c r="DA50" i="8"/>
  <c r="DA51" i="8"/>
  <c r="DA52" i="8"/>
  <c r="DA53" i="8"/>
  <c r="DA54" i="8"/>
  <c r="DA55" i="8"/>
  <c r="DA56" i="8"/>
  <c r="DA57" i="8"/>
  <c r="DA58" i="8"/>
  <c r="DA59" i="8"/>
  <c r="DA60" i="8"/>
  <c r="DA61" i="8"/>
  <c r="CO14" i="8"/>
  <c r="CO15" i="8"/>
  <c r="CK5" i="8"/>
  <c r="CK4" i="8"/>
  <c r="CC4" i="8"/>
  <c r="BY29" i="8"/>
  <c r="BY30" i="8"/>
  <c r="BY31" i="8"/>
  <c r="BY32" i="8"/>
  <c r="BY33" i="8"/>
  <c r="BY34" i="8"/>
  <c r="BY42" i="8"/>
  <c r="BY43" i="8"/>
  <c r="BY44" i="8"/>
  <c r="BY45" i="8"/>
  <c r="BY46" i="8"/>
  <c r="BY47" i="8"/>
  <c r="BY48" i="8"/>
  <c r="BY49" i="8"/>
  <c r="BY50" i="8"/>
  <c r="BY51" i="8"/>
  <c r="BY52" i="8"/>
  <c r="BY53" i="8"/>
  <c r="BY54" i="8"/>
  <c r="BY55" i="8"/>
  <c r="BY56" i="8"/>
  <c r="BY57" i="8"/>
  <c r="BY58" i="8"/>
  <c r="BY59" i="8"/>
  <c r="BY60" i="8"/>
  <c r="BY61" i="8"/>
  <c r="BY62" i="8"/>
  <c r="BY63" i="8"/>
  <c r="BY64" i="8"/>
  <c r="BY65" i="8"/>
  <c r="BY66" i="8"/>
  <c r="BY67" i="8"/>
  <c r="BY68" i="8"/>
  <c r="BQ16" i="8"/>
  <c r="BQ17" i="8"/>
  <c r="BQ18" i="8"/>
  <c r="BM22" i="8"/>
  <c r="BM23" i="8"/>
  <c r="BM24" i="8"/>
  <c r="BM28" i="8"/>
  <c r="BM29" i="8"/>
  <c r="BM30" i="8"/>
  <c r="BM31" i="8"/>
  <c r="BM32" i="8"/>
  <c r="BM33" i="8"/>
  <c r="BM34" i="8"/>
  <c r="BM35" i="8"/>
  <c r="BM36" i="8"/>
  <c r="BM37" i="8"/>
  <c r="BM38" i="8"/>
  <c r="BM39" i="8"/>
  <c r="BM40" i="8"/>
  <c r="BM41" i="8"/>
  <c r="BM42" i="8"/>
  <c r="BM43" i="8"/>
  <c r="BM44" i="8"/>
  <c r="BM45" i="8"/>
  <c r="BM46" i="8"/>
  <c r="BM47" i="8"/>
  <c r="BM48" i="8"/>
  <c r="BM49" i="8"/>
  <c r="BM50" i="8"/>
  <c r="BM51" i="8"/>
  <c r="BM52" i="8"/>
  <c r="BM53" i="8"/>
  <c r="BM54" i="8"/>
  <c r="BM55" i="8"/>
  <c r="BM56" i="8"/>
  <c r="BM57" i="8"/>
  <c r="BM58" i="8"/>
  <c r="BM59" i="8"/>
  <c r="BM60" i="8"/>
  <c r="BM61" i="8"/>
  <c r="BM62" i="8"/>
  <c r="BM63" i="8"/>
  <c r="BM64" i="8"/>
  <c r="BM65" i="8"/>
  <c r="BM66" i="8"/>
  <c r="BI41" i="8"/>
  <c r="BI42" i="8"/>
  <c r="BI43" i="8"/>
  <c r="BI44" i="8"/>
  <c r="BI45" i="8"/>
  <c r="BI46" i="8"/>
  <c r="BI47" i="8"/>
  <c r="BI48" i="8"/>
  <c r="BI49" i="8"/>
  <c r="BI50" i="8"/>
  <c r="BI51" i="8"/>
  <c r="BI52" i="8"/>
  <c r="BI53" i="8"/>
  <c r="BI54" i="8"/>
  <c r="BI55" i="8"/>
  <c r="BI56" i="8"/>
  <c r="BI57" i="8"/>
  <c r="BI58" i="8"/>
  <c r="BI59" i="8"/>
  <c r="BE29" i="8"/>
  <c r="BE30" i="8"/>
  <c r="BE31" i="8"/>
  <c r="BE32" i="8"/>
  <c r="BE33" i="8"/>
  <c r="BE34" i="8"/>
  <c r="BE35" i="8"/>
  <c r="BE36" i="8"/>
  <c r="BE37" i="8"/>
  <c r="BE38" i="8"/>
  <c r="BE39" i="8"/>
  <c r="BE40" i="8"/>
  <c r="BE41" i="8"/>
  <c r="BE42" i="8"/>
  <c r="BE43" i="8"/>
  <c r="BE44" i="8"/>
  <c r="BE45" i="8"/>
  <c r="BE46" i="8"/>
  <c r="BE47" i="8"/>
  <c r="BE48" i="8"/>
  <c r="BE49" i="8"/>
  <c r="BE50" i="8"/>
  <c r="BE51" i="8"/>
  <c r="BE52" i="8"/>
  <c r="BE53" i="8"/>
  <c r="BE54" i="8"/>
  <c r="BE55" i="8"/>
  <c r="BE56" i="8"/>
  <c r="BE57" i="8"/>
  <c r="BE58" i="8"/>
  <c r="BE59" i="8"/>
  <c r="BE60" i="8"/>
  <c r="BE61" i="8"/>
  <c r="BE62" i="8"/>
  <c r="BE63" i="8"/>
  <c r="BE64" i="8"/>
  <c r="BA21" i="8"/>
  <c r="BA22" i="8"/>
  <c r="BA23" i="8"/>
  <c r="BA24" i="8"/>
  <c r="BA25" i="8"/>
  <c r="BA26" i="8"/>
  <c r="BA27" i="8"/>
  <c r="BA28" i="8"/>
  <c r="BA29" i="8"/>
  <c r="BA30" i="8"/>
  <c r="BA31" i="8"/>
  <c r="BA32" i="8"/>
  <c r="BA33" i="8"/>
  <c r="BA34" i="8"/>
  <c r="BA35" i="8"/>
  <c r="BA36" i="8"/>
  <c r="BA37" i="8"/>
  <c r="BA38" i="8"/>
  <c r="BA39" i="8"/>
  <c r="BA40" i="8"/>
  <c r="BA41" i="8"/>
  <c r="BA42" i="8"/>
  <c r="BA43" i="8"/>
  <c r="BA44" i="8"/>
  <c r="BA45" i="8"/>
  <c r="AW5" i="8"/>
  <c r="AW4" i="8"/>
  <c r="AS16" i="8"/>
  <c r="AS19" i="8"/>
  <c r="AS20" i="8"/>
  <c r="AS21" i="8"/>
  <c r="AS22" i="8"/>
  <c r="AS23" i="8"/>
  <c r="AS24" i="8"/>
  <c r="AS25" i="8"/>
  <c r="AS26" i="8"/>
  <c r="AS27" i="8"/>
  <c r="AS28" i="8"/>
  <c r="AS29" i="8"/>
  <c r="AS30" i="8"/>
  <c r="AS31" i="8"/>
  <c r="AS32" i="8"/>
  <c r="AS33" i="8"/>
  <c r="AS34" i="8"/>
  <c r="AS35" i="8"/>
  <c r="AO34" i="8"/>
  <c r="AO36" i="8"/>
  <c r="AO37" i="8"/>
  <c r="AO41" i="8"/>
  <c r="AO42" i="8"/>
  <c r="AO43" i="8"/>
  <c r="AO44" i="8"/>
  <c r="AO45" i="8"/>
  <c r="AO46" i="8"/>
  <c r="AO47" i="8"/>
  <c r="AG56" i="8"/>
  <c r="AG57" i="8"/>
  <c r="AG58" i="8"/>
  <c r="AG59" i="8"/>
  <c r="AG60" i="8"/>
  <c r="AG61" i="8"/>
  <c r="AG62" i="8"/>
  <c r="AG63" i="8"/>
  <c r="AG64" i="8"/>
  <c r="AG65" i="8"/>
  <c r="AG4" i="8"/>
  <c r="AC4" i="8" s="1"/>
  <c r="AC19" i="8"/>
  <c r="AC20" i="8"/>
  <c r="AC21" i="8"/>
  <c r="AC22" i="8"/>
  <c r="AC23" i="8"/>
  <c r="AC24" i="8"/>
  <c r="AC25" i="8"/>
  <c r="AC26" i="8"/>
  <c r="AC27" i="8"/>
  <c r="AC28" i="8"/>
  <c r="AC29" i="8"/>
  <c r="AC30" i="8"/>
  <c r="AC31" i="8"/>
  <c r="AC32" i="8"/>
  <c r="AC33" i="8"/>
  <c r="AC34" i="8"/>
  <c r="AC35" i="8"/>
  <c r="AC36" i="8"/>
  <c r="AC37" i="8"/>
  <c r="AC38" i="8"/>
  <c r="AC39" i="8"/>
  <c r="AC40" i="8"/>
  <c r="AC41" i="8"/>
  <c r="AC42" i="8"/>
  <c r="AC43" i="8"/>
  <c r="AC44" i="8"/>
  <c r="AC45" i="8"/>
  <c r="AC46" i="8"/>
  <c r="AC47" i="8"/>
  <c r="AC48" i="8"/>
  <c r="AC49" i="8"/>
  <c r="AC50" i="8"/>
  <c r="AC51" i="8"/>
  <c r="AC52" i="8"/>
  <c r="AC53" i="8"/>
  <c r="AC54" i="8"/>
  <c r="AC55" i="8"/>
  <c r="AC56" i="8"/>
  <c r="AC57" i="8"/>
  <c r="AC58" i="8"/>
  <c r="AC59" i="8"/>
  <c r="AC60" i="8"/>
  <c r="AC61" i="8"/>
  <c r="AC62" i="8"/>
  <c r="AC63" i="8"/>
  <c r="AO48" i="8"/>
  <c r="AO49" i="8"/>
  <c r="AO50" i="8"/>
  <c r="AO51" i="8"/>
  <c r="AO52" i="8"/>
  <c r="AO53" i="8"/>
  <c r="AO54" i="8"/>
  <c r="AO55" i="8"/>
  <c r="AO56" i="8"/>
  <c r="AO57" i="8"/>
  <c r="AO58" i="8"/>
  <c r="AO59" i="8"/>
  <c r="AO60" i="8"/>
  <c r="AO61" i="8"/>
  <c r="AO62" i="8"/>
  <c r="AO63" i="8"/>
  <c r="AO64" i="8"/>
  <c r="AO65" i="8"/>
  <c r="AO66" i="8"/>
  <c r="AO67" i="8"/>
  <c r="AO68" i="8"/>
  <c r="BQ19" i="8"/>
  <c r="BQ20" i="8"/>
  <c r="BQ21" i="8"/>
  <c r="BQ22" i="8"/>
  <c r="BQ23" i="8"/>
  <c r="BQ24" i="8"/>
  <c r="BQ25" i="8"/>
  <c r="BQ26" i="8"/>
  <c r="BQ27" i="8"/>
  <c r="AK11" i="8"/>
  <c r="AK12" i="8"/>
  <c r="EO6" i="8"/>
  <c r="EK6" i="8"/>
  <c r="DU6" i="8"/>
  <c r="DI6" i="8"/>
  <c r="DI5" i="8"/>
  <c r="CW6" i="8"/>
  <c r="CW5" i="8"/>
  <c r="CS6" i="8"/>
  <c r="CK6" i="8"/>
  <c r="CC6" i="8"/>
  <c r="CC5" i="8"/>
  <c r="AW6" i="8"/>
  <c r="DY31" i="8"/>
  <c r="DY32" i="8"/>
  <c r="DY33" i="8"/>
  <c r="DY34" i="8"/>
  <c r="DY35" i="8"/>
  <c r="DY36" i="8"/>
  <c r="DY37" i="8"/>
  <c r="DY38" i="8"/>
  <c r="DY39" i="8"/>
  <c r="DY40" i="8"/>
  <c r="DY41" i="8"/>
  <c r="DY42" i="8"/>
  <c r="DY43" i="8"/>
  <c r="DY44" i="8"/>
  <c r="DY45" i="8"/>
  <c r="DY46" i="8"/>
  <c r="DY47" i="8"/>
  <c r="DY48" i="8"/>
  <c r="DY49" i="8"/>
  <c r="DY50" i="8"/>
  <c r="DY51" i="8"/>
  <c r="DY52" i="8"/>
  <c r="DY53" i="8"/>
  <c r="DY54" i="8"/>
  <c r="DY55" i="8"/>
  <c r="BU10" i="8"/>
  <c r="BU11" i="8"/>
  <c r="BU12" i="8"/>
  <c r="BU13" i="8"/>
  <c r="AC64" i="8"/>
  <c r="AC65" i="8"/>
  <c r="BY69" i="8"/>
  <c r="BY70" i="8"/>
  <c r="BY71" i="8"/>
  <c r="BY72" i="8"/>
  <c r="AG66" i="8"/>
  <c r="AG67" i="8"/>
  <c r="AG68" i="8"/>
  <c r="AG69" i="8"/>
  <c r="G8" i="8"/>
  <c r="AW8" i="8"/>
  <c r="CC8" i="8"/>
  <c r="CK8" i="8"/>
  <c r="CS8" i="8"/>
  <c r="CW8" i="8"/>
  <c r="DI8" i="8"/>
  <c r="DU8" i="8"/>
  <c r="EK8" i="8"/>
  <c r="EO8" i="8"/>
  <c r="AW9" i="8"/>
  <c r="CC9" i="8"/>
  <c r="CK9" i="8"/>
  <c r="CS9" i="8"/>
  <c r="CW9" i="8"/>
  <c r="DI9" i="8"/>
  <c r="DU9" i="8"/>
  <c r="EK9" i="8"/>
  <c r="EO9" i="8"/>
  <c r="G9" i="8"/>
  <c r="AW10" i="8"/>
  <c r="CC10" i="8"/>
  <c r="CK10" i="8"/>
  <c r="CS10" i="8"/>
  <c r="CW10" i="8"/>
  <c r="DI10" i="8"/>
  <c r="DU10" i="8"/>
  <c r="EK10" i="8"/>
  <c r="EO10" i="8"/>
  <c r="G10" i="8"/>
  <c r="AW11" i="8"/>
  <c r="CC11" i="8"/>
  <c r="CK11" i="8"/>
  <c r="CS11" i="8"/>
  <c r="CW11" i="8"/>
  <c r="DE11" i="8"/>
  <c r="DI11" i="8"/>
  <c r="DU11" i="8"/>
  <c r="EK11" i="8"/>
  <c r="EO11" i="8"/>
  <c r="AW12" i="8"/>
  <c r="CC12" i="8"/>
  <c r="CK12" i="8"/>
  <c r="CS12" i="8"/>
  <c r="CW12" i="8"/>
  <c r="DE12" i="8"/>
  <c r="DI12" i="8"/>
  <c r="DU12" i="8"/>
  <c r="EK12" i="8"/>
  <c r="EO12" i="8"/>
  <c r="BA46" i="8"/>
  <c r="BA47" i="8"/>
  <c r="BA48" i="8"/>
  <c r="BA49" i="8"/>
  <c r="BA50" i="8"/>
  <c r="BA51" i="8"/>
  <c r="BA52" i="8"/>
  <c r="BA53" i="8"/>
  <c r="BA54" i="8"/>
  <c r="BA55" i="8"/>
  <c r="BA56" i="8"/>
  <c r="BA57" i="8"/>
  <c r="BA58" i="8"/>
  <c r="BA59" i="8"/>
  <c r="BA60" i="8"/>
  <c r="BA61" i="8"/>
  <c r="BA62" i="8"/>
  <c r="BA63" i="8"/>
  <c r="BA64" i="8"/>
  <c r="BA65" i="8"/>
  <c r="BA66" i="8"/>
  <c r="BA67" i="8"/>
  <c r="BA68" i="8"/>
  <c r="BA69" i="8"/>
  <c r="BA70" i="8"/>
  <c r="BA71" i="8"/>
  <c r="DI71" i="8"/>
  <c r="DI70" i="8"/>
  <c r="DI69" i="8"/>
  <c r="DI68" i="8"/>
  <c r="DI67" i="8"/>
  <c r="DI66" i="8"/>
  <c r="DI65" i="8"/>
  <c r="DI64" i="8"/>
  <c r="DI63" i="8"/>
  <c r="DI62" i="8"/>
  <c r="DI61" i="8"/>
  <c r="DI60" i="8"/>
  <c r="DI59" i="8"/>
  <c r="DI58" i="8"/>
  <c r="DI57" i="8"/>
  <c r="DI56" i="8"/>
  <c r="DI55" i="8"/>
  <c r="DI54" i="8"/>
  <c r="DI53" i="8"/>
  <c r="DI52" i="8"/>
  <c r="DI51" i="8"/>
  <c r="DI50" i="8"/>
  <c r="DI49" i="8"/>
  <c r="DI48" i="8"/>
  <c r="DI47" i="8"/>
  <c r="DI46" i="8"/>
  <c r="DI45" i="8"/>
  <c r="DI44" i="8"/>
  <c r="DI43" i="8"/>
  <c r="DI42" i="8"/>
  <c r="DI41" i="8"/>
  <c r="DI40" i="8"/>
  <c r="DI39" i="8"/>
  <c r="DI38" i="8"/>
  <c r="DI37" i="8"/>
  <c r="DI36" i="8"/>
  <c r="DI35" i="8"/>
  <c r="DI34" i="8"/>
  <c r="DI33" i="8"/>
  <c r="DI32" i="8"/>
  <c r="DI31" i="8"/>
  <c r="DI30" i="8"/>
  <c r="DI29" i="8"/>
  <c r="DI28" i="8"/>
  <c r="DI27" i="8"/>
  <c r="DI26" i="8"/>
  <c r="DI25" i="8"/>
  <c r="DI24" i="8"/>
  <c r="DI23" i="8"/>
  <c r="DI22" i="8"/>
  <c r="DI21" i="8"/>
  <c r="DI20" i="8"/>
  <c r="DI19" i="8"/>
  <c r="DI18" i="8"/>
  <c r="DI17" i="8"/>
  <c r="DI16" i="8"/>
  <c r="DI15" i="8"/>
  <c r="DI14" i="8"/>
  <c r="DI13" i="8"/>
  <c r="DI7" i="8"/>
  <c r="EO71" i="8"/>
  <c r="EO70" i="8"/>
  <c r="EO69" i="8"/>
  <c r="EO68" i="8"/>
  <c r="EO67" i="8"/>
  <c r="EO66" i="8"/>
  <c r="EO65" i="8"/>
  <c r="EO64" i="8"/>
  <c r="EO63" i="8"/>
  <c r="EO62" i="8"/>
  <c r="EO61" i="8"/>
  <c r="EO60" i="8"/>
  <c r="EO59" i="8"/>
  <c r="EO58" i="8"/>
  <c r="EO57" i="8"/>
  <c r="EO56" i="8"/>
  <c r="EO55" i="8"/>
  <c r="EO54" i="8"/>
  <c r="EO53" i="8"/>
  <c r="EO52" i="8"/>
  <c r="EO51" i="8"/>
  <c r="EO50" i="8"/>
  <c r="EO49" i="8"/>
  <c r="EO48" i="8"/>
  <c r="EO47" i="8"/>
  <c r="EO46" i="8"/>
  <c r="EO45" i="8"/>
  <c r="EO44" i="8"/>
  <c r="EO43" i="8"/>
  <c r="EO42" i="8"/>
  <c r="EO41" i="8"/>
  <c r="EO40" i="8"/>
  <c r="EO39" i="8"/>
  <c r="EO38" i="8"/>
  <c r="EO37" i="8"/>
  <c r="EO36" i="8"/>
  <c r="EO35" i="8"/>
  <c r="EO34" i="8"/>
  <c r="EO33" i="8"/>
  <c r="EO32" i="8"/>
  <c r="EO31" i="8"/>
  <c r="EO30" i="8"/>
  <c r="EO29" i="8"/>
  <c r="EO28" i="8"/>
  <c r="EO27" i="8"/>
  <c r="EO26" i="8"/>
  <c r="EO25" i="8"/>
  <c r="EO24" i="8"/>
  <c r="EO23" i="8"/>
  <c r="EO22" i="8"/>
  <c r="EO21" i="8"/>
  <c r="EO20" i="8"/>
  <c r="EO19" i="8"/>
  <c r="EO18" i="8"/>
  <c r="EO17" i="8"/>
  <c r="EO16" i="8"/>
  <c r="EO15" i="8"/>
  <c r="EO14" i="8"/>
  <c r="EO13" i="8"/>
  <c r="EO7" i="8"/>
  <c r="EK71" i="8"/>
  <c r="EK70" i="8"/>
  <c r="EK69" i="8"/>
  <c r="EK68" i="8"/>
  <c r="EK67" i="8"/>
  <c r="EK66" i="8"/>
  <c r="EK65" i="8"/>
  <c r="EK64" i="8"/>
  <c r="EK63" i="8"/>
  <c r="EK62" i="8"/>
  <c r="EK61" i="8"/>
  <c r="EK60" i="8"/>
  <c r="EK59" i="8"/>
  <c r="EK58" i="8"/>
  <c r="EK57" i="8"/>
  <c r="EK56" i="8"/>
  <c r="EK55" i="8"/>
  <c r="EK54" i="8"/>
  <c r="EK53" i="8"/>
  <c r="EK52" i="8"/>
  <c r="EK51" i="8"/>
  <c r="EK50" i="8"/>
  <c r="EK49" i="8"/>
  <c r="EK48" i="8"/>
  <c r="EK47" i="8"/>
  <c r="EK46" i="8"/>
  <c r="EK45" i="8"/>
  <c r="EK44" i="8"/>
  <c r="EK43" i="8"/>
  <c r="EK42" i="8"/>
  <c r="EK41" i="8"/>
  <c r="EK40" i="8"/>
  <c r="EK39" i="8"/>
  <c r="EK38" i="8"/>
  <c r="EK37" i="8"/>
  <c r="EK36" i="8"/>
  <c r="EK35" i="8"/>
  <c r="EK34" i="8"/>
  <c r="EK33" i="8"/>
  <c r="EK32" i="8"/>
  <c r="EK31" i="8"/>
  <c r="EK30" i="8"/>
  <c r="EK29" i="8"/>
  <c r="EK28" i="8"/>
  <c r="EK27" i="8"/>
  <c r="EK26" i="8"/>
  <c r="EK25" i="8"/>
  <c r="EK24" i="8"/>
  <c r="EK23" i="8"/>
  <c r="EK22" i="8"/>
  <c r="EK21" i="8"/>
  <c r="EK20" i="8"/>
  <c r="EK19" i="8"/>
  <c r="EK18" i="8"/>
  <c r="EK17" i="8"/>
  <c r="EK16" i="8"/>
  <c r="EK15" i="8"/>
  <c r="EK14" i="8"/>
  <c r="EK13" i="8"/>
  <c r="EK7" i="8"/>
  <c r="G34" i="8"/>
  <c r="G33" i="8"/>
  <c r="J4" i="4"/>
  <c r="D18" i="12"/>
  <c r="Q63" i="4"/>
  <c r="Q59" i="4"/>
  <c r="Q34" i="4"/>
  <c r="Q11" i="4"/>
  <c r="Q47" i="4"/>
  <c r="Q33" i="4"/>
  <c r="Q74" i="4"/>
  <c r="G5" i="8"/>
  <c r="G6" i="8"/>
  <c r="G7" i="8"/>
  <c r="G12" i="8"/>
  <c r="G13" i="8"/>
  <c r="G14" i="8"/>
  <c r="G15" i="8"/>
  <c r="G16" i="8"/>
  <c r="G17" i="8"/>
  <c r="G18" i="8"/>
  <c r="G20" i="8"/>
  <c r="G21" i="8"/>
  <c r="G22" i="8"/>
  <c r="G23" i="8"/>
  <c r="G24" i="8"/>
  <c r="G25" i="8"/>
  <c r="G26" i="8"/>
  <c r="G29" i="8"/>
  <c r="G30" i="8"/>
  <c r="G31" i="8"/>
  <c r="G32" i="8"/>
  <c r="G4" i="8"/>
  <c r="DQ68" i="8"/>
  <c r="DQ69" i="8"/>
  <c r="DQ70" i="8"/>
  <c r="DQ71" i="8"/>
  <c r="DA62" i="8"/>
  <c r="DA63" i="8"/>
  <c r="DA64" i="8"/>
  <c r="DA65" i="8"/>
  <c r="DA66" i="8"/>
  <c r="DA67" i="8"/>
  <c r="DA68" i="8"/>
  <c r="DA69" i="8"/>
  <c r="DA70" i="8"/>
  <c r="DA71" i="8"/>
  <c r="BQ28" i="8"/>
  <c r="BQ29" i="8"/>
  <c r="BQ30" i="8"/>
  <c r="BQ31" i="8"/>
  <c r="BQ32" i="8"/>
  <c r="BQ33" i="8"/>
  <c r="BQ34" i="8"/>
  <c r="BQ35" i="8"/>
  <c r="BQ36" i="8"/>
  <c r="BQ37" i="8"/>
  <c r="BQ38" i="8"/>
  <c r="BQ39" i="8"/>
  <c r="BQ40" i="8"/>
  <c r="BQ41" i="8"/>
  <c r="BQ42" i="8"/>
  <c r="BQ43" i="8"/>
  <c r="BQ44" i="8"/>
  <c r="BQ45" i="8"/>
  <c r="BQ46" i="8"/>
  <c r="BQ47" i="8"/>
  <c r="BQ48" i="8"/>
  <c r="BQ49" i="8"/>
  <c r="BQ50" i="8"/>
  <c r="BQ51" i="8"/>
  <c r="BQ52" i="8"/>
  <c r="BQ53" i="8"/>
  <c r="BQ54" i="8"/>
  <c r="BQ55" i="8"/>
  <c r="BQ56" i="8"/>
  <c r="BQ57" i="8"/>
  <c r="BQ58" i="8"/>
  <c r="BQ59" i="8"/>
  <c r="BQ60" i="8"/>
  <c r="BQ61" i="8"/>
  <c r="BQ62" i="8"/>
  <c r="BQ63" i="8"/>
  <c r="BQ64" i="8"/>
  <c r="BQ65" i="8"/>
  <c r="BQ66" i="8"/>
  <c r="BQ67" i="8"/>
  <c r="BQ68" i="8"/>
  <c r="BQ69" i="8"/>
  <c r="BQ70" i="8"/>
  <c r="BQ71" i="8"/>
  <c r="BM67" i="8"/>
  <c r="BM68" i="8"/>
  <c r="BM69" i="8"/>
  <c r="BM70" i="8"/>
  <c r="BM71" i="8"/>
  <c r="BM72" i="8"/>
  <c r="AO69" i="8"/>
  <c r="AO70" i="8"/>
  <c r="AO71" i="8"/>
  <c r="AO72" i="8"/>
  <c r="AO73" i="8"/>
  <c r="AO74" i="8"/>
  <c r="AK13" i="8"/>
  <c r="AK14" i="8"/>
  <c r="AK15" i="8"/>
  <c r="AK16" i="8"/>
  <c r="AK17" i="8"/>
  <c r="AK18" i="8"/>
  <c r="AK19" i="8"/>
  <c r="AK20" i="8"/>
  <c r="AK21" i="8"/>
  <c r="AK22" i="8"/>
  <c r="AK23" i="8"/>
  <c r="AK24" i="8"/>
  <c r="AK25" i="8"/>
  <c r="AK26" i="8"/>
  <c r="AK27" i="8"/>
  <c r="AK28" i="8"/>
  <c r="AK29" i="8"/>
  <c r="AK30" i="8"/>
  <c r="AK31" i="8"/>
  <c r="AK32" i="8"/>
  <c r="AK33" i="8"/>
  <c r="AK34" i="8"/>
  <c r="AK35" i="8"/>
  <c r="AK36" i="8"/>
  <c r="AK37" i="8"/>
  <c r="AK38" i="8"/>
  <c r="AK39" i="8"/>
  <c r="AK40" i="8"/>
  <c r="AK41" i="8"/>
  <c r="AK42" i="8"/>
  <c r="AK43" i="8"/>
  <c r="AK44" i="8"/>
  <c r="AK45" i="8"/>
  <c r="AK46" i="8"/>
  <c r="AK47" i="8"/>
  <c r="AK48" i="8"/>
  <c r="AK49" i="8"/>
  <c r="AK50" i="8"/>
  <c r="AK51" i="8"/>
  <c r="AK52" i="8"/>
  <c r="AK53" i="8"/>
  <c r="AK54" i="8"/>
  <c r="AK55" i="8"/>
  <c r="AK56" i="8"/>
  <c r="AK57" i="8"/>
  <c r="AK58" i="8"/>
  <c r="AK59" i="8"/>
  <c r="AK60" i="8"/>
  <c r="AK61" i="8"/>
  <c r="AK62" i="8"/>
  <c r="AK63" i="8"/>
  <c r="AK64" i="8"/>
  <c r="AK65" i="8"/>
  <c r="AK66" i="8"/>
  <c r="AK67" i="8"/>
  <c r="AK68" i="8"/>
  <c r="AK69" i="8"/>
  <c r="AK70" i="8"/>
  <c r="AK71" i="8"/>
  <c r="AC66" i="8"/>
  <c r="AC67" i="8"/>
  <c r="AC68" i="8"/>
  <c r="AC69" i="8"/>
  <c r="AC70" i="8"/>
  <c r="AC71" i="8"/>
  <c r="Y38" i="8"/>
  <c r="Y39" i="8"/>
  <c r="Y40" i="8"/>
  <c r="Y41" i="8"/>
  <c r="Y42" i="8"/>
  <c r="Y43" i="8"/>
  <c r="Y44" i="8"/>
  <c r="Y45" i="8"/>
  <c r="Y46" i="8"/>
  <c r="Y47" i="8"/>
  <c r="Y48" i="8"/>
  <c r="Y49" i="8"/>
  <c r="Y50" i="8"/>
  <c r="Y51" i="8"/>
  <c r="Y52" i="8"/>
  <c r="Y53" i="8"/>
  <c r="Y54" i="8"/>
  <c r="Y55" i="8"/>
  <c r="Y56" i="8"/>
  <c r="Y57" i="8"/>
  <c r="Y58" i="8"/>
  <c r="Y59" i="8"/>
  <c r="Y60" i="8"/>
  <c r="Y61" i="8"/>
  <c r="Y62" i="8"/>
  <c r="Y63" i="8"/>
  <c r="Y64" i="8"/>
  <c r="Y65" i="8"/>
  <c r="Y66" i="8"/>
  <c r="Y67" i="8"/>
  <c r="Y68" i="8"/>
  <c r="Y69" i="8"/>
  <c r="Y70" i="8"/>
  <c r="Y71" i="8"/>
  <c r="AW15" i="8"/>
  <c r="EG68" i="8"/>
  <c r="EG69" i="8"/>
  <c r="EG70" i="8"/>
  <c r="EG71" i="8"/>
  <c r="EC62" i="8"/>
  <c r="EC63" i="8"/>
  <c r="EC64" i="8"/>
  <c r="EC65" i="8"/>
  <c r="EC66" i="8"/>
  <c r="EC67" i="8"/>
  <c r="EC68" i="8"/>
  <c r="EC69" i="8"/>
  <c r="EC70" i="8"/>
  <c r="EC71" i="8"/>
  <c r="DY56" i="8"/>
  <c r="DY57" i="8"/>
  <c r="DY58" i="8"/>
  <c r="DY59" i="8"/>
  <c r="DY60" i="8"/>
  <c r="DY61" i="8"/>
  <c r="DY62" i="8"/>
  <c r="DY63" i="8"/>
  <c r="DY64" i="8"/>
  <c r="DY65" i="8"/>
  <c r="DY66" i="8"/>
  <c r="DY67" i="8"/>
  <c r="DY68" i="8"/>
  <c r="DY69" i="8"/>
  <c r="DY70" i="8"/>
  <c r="DU7" i="8"/>
  <c r="DU13" i="8"/>
  <c r="DU14" i="8"/>
  <c r="DU15" i="8"/>
  <c r="DU16" i="8"/>
  <c r="DU17" i="8"/>
  <c r="DU18" i="8"/>
  <c r="DU19" i="8"/>
  <c r="DU20" i="8"/>
  <c r="DU21" i="8"/>
  <c r="DU22" i="8"/>
  <c r="DU23" i="8"/>
  <c r="DU24" i="8"/>
  <c r="DU25" i="8"/>
  <c r="DU26" i="8"/>
  <c r="DU27" i="8"/>
  <c r="DU28" i="8"/>
  <c r="DU29" i="8"/>
  <c r="DU30" i="8"/>
  <c r="DU31" i="8"/>
  <c r="DU32" i="8"/>
  <c r="DU33" i="8"/>
  <c r="DU34" i="8"/>
  <c r="DU35" i="8"/>
  <c r="DU36" i="8"/>
  <c r="DU37" i="8"/>
  <c r="DU38" i="8"/>
  <c r="DU39" i="8"/>
  <c r="DU40" i="8"/>
  <c r="DU41" i="8"/>
  <c r="DU42" i="8"/>
  <c r="DU43" i="8"/>
  <c r="DU44" i="8"/>
  <c r="DU45" i="8"/>
  <c r="DU46" i="8"/>
  <c r="DU47" i="8"/>
  <c r="DU48" i="8"/>
  <c r="DU49" i="8"/>
  <c r="DU50" i="8"/>
  <c r="DU51" i="8"/>
  <c r="DU52" i="8"/>
  <c r="DU53" i="8"/>
  <c r="DU54" i="8"/>
  <c r="DU55" i="8"/>
  <c r="DU56" i="8"/>
  <c r="DU57" i="8"/>
  <c r="DU58" i="8"/>
  <c r="DU59" i="8"/>
  <c r="DU60" i="8"/>
  <c r="DU61" i="8"/>
  <c r="DU62" i="8"/>
  <c r="DU63" i="8"/>
  <c r="DU64" i="8"/>
  <c r="DU65" i="8"/>
  <c r="DU66" i="8"/>
  <c r="DU67" i="8"/>
  <c r="DU68" i="8"/>
  <c r="DU69" i="8"/>
  <c r="DU70" i="8"/>
  <c r="DU71" i="8"/>
  <c r="DM66" i="8"/>
  <c r="DM67" i="8"/>
  <c r="DM68" i="8"/>
  <c r="DM69" i="8"/>
  <c r="DM70" i="8"/>
  <c r="DM71" i="8"/>
  <c r="DE13" i="8"/>
  <c r="DE14" i="8"/>
  <c r="DE15" i="8"/>
  <c r="DE16" i="8"/>
  <c r="DE17" i="8"/>
  <c r="DE18" i="8"/>
  <c r="DE19" i="8"/>
  <c r="DE20" i="8"/>
  <c r="DE21" i="8"/>
  <c r="DE22" i="8"/>
  <c r="DE23" i="8"/>
  <c r="DE24" i="8"/>
  <c r="DE25" i="8"/>
  <c r="DE26" i="8"/>
  <c r="DE27" i="8"/>
  <c r="DE28" i="8"/>
  <c r="DE29" i="8"/>
  <c r="DE30" i="8"/>
  <c r="DE31" i="8"/>
  <c r="DE32" i="8"/>
  <c r="DE33" i="8"/>
  <c r="DE34" i="8"/>
  <c r="DE35" i="8"/>
  <c r="DE36" i="8"/>
  <c r="DE37" i="8"/>
  <c r="DE38" i="8"/>
  <c r="DE39" i="8"/>
  <c r="DE40" i="8"/>
  <c r="DE41" i="8"/>
  <c r="DE42" i="8"/>
  <c r="DE43" i="8"/>
  <c r="DE44" i="8"/>
  <c r="DE45" i="8"/>
  <c r="DE46" i="8"/>
  <c r="DE47" i="8"/>
  <c r="DE48" i="8"/>
  <c r="DE49" i="8"/>
  <c r="DE50" i="8"/>
  <c r="DE51" i="8"/>
  <c r="DE52" i="8"/>
  <c r="DE53" i="8"/>
  <c r="DE54" i="8"/>
  <c r="DE55" i="8"/>
  <c r="DE56" i="8"/>
  <c r="DE57" i="8"/>
  <c r="DE58" i="8"/>
  <c r="DE59" i="8"/>
  <c r="DE60" i="8"/>
  <c r="DE61" i="8"/>
  <c r="DE62" i="8"/>
  <c r="DE63" i="8"/>
  <c r="DE64" i="8"/>
  <c r="DE65" i="8"/>
  <c r="DE66" i="8"/>
  <c r="DE67" i="8"/>
  <c r="DE68" i="8"/>
  <c r="DE69" i="8"/>
  <c r="DE70" i="8"/>
  <c r="DE71" i="8"/>
  <c r="CW7" i="8"/>
  <c r="CW13" i="8"/>
  <c r="CW14" i="8"/>
  <c r="CW15" i="8"/>
  <c r="CW16" i="8"/>
  <c r="CW17" i="8"/>
  <c r="CW18" i="8"/>
  <c r="CW19" i="8"/>
  <c r="CW20" i="8"/>
  <c r="CW21" i="8"/>
  <c r="CW22" i="8"/>
  <c r="CW23" i="8"/>
  <c r="CW24" i="8"/>
  <c r="CW25" i="8"/>
  <c r="CW26" i="8"/>
  <c r="CW27" i="8"/>
  <c r="CW28" i="8"/>
  <c r="CW29" i="8"/>
  <c r="CW30" i="8"/>
  <c r="CW31" i="8"/>
  <c r="CW32" i="8"/>
  <c r="CW33" i="8"/>
  <c r="CW34" i="8"/>
  <c r="CW35" i="8"/>
  <c r="CW36" i="8"/>
  <c r="CW37" i="8"/>
  <c r="CW38" i="8"/>
  <c r="CW39" i="8"/>
  <c r="CW40" i="8"/>
  <c r="CW41" i="8"/>
  <c r="CW42" i="8"/>
  <c r="CW43" i="8"/>
  <c r="CW44" i="8"/>
  <c r="CW45" i="8"/>
  <c r="CW46" i="8"/>
  <c r="CW47" i="8"/>
  <c r="CW48" i="8"/>
  <c r="CW49" i="8"/>
  <c r="CW50" i="8"/>
  <c r="CW51" i="8"/>
  <c r="CW52" i="8"/>
  <c r="CW53" i="8"/>
  <c r="CW54" i="8"/>
  <c r="CW55" i="8"/>
  <c r="CW56" i="8"/>
  <c r="CW57" i="8"/>
  <c r="CW58" i="8"/>
  <c r="CW59" i="8"/>
  <c r="CW60" i="8"/>
  <c r="CW61" i="8"/>
  <c r="CW62" i="8"/>
  <c r="CW63" i="8"/>
  <c r="CW64" i="8"/>
  <c r="CW65" i="8"/>
  <c r="CW66" i="8"/>
  <c r="CW67" i="8"/>
  <c r="CW68" i="8"/>
  <c r="CW69" i="8"/>
  <c r="CW70" i="8"/>
  <c r="CW71" i="8"/>
  <c r="CS7" i="8"/>
  <c r="CS13" i="8"/>
  <c r="CS14" i="8"/>
  <c r="CS15" i="8"/>
  <c r="CS16" i="8"/>
  <c r="CS17" i="8"/>
  <c r="CS18" i="8"/>
  <c r="CS19" i="8"/>
  <c r="CS20" i="8"/>
  <c r="CS21" i="8"/>
  <c r="CS22" i="8"/>
  <c r="CS23" i="8"/>
  <c r="CS24" i="8"/>
  <c r="CS25" i="8"/>
  <c r="CS26" i="8"/>
  <c r="CS27" i="8"/>
  <c r="CS28" i="8"/>
  <c r="CS29" i="8"/>
  <c r="CS30" i="8"/>
  <c r="CS31" i="8"/>
  <c r="CS32" i="8"/>
  <c r="CS33" i="8"/>
  <c r="CS34" i="8"/>
  <c r="CS35" i="8"/>
  <c r="CS36" i="8"/>
  <c r="CS37" i="8"/>
  <c r="CS38" i="8"/>
  <c r="CS39" i="8"/>
  <c r="CS40" i="8"/>
  <c r="CS41" i="8"/>
  <c r="CS42" i="8"/>
  <c r="CS43" i="8"/>
  <c r="CS44" i="8"/>
  <c r="CS45" i="8"/>
  <c r="CS46" i="8"/>
  <c r="CS47" i="8"/>
  <c r="CS48" i="8"/>
  <c r="CS49" i="8"/>
  <c r="CS50" i="8"/>
  <c r="CS51" i="8"/>
  <c r="CS52" i="8"/>
  <c r="CS53" i="8"/>
  <c r="CS54" i="8"/>
  <c r="CS55" i="8"/>
  <c r="CS56" i="8"/>
  <c r="CS57" i="8"/>
  <c r="CS58" i="8"/>
  <c r="CS59" i="8"/>
  <c r="CS60" i="8"/>
  <c r="CS61" i="8"/>
  <c r="CS62" i="8"/>
  <c r="CS63" i="8"/>
  <c r="CS64" i="8"/>
  <c r="CS65" i="8"/>
  <c r="CS66" i="8"/>
  <c r="CS67" i="8"/>
  <c r="CS68" i="8"/>
  <c r="CS69" i="8"/>
  <c r="CS70" i="8"/>
  <c r="CS71" i="8"/>
  <c r="CO16" i="8"/>
  <c r="CO17" i="8"/>
  <c r="CO18" i="8"/>
  <c r="CO19" i="8"/>
  <c r="CO20" i="8"/>
  <c r="CO21" i="8"/>
  <c r="CO22" i="8"/>
  <c r="CO23" i="8"/>
  <c r="CO24" i="8"/>
  <c r="CO25" i="8"/>
  <c r="CO26" i="8"/>
  <c r="CO27" i="8"/>
  <c r="CO28" i="8"/>
  <c r="CO29" i="8"/>
  <c r="CO30" i="8"/>
  <c r="CO31" i="8"/>
  <c r="CO32" i="8"/>
  <c r="CO33" i="8"/>
  <c r="CO34" i="8"/>
  <c r="CO35" i="8"/>
  <c r="CO36" i="8"/>
  <c r="CO37" i="8"/>
  <c r="CO38" i="8"/>
  <c r="CO39" i="8"/>
  <c r="CO40" i="8"/>
  <c r="CO41" i="8"/>
  <c r="CO42" i="8"/>
  <c r="CO43" i="8"/>
  <c r="CO44" i="8"/>
  <c r="CO45" i="8"/>
  <c r="CO46" i="8"/>
  <c r="CO47" i="8"/>
  <c r="CO48" i="8"/>
  <c r="CO49" i="8"/>
  <c r="CO50" i="8"/>
  <c r="CO51" i="8"/>
  <c r="CO52" i="8"/>
  <c r="CO53" i="8"/>
  <c r="CO54" i="8"/>
  <c r="CO55" i="8"/>
  <c r="CO56" i="8"/>
  <c r="CO57" i="8"/>
  <c r="CO58" i="8"/>
  <c r="CO59" i="8"/>
  <c r="CO60" i="8"/>
  <c r="CO61" i="8"/>
  <c r="CO62" i="8"/>
  <c r="CO63" i="8"/>
  <c r="CO64" i="8"/>
  <c r="CO65" i="8"/>
  <c r="CO66" i="8"/>
  <c r="CO67" i="8"/>
  <c r="CO68" i="8"/>
  <c r="CO69" i="8"/>
  <c r="CO70" i="8"/>
  <c r="CO71" i="8"/>
  <c r="CK7" i="8"/>
  <c r="CK13" i="8"/>
  <c r="CK14" i="8"/>
  <c r="CK15" i="8"/>
  <c r="CK16" i="8"/>
  <c r="CK17" i="8"/>
  <c r="CK18" i="8"/>
  <c r="CK19" i="8"/>
  <c r="CK20" i="8"/>
  <c r="CK21" i="8"/>
  <c r="CK22" i="8"/>
  <c r="CK23" i="8"/>
  <c r="CK24" i="8"/>
  <c r="CK25" i="8"/>
  <c r="CK26" i="8"/>
  <c r="CK27" i="8"/>
  <c r="CK28" i="8"/>
  <c r="CK29" i="8"/>
  <c r="CK30" i="8"/>
  <c r="CK31" i="8"/>
  <c r="CK32" i="8"/>
  <c r="CK33" i="8"/>
  <c r="CK34" i="8"/>
  <c r="CK35" i="8"/>
  <c r="CK36" i="8"/>
  <c r="CK37" i="8"/>
  <c r="CK38" i="8"/>
  <c r="CK39" i="8"/>
  <c r="CK40" i="8"/>
  <c r="CK41" i="8"/>
  <c r="CK42" i="8"/>
  <c r="CK43" i="8"/>
  <c r="CK44" i="8"/>
  <c r="CK45" i="8"/>
  <c r="CK46" i="8"/>
  <c r="CK47" i="8"/>
  <c r="CK48" i="8"/>
  <c r="CK49" i="8"/>
  <c r="CK50" i="8"/>
  <c r="CK51" i="8"/>
  <c r="CK52" i="8"/>
  <c r="CK53" i="8"/>
  <c r="CK54" i="8"/>
  <c r="CK55" i="8"/>
  <c r="CK56" i="8"/>
  <c r="CK57" i="8"/>
  <c r="CK58" i="8"/>
  <c r="CK59" i="8"/>
  <c r="CK60" i="8"/>
  <c r="CK61" i="8"/>
  <c r="CK62" i="8"/>
  <c r="CK63" i="8"/>
  <c r="CK64" i="8"/>
  <c r="CK65" i="8"/>
  <c r="CK66" i="8"/>
  <c r="CK67" i="8"/>
  <c r="CK68" i="8"/>
  <c r="CK69" i="8"/>
  <c r="CK70" i="8"/>
  <c r="CK71" i="8"/>
  <c r="CG23" i="8"/>
  <c r="CG24" i="8"/>
  <c r="CG25" i="8"/>
  <c r="CG26" i="8"/>
  <c r="CG27" i="8"/>
  <c r="CG28" i="8"/>
  <c r="CG29" i="8"/>
  <c r="CG30" i="8"/>
  <c r="CG31" i="8"/>
  <c r="CG32" i="8"/>
  <c r="CG33" i="8"/>
  <c r="CG34" i="8"/>
  <c r="CG35" i="8"/>
  <c r="CG36" i="8"/>
  <c r="CG37" i="8"/>
  <c r="CG38" i="8"/>
  <c r="CG39" i="8"/>
  <c r="CG40" i="8"/>
  <c r="CG41" i="8"/>
  <c r="CG42" i="8"/>
  <c r="CG43" i="8"/>
  <c r="CG44" i="8"/>
  <c r="CG45" i="8"/>
  <c r="CG46" i="8"/>
  <c r="CG47" i="8"/>
  <c r="CG48" i="8"/>
  <c r="CG49" i="8"/>
  <c r="CG50" i="8"/>
  <c r="CG51" i="8"/>
  <c r="CG52" i="8"/>
  <c r="CG53" i="8"/>
  <c r="CG54" i="8"/>
  <c r="CG55" i="8"/>
  <c r="CG56" i="8"/>
  <c r="CG57" i="8"/>
  <c r="CG58" i="8"/>
  <c r="CG59" i="8"/>
  <c r="CG60" i="8"/>
  <c r="CG61" i="8"/>
  <c r="CG62" i="8"/>
  <c r="CG63" i="8"/>
  <c r="CG64" i="8"/>
  <c r="CG65" i="8"/>
  <c r="CG66" i="8"/>
  <c r="CG67" i="8"/>
  <c r="CG68" i="8"/>
  <c r="CG69" i="8"/>
  <c r="CG70" i="8"/>
  <c r="CG71" i="8"/>
  <c r="CC7" i="8"/>
  <c r="CC13" i="8"/>
  <c r="CC14" i="8"/>
  <c r="CC15" i="8"/>
  <c r="CC16" i="8"/>
  <c r="CC17" i="8"/>
  <c r="CC18" i="8"/>
  <c r="CC19" i="8"/>
  <c r="CC20" i="8"/>
  <c r="CC21" i="8"/>
  <c r="CC22" i="8"/>
  <c r="CC23" i="8"/>
  <c r="CC24" i="8"/>
  <c r="CC25" i="8"/>
  <c r="CC26" i="8"/>
  <c r="CC27" i="8"/>
  <c r="CC28" i="8"/>
  <c r="CC29" i="8"/>
  <c r="CC30" i="8"/>
  <c r="CC31" i="8"/>
  <c r="CC32" i="8"/>
  <c r="CC33" i="8"/>
  <c r="CC34" i="8"/>
  <c r="CC35" i="8"/>
  <c r="CC36" i="8"/>
  <c r="CC37" i="8"/>
  <c r="CC38" i="8"/>
  <c r="CC39" i="8"/>
  <c r="CC40" i="8"/>
  <c r="CC41" i="8"/>
  <c r="CC42" i="8"/>
  <c r="CC43" i="8"/>
  <c r="CC44" i="8"/>
  <c r="CC45" i="8"/>
  <c r="CC46" i="8"/>
  <c r="CC47" i="8"/>
  <c r="CC48" i="8"/>
  <c r="CC49" i="8"/>
  <c r="CC50" i="8"/>
  <c r="CC51" i="8"/>
  <c r="CC52" i="8"/>
  <c r="CC53" i="8"/>
  <c r="CC54" i="8"/>
  <c r="CC55" i="8"/>
  <c r="CC56" i="8"/>
  <c r="CC57" i="8"/>
  <c r="CC58" i="8"/>
  <c r="CC59" i="8"/>
  <c r="CC60" i="8"/>
  <c r="CC61" i="8"/>
  <c r="CC62" i="8"/>
  <c r="CC63" i="8"/>
  <c r="CC64" i="8"/>
  <c r="CC65" i="8"/>
  <c r="CC66" i="8"/>
  <c r="CC67" i="8"/>
  <c r="CC68" i="8"/>
  <c r="CC69" i="8"/>
  <c r="CC70" i="8"/>
  <c r="CC71" i="8"/>
  <c r="BU14" i="8"/>
  <c r="BU15" i="8"/>
  <c r="BU16" i="8"/>
  <c r="BU17" i="8"/>
  <c r="BU18" i="8"/>
  <c r="BU19" i="8"/>
  <c r="BU20" i="8"/>
  <c r="BU21" i="8"/>
  <c r="BU22" i="8"/>
  <c r="BU23" i="8"/>
  <c r="BU24" i="8"/>
  <c r="BU25" i="8"/>
  <c r="BU26" i="8"/>
  <c r="BU27" i="8"/>
  <c r="BU28" i="8"/>
  <c r="BU29" i="8"/>
  <c r="BU30" i="8"/>
  <c r="BU31" i="8"/>
  <c r="BU32" i="8"/>
  <c r="BU33" i="8"/>
  <c r="BU34" i="8"/>
  <c r="BU35" i="8"/>
  <c r="BU36" i="8"/>
  <c r="BU37" i="8"/>
  <c r="BU38" i="8"/>
  <c r="BU39" i="8"/>
  <c r="BU40" i="8"/>
  <c r="BU41" i="8"/>
  <c r="BU42" i="8"/>
  <c r="BU43" i="8"/>
  <c r="BU44" i="8"/>
  <c r="BU45" i="8"/>
  <c r="BU46" i="8"/>
  <c r="BU47" i="8"/>
  <c r="BU48" i="8"/>
  <c r="BU49" i="8"/>
  <c r="BU50" i="8"/>
  <c r="BU51" i="8"/>
  <c r="BU52" i="8"/>
  <c r="BU53" i="8"/>
  <c r="BU54" i="8"/>
  <c r="BU55" i="8"/>
  <c r="BU56" i="8"/>
  <c r="BU57" i="8"/>
  <c r="BU58" i="8"/>
  <c r="BU59" i="8"/>
  <c r="BU60" i="8"/>
  <c r="BU61" i="8"/>
  <c r="BU62" i="8"/>
  <c r="BU63" i="8"/>
  <c r="BU64" i="8"/>
  <c r="BU65" i="8"/>
  <c r="BU66" i="8"/>
  <c r="BU67" i="8"/>
  <c r="BU68" i="8"/>
  <c r="BU69" i="8"/>
  <c r="BU70" i="8"/>
  <c r="BU71" i="8"/>
  <c r="BI60" i="8"/>
  <c r="BI61" i="8"/>
  <c r="BI62" i="8"/>
  <c r="BI63" i="8"/>
  <c r="BI64" i="8"/>
  <c r="BI65" i="8"/>
  <c r="BI66" i="8"/>
  <c r="BI67" i="8"/>
  <c r="BI68" i="8"/>
  <c r="BI69" i="8"/>
  <c r="BI70" i="8"/>
  <c r="BI71" i="8"/>
  <c r="BE65" i="8"/>
  <c r="BE66" i="8"/>
  <c r="BE67" i="8"/>
  <c r="BE68" i="8"/>
  <c r="BE69" i="8"/>
  <c r="BE70" i="8"/>
  <c r="BE71" i="8"/>
  <c r="BE72" i="8"/>
  <c r="AW7" i="8"/>
  <c r="AW13" i="8"/>
  <c r="AW14" i="8"/>
  <c r="AW16" i="8"/>
  <c r="AW17" i="8"/>
  <c r="AW18" i="8"/>
  <c r="AW19" i="8"/>
  <c r="AW20" i="8"/>
  <c r="AW21" i="8"/>
  <c r="AW22" i="8"/>
  <c r="AW23" i="8"/>
  <c r="AW24" i="8"/>
  <c r="AW25" i="8"/>
  <c r="AW26" i="8"/>
  <c r="AW27" i="8"/>
  <c r="AW28" i="8"/>
  <c r="AW29" i="8"/>
  <c r="AW30" i="8"/>
  <c r="AW31" i="8"/>
  <c r="AW32" i="8"/>
  <c r="AW33" i="8"/>
  <c r="AW34" i="8"/>
  <c r="AW35" i="8"/>
  <c r="AW36" i="8"/>
  <c r="AW37" i="8"/>
  <c r="AW38" i="8"/>
  <c r="AW39" i="8"/>
  <c r="AW40" i="8"/>
  <c r="AW41" i="8"/>
  <c r="AW42" i="8"/>
  <c r="AW43" i="8"/>
  <c r="AW44" i="8"/>
  <c r="AW45" i="8"/>
  <c r="AW46" i="8"/>
  <c r="AW47" i="8"/>
  <c r="AW48" i="8"/>
  <c r="AW49" i="8"/>
  <c r="AW50" i="8"/>
  <c r="AW51" i="8"/>
  <c r="AW52" i="8"/>
  <c r="AW53" i="8"/>
  <c r="AW54" i="8"/>
  <c r="AW55" i="8"/>
  <c r="AW56" i="8"/>
  <c r="AW57" i="8"/>
  <c r="AW58" i="8"/>
  <c r="AW59" i="8"/>
  <c r="AW60" i="8"/>
  <c r="AW61" i="8"/>
  <c r="AW62" i="8"/>
  <c r="AW63" i="8"/>
  <c r="AW64" i="8"/>
  <c r="AW65" i="8"/>
  <c r="AW66" i="8"/>
  <c r="AW67" i="8"/>
  <c r="AW68" i="8"/>
  <c r="AW69" i="8"/>
  <c r="AW70" i="8"/>
  <c r="AW71" i="8"/>
  <c r="AS36" i="8"/>
  <c r="AS37" i="8"/>
  <c r="AS38" i="8"/>
  <c r="AS39" i="8"/>
  <c r="AS40" i="8"/>
  <c r="AS41" i="8"/>
  <c r="AS42" i="8"/>
  <c r="AS43" i="8"/>
  <c r="AS44" i="8"/>
  <c r="AS45" i="8"/>
  <c r="AS46" i="8"/>
  <c r="AS47" i="8"/>
  <c r="AS48" i="8"/>
  <c r="AS49" i="8"/>
  <c r="AS50" i="8"/>
  <c r="AS51" i="8"/>
  <c r="AS52" i="8"/>
  <c r="AS53" i="8"/>
  <c r="AS54" i="8"/>
  <c r="AS55" i="8"/>
  <c r="AS56" i="8"/>
  <c r="AS57" i="8"/>
  <c r="AS58" i="8"/>
  <c r="AS59" i="8"/>
  <c r="AS60" i="8"/>
  <c r="AS61" i="8"/>
  <c r="AS62" i="8"/>
  <c r="AS63" i="8"/>
  <c r="AS64" i="8"/>
  <c r="AS65" i="8"/>
  <c r="AS66" i="8"/>
  <c r="AS67" i="8"/>
  <c r="AS68" i="8"/>
  <c r="AS69" i="8"/>
  <c r="AS70" i="8"/>
  <c r="AS71" i="8"/>
  <c r="J21" i="11"/>
  <c r="D4" i="6"/>
  <c r="D6" i="6" s="1"/>
  <c r="E4" i="6"/>
  <c r="B4" i="6"/>
  <c r="D63" i="6" s="1"/>
  <c r="H63" i="6" s="1"/>
  <c r="C29" i="11"/>
  <c r="C28" i="11"/>
  <c r="K17" i="11"/>
  <c r="H2" i="3"/>
  <c r="G6" i="4"/>
  <c r="E2" i="3"/>
  <c r="D2" i="3"/>
  <c r="I2" i="3" s="1"/>
  <c r="E8" i="6"/>
  <c r="H8" i="6"/>
  <c r="G10" i="4"/>
  <c r="I10" i="4"/>
  <c r="F10" i="4"/>
  <c r="I85" i="4"/>
  <c r="I18" i="4"/>
  <c r="M4" i="4"/>
  <c r="L5" i="4" s="1"/>
  <c r="G78" i="4"/>
  <c r="I78" i="4"/>
  <c r="B6" i="6"/>
  <c r="C6" i="6" s="1"/>
  <c r="Q82" i="4"/>
  <c r="Q75" i="4"/>
  <c r="Q32" i="4"/>
  <c r="Q52" i="4"/>
  <c r="Q37" i="4"/>
  <c r="Q42" i="4"/>
  <c r="Q25" i="4"/>
  <c r="Q19" i="4"/>
  <c r="H82" i="4"/>
  <c r="N43" i="11" s="1"/>
  <c r="H49" i="4"/>
  <c r="I49" i="4" s="1"/>
  <c r="H32" i="4" l="1"/>
  <c r="I32" i="4" s="1"/>
  <c r="H68" i="4"/>
  <c r="I68" i="4" s="1"/>
  <c r="H55" i="4"/>
  <c r="I55" i="4" s="1"/>
  <c r="H77" i="4"/>
  <c r="I77" i="4" s="1"/>
  <c r="H40" i="4"/>
  <c r="I40" i="4" s="1"/>
  <c r="H25" i="4"/>
  <c r="I25" i="4" s="1"/>
  <c r="D17" i="6"/>
  <c r="H17" i="6" s="1"/>
  <c r="H27" i="4"/>
  <c r="H67" i="4"/>
  <c r="I67" i="4" s="1"/>
  <c r="D32" i="6"/>
  <c r="H32" i="6" s="1"/>
  <c r="H26" i="4"/>
  <c r="H29" i="4"/>
  <c r="I29" i="4" s="1"/>
  <c r="D38" i="6"/>
  <c r="H38" i="6" s="1"/>
  <c r="D45" i="6"/>
  <c r="H45" i="6" s="1"/>
  <c r="H84" i="4"/>
  <c r="I84" i="4" s="1"/>
  <c r="I82" i="4"/>
  <c r="H48" i="4"/>
  <c r="I48" i="4" s="1"/>
  <c r="H62" i="4"/>
  <c r="I62" i="4" s="1"/>
  <c r="H17" i="4"/>
  <c r="I17" i="4" s="1"/>
  <c r="H86" i="4"/>
  <c r="I86" i="4" s="1"/>
  <c r="H51" i="4"/>
  <c r="I51" i="4" s="1"/>
  <c r="H45" i="4"/>
  <c r="I45" i="4" s="1"/>
  <c r="H63" i="4"/>
  <c r="I63" i="4" s="1"/>
  <c r="H37" i="4"/>
  <c r="I37" i="4" s="1"/>
  <c r="H54" i="4"/>
  <c r="I54" i="4" s="1"/>
  <c r="D50" i="6"/>
  <c r="H50" i="6" s="1"/>
  <c r="C6" i="4"/>
  <c r="H28" i="4"/>
  <c r="I28" i="4" s="1"/>
  <c r="H11" i="4"/>
  <c r="I11" i="4" s="1"/>
  <c r="H12" i="4"/>
  <c r="I12" i="4" s="1"/>
  <c r="H16" i="4"/>
  <c r="I16" i="4" s="1"/>
  <c r="H46" i="4"/>
  <c r="I46" i="4" s="1"/>
  <c r="H56" i="4"/>
  <c r="I56" i="4" s="1"/>
  <c r="H36" i="4"/>
  <c r="I36" i="4" s="1"/>
  <c r="H50" i="4"/>
  <c r="I50" i="4" s="1"/>
  <c r="H69" i="4"/>
  <c r="I69" i="4" s="1"/>
  <c r="H60" i="4"/>
  <c r="I60" i="4" s="1"/>
  <c r="H71" i="4"/>
  <c r="I71" i="4" s="1"/>
  <c r="H33" i="4"/>
  <c r="I33" i="4" s="1"/>
  <c r="Q68" i="4"/>
  <c r="E68" i="4" s="1"/>
  <c r="Q71" i="4"/>
  <c r="D19" i="6"/>
  <c r="H19" i="6" s="1"/>
  <c r="H53" i="4"/>
  <c r="I53" i="4" s="1"/>
  <c r="H59" i="4"/>
  <c r="I59" i="4" s="1"/>
  <c r="Q60" i="4"/>
  <c r="Q17" i="4"/>
  <c r="H24" i="4"/>
  <c r="I24" i="4" s="1"/>
  <c r="C2" i="3"/>
  <c r="F20" i="3" s="1"/>
  <c r="D11" i="6"/>
  <c r="H11" i="6" s="1"/>
  <c r="D20" i="6"/>
  <c r="H20" i="6" s="1"/>
  <c r="F2" i="3"/>
  <c r="G2" i="3" s="1"/>
  <c r="D37" i="6"/>
  <c r="H37" i="6" s="1"/>
  <c r="D39" i="6"/>
  <c r="H39" i="6" s="1"/>
  <c r="D33" i="6"/>
  <c r="H33" i="6" s="1"/>
  <c r="D28" i="6"/>
  <c r="H28" i="6" s="1"/>
  <c r="D12" i="6"/>
  <c r="H12" i="6" s="1"/>
  <c r="E14" i="11"/>
  <c r="D24" i="6"/>
  <c r="H24" i="6" s="1"/>
  <c r="D62" i="6"/>
  <c r="H62" i="6" s="1"/>
  <c r="D47" i="6"/>
  <c r="H47" i="6" s="1"/>
  <c r="D58" i="6"/>
  <c r="H58" i="6" s="1"/>
  <c r="D59" i="6"/>
  <c r="H59" i="6" s="1"/>
  <c r="D53" i="6"/>
  <c r="H53" i="6" s="1"/>
  <c r="D48" i="6"/>
  <c r="H48" i="6" s="1"/>
  <c r="D9" i="6"/>
  <c r="H9" i="6" s="1"/>
  <c r="C15" i="11"/>
  <c r="C14" i="11" s="1"/>
  <c r="J31" i="11" s="1"/>
  <c r="D25" i="6"/>
  <c r="H25" i="6" s="1"/>
  <c r="D26" i="6"/>
  <c r="H26" i="6" s="1"/>
  <c r="Q86" i="4"/>
  <c r="Q43" i="4"/>
  <c r="Q79" i="4"/>
  <c r="Q12" i="4"/>
  <c r="Q57" i="4"/>
  <c r="Q46" i="4"/>
  <c r="Q24" i="4"/>
  <c r="Q49" i="4"/>
  <c r="Q23" i="4"/>
  <c r="Q69" i="4"/>
  <c r="Q27" i="4"/>
  <c r="Q38" i="4"/>
  <c r="Q56" i="4"/>
  <c r="Q18" i="4"/>
  <c r="Q28" i="4"/>
  <c r="Q55" i="4"/>
  <c r="Q13" i="4"/>
  <c r="Q73" i="4"/>
  <c r="Q29" i="4"/>
  <c r="Q54" i="4"/>
  <c r="Q72" i="4"/>
  <c r="Q41" i="4"/>
  <c r="Q53" i="4"/>
  <c r="Q15" i="4"/>
  <c r="Q81" i="4"/>
  <c r="Q40" i="4"/>
  <c r="Q70" i="4"/>
  <c r="Q84" i="4"/>
  <c r="Q39" i="4"/>
  <c r="Q51" i="4"/>
  <c r="Q22" i="4"/>
  <c r="Q31" i="4"/>
  <c r="Q62" i="4"/>
  <c r="Q67" i="4"/>
  <c r="Q26" i="4"/>
  <c r="Q66" i="4"/>
  <c r="Q78" i="4"/>
  <c r="Q85" i="4"/>
  <c r="Q30" i="4"/>
  <c r="Q16" i="4"/>
  <c r="Q44" i="4"/>
  <c r="Q20" i="4"/>
  <c r="Q64" i="4"/>
  <c r="Q48" i="4"/>
  <c r="Q14" i="4"/>
  <c r="Q21" i="4"/>
  <c r="Q61" i="4"/>
  <c r="F6" i="6"/>
  <c r="D30" i="6" s="1"/>
  <c r="H30" i="6" s="1"/>
  <c r="Q45" i="4"/>
  <c r="Q83" i="4"/>
  <c r="Q77" i="4"/>
  <c r="Q36" i="4"/>
  <c r="Q58" i="4"/>
  <c r="Q80" i="4"/>
  <c r="Q35" i="4"/>
  <c r="Q50" i="4"/>
  <c r="Q65" i="4"/>
  <c r="D36" i="6"/>
  <c r="H36" i="6" s="1"/>
  <c r="H21" i="4"/>
  <c r="I21" i="4" s="1"/>
  <c r="H72" i="4"/>
  <c r="I72" i="4" s="1"/>
  <c r="H41" i="4"/>
  <c r="I41" i="4" s="1"/>
  <c r="H76" i="4"/>
  <c r="I76" i="4" s="1"/>
  <c r="H14" i="4"/>
  <c r="I14" i="4" s="1"/>
  <c r="H30" i="4"/>
  <c r="I30" i="4" s="1"/>
  <c r="H65" i="4"/>
  <c r="I65" i="4" s="1"/>
  <c r="H22" i="4"/>
  <c r="I22" i="4" s="1"/>
  <c r="H20" i="4"/>
  <c r="I20" i="4" s="1"/>
  <c r="H44" i="4"/>
  <c r="I44" i="4" s="1"/>
  <c r="H13" i="4"/>
  <c r="I13" i="4" s="1"/>
  <c r="H15" i="4"/>
  <c r="I15" i="4" s="1"/>
  <c r="H19" i="4"/>
  <c r="I19" i="4" s="1"/>
  <c r="H81" i="4"/>
  <c r="I81" i="4" s="1"/>
  <c r="H31" i="4"/>
  <c r="I31" i="4" s="1"/>
  <c r="H80" i="4"/>
  <c r="I80" i="4" s="1"/>
  <c r="H75" i="4"/>
  <c r="I75" i="4" s="1"/>
  <c r="H70" i="4"/>
  <c r="I70" i="4" s="1"/>
  <c r="H66" i="4"/>
  <c r="I66" i="4" s="1"/>
  <c r="H58" i="4"/>
  <c r="I58" i="4" s="1"/>
  <c r="H43" i="4"/>
  <c r="I43" i="4" s="1"/>
  <c r="H39" i="4"/>
  <c r="I39" i="4" s="1"/>
  <c r="H35" i="4"/>
  <c r="I35" i="4" s="1"/>
  <c r="H23" i="4"/>
  <c r="I23" i="4" s="1"/>
  <c r="H52" i="4"/>
  <c r="I52" i="4" s="1"/>
  <c r="H73" i="4"/>
  <c r="I73" i="4" s="1"/>
  <c r="D40" i="6"/>
  <c r="H40" i="6" s="1"/>
  <c r="K14" i="11"/>
  <c r="E20" i="4"/>
  <c r="G20" i="4" s="1"/>
  <c r="E23" i="4"/>
  <c r="G23" i="4" s="1"/>
  <c r="F10" i="3"/>
  <c r="D10" i="6"/>
  <c r="H10" i="6" s="1"/>
  <c r="D55" i="6"/>
  <c r="H55" i="6" s="1"/>
  <c r="D22" i="6"/>
  <c r="H22" i="6" s="1"/>
  <c r="D21" i="6"/>
  <c r="H21" i="6" s="1"/>
  <c r="D54" i="6"/>
  <c r="H54" i="6" s="1"/>
  <c r="K5" i="4"/>
  <c r="K6" i="4" s="1"/>
  <c r="B4" i="4" s="1"/>
  <c r="L14" i="11" s="1"/>
  <c r="F7" i="3"/>
  <c r="D18" i="6"/>
  <c r="H18" i="6" s="1"/>
  <c r="D16" i="6"/>
  <c r="H16" i="6" s="1"/>
  <c r="D14" i="6"/>
  <c r="H14" i="6" s="1"/>
  <c r="D57" i="6"/>
  <c r="H57" i="6" s="1"/>
  <c r="F30" i="3" l="1"/>
  <c r="F28" i="3"/>
  <c r="F9" i="3"/>
  <c r="J15" i="6" s="1"/>
  <c r="D15" i="6" s="1"/>
  <c r="H15" i="6" s="1"/>
  <c r="F46" i="3"/>
  <c r="F24" i="3"/>
  <c r="F12" i="3"/>
  <c r="F45" i="3"/>
  <c r="F23" i="3"/>
  <c r="J36" i="6" s="1"/>
  <c r="F40" i="3"/>
  <c r="J26" i="11"/>
  <c r="J23" i="11"/>
  <c r="E41" i="4" s="1"/>
  <c r="G41" i="4" s="1"/>
  <c r="J25" i="11"/>
  <c r="J37" i="11"/>
  <c r="E76" i="4" s="1"/>
  <c r="G76" i="4" s="1"/>
  <c r="F50" i="3"/>
  <c r="F27" i="3"/>
  <c r="F39" i="3"/>
  <c r="F48" i="3"/>
  <c r="F21" i="3"/>
  <c r="J34" i="6" s="1"/>
  <c r="D34" i="6" s="1"/>
  <c r="H34" i="6" s="1"/>
  <c r="F6" i="3"/>
  <c r="J13" i="6" s="1"/>
  <c r="D13" i="6" s="1"/>
  <c r="H13" i="6" s="1"/>
  <c r="F32" i="3"/>
  <c r="J46" i="6" s="1"/>
  <c r="D46" i="6" s="1"/>
  <c r="H46" i="6" s="1"/>
  <c r="F29" i="3"/>
  <c r="J41" i="6" s="1"/>
  <c r="D41" i="6" s="1"/>
  <c r="H41" i="6" s="1"/>
  <c r="F36" i="3"/>
  <c r="J52" i="6" s="1"/>
  <c r="D52" i="6" s="1"/>
  <c r="H52" i="6" s="1"/>
  <c r="F18" i="3"/>
  <c r="F34" i="3"/>
  <c r="J51" i="6" s="1"/>
  <c r="D51" i="6" s="1"/>
  <c r="H51" i="6" s="1"/>
  <c r="F47" i="3"/>
  <c r="F33" i="3"/>
  <c r="J49" i="6" s="1"/>
  <c r="D49" i="6" s="1"/>
  <c r="H49" i="6" s="1"/>
  <c r="I27" i="4"/>
  <c r="I26" i="4"/>
  <c r="F37" i="3"/>
  <c r="J56" i="6" s="1"/>
  <c r="D56" i="6" s="1"/>
  <c r="H56" i="6" s="1"/>
  <c r="D29" i="6"/>
  <c r="H29" i="6" s="1"/>
  <c r="F17" i="3"/>
  <c r="F43" i="3"/>
  <c r="F22" i="3"/>
  <c r="J35" i="6" s="1"/>
  <c r="D35" i="6" s="1"/>
  <c r="H35" i="6" s="1"/>
  <c r="F49" i="3"/>
  <c r="F53" i="3"/>
  <c r="J64" i="6" s="1"/>
  <c r="D64" i="6" s="1"/>
  <c r="H64" i="6" s="1"/>
  <c r="F26" i="3"/>
  <c r="F11" i="3"/>
  <c r="F25" i="3"/>
  <c r="F16" i="3"/>
  <c r="J21" i="6" s="1"/>
  <c r="F52" i="3"/>
  <c r="F35" i="3"/>
  <c r="F44" i="3"/>
  <c r="F31" i="3"/>
  <c r="F15" i="3"/>
  <c r="F13" i="3"/>
  <c r="F42" i="3"/>
  <c r="F14" i="3"/>
  <c r="F19" i="3"/>
  <c r="F38" i="3"/>
  <c r="F51" i="3"/>
  <c r="F8" i="3"/>
  <c r="F41" i="3"/>
  <c r="D43" i="6"/>
  <c r="H43" i="6" s="1"/>
  <c r="D61" i="6"/>
  <c r="H61" i="6" s="1"/>
  <c r="D60" i="6"/>
  <c r="H60" i="6" s="1"/>
  <c r="D42" i="6"/>
  <c r="H42" i="6" s="1"/>
  <c r="D27" i="6"/>
  <c r="H27" i="6" s="1"/>
  <c r="D44" i="6"/>
  <c r="H44" i="6" s="1"/>
  <c r="E62" i="4"/>
  <c r="G62" i="4" s="1"/>
  <c r="E53" i="4"/>
  <c r="E70" i="4"/>
  <c r="G70" i="4" s="1"/>
  <c r="E81" i="4"/>
  <c r="G81" i="4" s="1"/>
  <c r="E33" i="4"/>
  <c r="E65" i="4"/>
  <c r="G65" i="4" s="1"/>
  <c r="E46" i="4"/>
  <c r="G46" i="4" s="1"/>
  <c r="E54" i="4"/>
  <c r="G54" i="4" s="1"/>
  <c r="E49" i="4"/>
  <c r="E73" i="4"/>
  <c r="G73" i="4" s="1"/>
  <c r="E38" i="4"/>
  <c r="G38" i="4" s="1"/>
  <c r="E83" i="4"/>
  <c r="G83" i="4" s="1"/>
  <c r="E28" i="4"/>
  <c r="G28" i="4" s="1"/>
  <c r="E60" i="4"/>
  <c r="E86" i="4"/>
  <c r="G86" i="4" s="1"/>
  <c r="E57" i="4"/>
  <c r="E15" i="4"/>
  <c r="G15" i="4" s="1"/>
  <c r="E36" i="4"/>
  <c r="G36" i="4" s="1"/>
  <c r="E30" i="4"/>
  <c r="G30" i="4" s="1"/>
  <c r="E48" i="4"/>
  <c r="G48" i="4" s="1"/>
  <c r="E11" i="4"/>
  <c r="G11" i="4" s="1"/>
  <c r="E63" i="4"/>
  <c r="G63" i="4" s="1"/>
  <c r="E82" i="4"/>
  <c r="E61" i="4"/>
  <c r="G61" i="4" s="1"/>
  <c r="E56" i="4"/>
  <c r="E29" i="4"/>
  <c r="G29" i="4" s="1"/>
  <c r="E55" i="4"/>
  <c r="G55" i="4" s="1"/>
  <c r="E50" i="4"/>
  <c r="G50" i="4" s="1"/>
  <c r="E77" i="4"/>
  <c r="E14" i="4"/>
  <c r="G14" i="4" s="1"/>
  <c r="E44" i="4"/>
  <c r="G44" i="4" s="1"/>
  <c r="E72" i="4"/>
  <c r="G72" i="4" s="1"/>
  <c r="E13" i="4"/>
  <c r="G13" i="4" s="1"/>
  <c r="E27" i="4"/>
  <c r="E69" i="4"/>
  <c r="G69" i="4" s="1"/>
  <c r="E12" i="4"/>
  <c r="E80" i="4"/>
  <c r="E21" i="4"/>
  <c r="G21" i="4" s="1"/>
  <c r="E58" i="4"/>
  <c r="E64" i="4"/>
  <c r="G64" i="4" s="1"/>
  <c r="E67" i="4"/>
  <c r="G67" i="4" s="1"/>
  <c r="E74" i="4"/>
  <c r="G74" i="4" s="1"/>
  <c r="E37" i="4"/>
  <c r="G37" i="4" s="1"/>
  <c r="E71" i="4"/>
  <c r="G71" i="4" s="1"/>
  <c r="E84" i="4"/>
  <c r="E45" i="4"/>
  <c r="G45" i="4" s="1"/>
  <c r="G68" i="4"/>
  <c r="J33" i="11"/>
  <c r="E16" i="4"/>
  <c r="G16" i="4" s="1"/>
  <c r="E42" i="4"/>
  <c r="G42" i="4" s="1"/>
  <c r="E47" i="4"/>
  <c r="G47" i="4" s="1"/>
  <c r="E43" i="4"/>
  <c r="G43" i="4" s="1"/>
  <c r="E19" i="4"/>
  <c r="G19" i="4" s="1"/>
  <c r="E79" i="4"/>
  <c r="E85" i="4"/>
  <c r="E24" i="4"/>
  <c r="G24" i="4" s="1"/>
  <c r="E18" i="4"/>
  <c r="G18" i="4" s="1"/>
  <c r="E26" i="4"/>
  <c r="E52" i="4"/>
  <c r="G52" i="4" s="1"/>
  <c r="E32" i="4"/>
  <c r="G32" i="4" s="1"/>
  <c r="E35" i="4"/>
  <c r="G35" i="4" s="1"/>
  <c r="E39" i="4"/>
  <c r="G39" i="4" s="1"/>
  <c r="E51" i="4"/>
  <c r="G51" i="4" s="1"/>
  <c r="E75" i="4"/>
  <c r="G75" i="4" s="1"/>
  <c r="E25" i="4"/>
  <c r="G25" i="4" s="1"/>
  <c r="E17" i="4"/>
  <c r="G17" i="4" s="1"/>
  <c r="E40" i="4"/>
  <c r="G40" i="4" s="1"/>
  <c r="E22" i="4"/>
  <c r="G22" i="4" s="1"/>
  <c r="E59" i="4"/>
  <c r="G59" i="4" s="1"/>
  <c r="E34" i="4"/>
  <c r="G34" i="4" s="1"/>
  <c r="E66" i="4"/>
  <c r="G66" i="4" s="1"/>
  <c r="G57" i="4" l="1"/>
  <c r="J29" i="11"/>
  <c r="G85" i="4"/>
  <c r="J45" i="11"/>
  <c r="J30" i="11"/>
  <c r="G58" i="4"/>
  <c r="J43" i="11"/>
  <c r="G82" i="4"/>
  <c r="J18" i="11"/>
  <c r="G12" i="4"/>
  <c r="J41" i="11"/>
  <c r="G79" i="4"/>
  <c r="G26" i="4"/>
  <c r="G27" i="4"/>
  <c r="J32" i="11"/>
  <c r="G60" i="4"/>
  <c r="G53" i="4"/>
  <c r="J27" i="11"/>
  <c r="G84" i="4"/>
  <c r="J44" i="11"/>
  <c r="G80" i="4"/>
  <c r="J42" i="11"/>
  <c r="G77" i="4"/>
  <c r="J39" i="11"/>
  <c r="G56" i="4"/>
  <c r="J28" i="11"/>
  <c r="G49" i="4"/>
  <c r="J24" i="11"/>
  <c r="J20" i="11"/>
  <c r="J35" i="11"/>
  <c r="G3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3" authorId="0" shapeId="0" xr:uid="{00000000-0006-0000-0200-000001000000}">
      <text>
        <r>
          <rPr>
            <b/>
            <sz val="9"/>
            <color indexed="81"/>
            <rFont val="Tahoma"/>
            <family val="2"/>
          </rPr>
          <t>Autor:</t>
        </r>
        <r>
          <rPr>
            <sz val="9"/>
            <color indexed="81"/>
            <rFont val="Tahoma"/>
            <family val="2"/>
          </rPr>
          <t xml:space="preserve">
Atributo para indicar el nombre del proveedor correspondiente al SDMA 5.</t>
        </r>
      </text>
    </comment>
    <comment ref="B4" authorId="0" shapeId="0" xr:uid="{00000000-0006-0000-0200-000002000000}">
      <text>
        <r>
          <rPr>
            <b/>
            <sz val="9"/>
            <color indexed="81"/>
            <rFont val="Tahoma"/>
            <family val="2"/>
          </rPr>
          <t>Autor:</t>
        </r>
        <r>
          <rPr>
            <sz val="9"/>
            <color indexed="81"/>
            <rFont val="Tahoma"/>
            <family val="2"/>
          </rPr>
          <t xml:space="preserve">
Atributo para indicar la fase correspondiente al contrato SDMA 5. Esta información sólo es requerida para el proveedor CAM</t>
        </r>
      </text>
    </comment>
    <comment ref="B5" authorId="0" shapeId="0" xr:uid="{00000000-0006-0000-0200-000003000000}">
      <text>
        <r>
          <rPr>
            <b/>
            <sz val="9"/>
            <color indexed="81"/>
            <rFont val="Tahoma"/>
            <family val="2"/>
          </rPr>
          <t>Autor:</t>
        </r>
        <r>
          <rPr>
            <sz val="9"/>
            <color indexed="81"/>
            <rFont val="Tahoma"/>
            <family val="2"/>
          </rPr>
          <t xml:space="preserve">
Atributo para ingresar el ID del Servicio de Negocio.
</t>
        </r>
      </text>
    </comment>
    <comment ref="B6" authorId="0" shapeId="0" xr:uid="{00000000-0006-0000-0200-000004000000}">
      <text>
        <r>
          <rPr>
            <sz val="9"/>
            <color indexed="81"/>
            <rFont val="Tahoma"/>
            <family val="2"/>
          </rPr>
          <t>Atributo para indicar el código del aplicativo registrado en la matriz de aplicaciones.</t>
        </r>
      </text>
    </comment>
    <comment ref="B7" authorId="0" shapeId="0" xr:uid="{00000000-0006-0000-0200-000005000000}">
      <text>
        <r>
          <rPr>
            <b/>
            <sz val="9"/>
            <color indexed="81"/>
            <rFont val="Tahoma"/>
            <family val="2"/>
          </rPr>
          <t>Autor:</t>
        </r>
        <r>
          <rPr>
            <sz val="9"/>
            <color indexed="81"/>
            <rFont val="Tahoma"/>
            <family val="2"/>
          </rPr>
          <t xml:space="preserve">
Seleccionar:
P = Servicio mediante PPMC/POL
R = Servicio mediante RMA</t>
        </r>
      </text>
    </comment>
    <comment ref="B8" authorId="0" shapeId="0" xr:uid="{00000000-0006-0000-0200-000006000000}">
      <text>
        <r>
          <rPr>
            <b/>
            <sz val="9"/>
            <color indexed="81"/>
            <rFont val="Tahoma"/>
            <family val="2"/>
          </rPr>
          <t>Autor:</t>
        </r>
        <r>
          <rPr>
            <sz val="9"/>
            <color indexed="81"/>
            <rFont val="Tahoma"/>
            <family val="2"/>
          </rPr>
          <t xml:space="preserve">
Atributo para indicar el ID POL o el RMA que corresponda</t>
        </r>
      </text>
    </comment>
    <comment ref="B9" authorId="0" shapeId="0" xr:uid="{00000000-0006-0000-0200-000007000000}">
      <text>
        <r>
          <rPr>
            <b/>
            <sz val="9"/>
            <color indexed="81"/>
            <rFont val="Tahoma"/>
            <family val="2"/>
          </rPr>
          <t>Autor:</t>
        </r>
        <r>
          <rPr>
            <sz val="9"/>
            <color indexed="81"/>
            <rFont val="Tahoma"/>
            <family val="2"/>
          </rPr>
          <t xml:space="preserve">
Atributo para indicar el ID de Estimación asociado a los requerimientos de servicio o Cambio de Alcance que se genera en la herramienta POL.
</t>
        </r>
      </text>
    </comment>
    <comment ref="B10" authorId="0" shapeId="0" xr:uid="{00000000-0006-0000-0200-000008000000}">
      <text>
        <r>
          <rPr>
            <b/>
            <sz val="9"/>
            <color indexed="81"/>
            <rFont val="Tahoma"/>
            <family val="2"/>
          </rPr>
          <t>Autor:</t>
        </r>
        <r>
          <rPr>
            <sz val="9"/>
            <color indexed="81"/>
            <rFont val="Tahoma"/>
            <family val="2"/>
          </rPr>
          <t xml:space="preserve">
Atributo para indicar el ID de Control de Cambios asociado a la Solicitud de Servicio solicitado por el SAT.</t>
        </r>
      </text>
    </comment>
    <comment ref="B11" authorId="0" shapeId="0" xr:uid="{00000000-0006-0000-0200-000009000000}">
      <text>
        <r>
          <rPr>
            <b/>
            <sz val="9"/>
            <color indexed="81"/>
            <rFont val="Tahoma"/>
            <family val="2"/>
          </rPr>
          <t>Autor:</t>
        </r>
        <r>
          <rPr>
            <sz val="9"/>
            <color indexed="81"/>
            <rFont val="Tahoma"/>
            <family val="2"/>
          </rPr>
          <t xml:space="preserve">
Descripción General del Artefacto</t>
        </r>
      </text>
    </comment>
    <comment ref="B12" authorId="0" shapeId="0" xr:uid="{00000000-0006-0000-0200-00000A000000}">
      <text>
        <r>
          <rPr>
            <b/>
            <sz val="9"/>
            <color indexed="81"/>
            <rFont val="Tahoma"/>
            <family val="2"/>
          </rPr>
          <t>Autor:</t>
        </r>
        <r>
          <rPr>
            <sz val="9"/>
            <color indexed="81"/>
            <rFont val="Tahoma"/>
            <family val="2"/>
          </rPr>
          <t xml:space="preserve">
Atributo para indicar la fecha de entrega de los artefactos</t>
        </r>
      </text>
    </comment>
    <comment ref="B13" authorId="0" shapeId="0" xr:uid="{00000000-0006-0000-0200-00000B000000}">
      <text>
        <r>
          <rPr>
            <b/>
            <sz val="9"/>
            <color indexed="81"/>
            <rFont val="Tahoma"/>
            <family val="2"/>
          </rPr>
          <t>Autor:</t>
        </r>
        <r>
          <rPr>
            <sz val="9"/>
            <color indexed="81"/>
            <rFont val="Tahoma"/>
            <family val="2"/>
          </rPr>
          <t xml:space="preserve">
Atributo alfabético que identifica la central que genera la unidad de liberación (paquete). Está definido por catálogo.</t>
        </r>
      </text>
    </comment>
    <comment ref="B14" authorId="0" shapeId="0" xr:uid="{00000000-0006-0000-0200-00000C000000}">
      <text>
        <r>
          <rPr>
            <b/>
            <sz val="9"/>
            <color indexed="81"/>
            <rFont val="Tahoma"/>
            <family val="2"/>
          </rPr>
          <t>Autor:</t>
        </r>
        <r>
          <rPr>
            <sz val="9"/>
            <color indexed="81"/>
            <rFont val="Tahoma"/>
            <family val="2"/>
          </rPr>
          <t xml:space="preserve">
Atributo alfabético que identifica el nivel de operación donde se instala la unidad de liberación (paquete).</t>
        </r>
      </text>
    </comment>
    <comment ref="B15" authorId="0" shapeId="0" xr:uid="{00000000-0006-0000-0200-00000D000000}">
      <text>
        <r>
          <rPr>
            <b/>
            <sz val="9"/>
            <color indexed="81"/>
            <rFont val="Tahoma"/>
            <family val="2"/>
          </rPr>
          <t>Autor:</t>
        </r>
        <r>
          <rPr>
            <sz val="9"/>
            <color indexed="81"/>
            <rFont val="Tahoma"/>
            <family val="2"/>
          </rPr>
          <t xml:space="preserve">
Este identificador es para la conformación de paquetes y está comprendido por caracteres alfanuméricos, la asignación de estas siglas sólo debe corresponder al sistema/subsistema, tecnología o capa arquitectónica.</t>
        </r>
      </text>
    </comment>
    <comment ref="B16" authorId="0" shapeId="0" xr:uid="{00000000-0006-0000-0200-00000E000000}">
      <text>
        <r>
          <rPr>
            <b/>
            <sz val="9"/>
            <color indexed="81"/>
            <rFont val="Tahoma"/>
            <family val="2"/>
          </rPr>
          <t>Autor:</t>
        </r>
        <r>
          <rPr>
            <sz val="9"/>
            <color indexed="81"/>
            <rFont val="Tahoma"/>
            <family val="2"/>
          </rPr>
          <t xml:space="preserve">
Último carácter utilizado en la conformación del nombre del paquete. - El carácter debe ser un guion bajo siempre y cuando se trate de una sola unidad de liberación (paquete) pero si se tiene la necesidad de ingresar al proceso de liberación más de un paquete correspondiente a un mismo aplicativo pero distinto módulo el paquete inicial, llevará guion bajo los subsecuentes caracteres alfanuméricos (1..9, a…z) </t>
        </r>
      </text>
    </comment>
    <comment ref="B17" authorId="0" shapeId="0" xr:uid="{00000000-0006-0000-0200-00000F000000}">
      <text>
        <r>
          <rPr>
            <b/>
            <sz val="9"/>
            <color indexed="81"/>
            <rFont val="Tahoma"/>
            <family val="2"/>
          </rPr>
          <t>Autor:</t>
        </r>
        <r>
          <rPr>
            <sz val="9"/>
            <color indexed="81"/>
            <rFont val="Tahoma"/>
            <family val="2"/>
          </rPr>
          <t xml:space="preserve">
Atributo para seleccionar el tipo de producto del conjunto de entregables.</t>
        </r>
      </text>
    </comment>
    <comment ref="B18" authorId="0" shapeId="0" xr:uid="{00000000-0006-0000-0200-000010000000}">
      <text>
        <r>
          <rPr>
            <b/>
            <sz val="9"/>
            <color indexed="81"/>
            <rFont val="Tahoma"/>
            <family val="2"/>
          </rPr>
          <t>Autor:</t>
        </r>
        <r>
          <rPr>
            <sz val="9"/>
            <color indexed="81"/>
            <rFont val="Tahoma"/>
            <family val="2"/>
          </rPr>
          <t xml:space="preserve">
Palabra clave para buscar el producto correspondiente. La búsqueda se realiza por el nombre del producto</t>
        </r>
      </text>
    </comment>
  </commentList>
</comments>
</file>

<file path=xl/sharedStrings.xml><?xml version="1.0" encoding="utf-8"?>
<sst xmlns="http://schemas.openxmlformats.org/spreadsheetml/2006/main" count="2595" uniqueCount="1901">
  <si>
    <t>NOMBRE DE ARTEFACTO</t>
  </si>
  <si>
    <t>CLAVE</t>
  </si>
  <si>
    <t>NOMBRE CORTO</t>
  </si>
  <si>
    <t>ANSL</t>
  </si>
  <si>
    <t>ATNOTASOLICITUDLIBERACION</t>
  </si>
  <si>
    <t>CCSR</t>
  </si>
  <si>
    <t>CARTCANCELSUSPENCIONSERV</t>
  </si>
  <si>
    <t>AAdmvo_Carta de Aceptación de la Entrega del Servicio</t>
  </si>
  <si>
    <t>CAES</t>
  </si>
  <si>
    <t>CARTACEPENTREGASERV</t>
  </si>
  <si>
    <t>AAdmvo_Carta de Aceptación de la Propuesta</t>
  </si>
  <si>
    <t>CARTACEPPROPUESTA</t>
  </si>
  <si>
    <t>MINUTAREUNION</t>
  </si>
  <si>
    <t>AAdmvo_Propuesta de Resolución de Cambio</t>
  </si>
  <si>
    <t>PROPRESOLUCIONCAMBIO</t>
  </si>
  <si>
    <t>PROPOTROSSERVICIOS</t>
  </si>
  <si>
    <t>Análisis de Fuentes de Datos</t>
  </si>
  <si>
    <t>AFD</t>
  </si>
  <si>
    <t>ANALISISFUENTEDATOS</t>
  </si>
  <si>
    <t>Arquitectura de Solución de Servicios de Información</t>
  </si>
  <si>
    <t>ASS</t>
  </si>
  <si>
    <t>ARQSOLUCIONSERVINFORM</t>
  </si>
  <si>
    <t>Cálculo de Volumetría y Crecimiento de la Base de Datos</t>
  </si>
  <si>
    <t>VBD</t>
  </si>
  <si>
    <t>CALCVOLYCRECIMIENTOBD</t>
  </si>
  <si>
    <t>Catálogo de Reglas del Negocio</t>
  </si>
  <si>
    <t>CRN</t>
  </si>
  <si>
    <t>CATALOREGLASNEGOCIO</t>
  </si>
  <si>
    <t>CUESUTILIZACIONDEMANDA</t>
  </si>
  <si>
    <t>Diagrama de Flujos de Comunicación Unifilares</t>
  </si>
  <si>
    <t>FCU</t>
  </si>
  <si>
    <t>FLUJOCOMUNICAUNIFILAR</t>
  </si>
  <si>
    <t>Diseño de Cubos</t>
  </si>
  <si>
    <t>DCB</t>
  </si>
  <si>
    <t>DISCUBOS</t>
  </si>
  <si>
    <t>Diseño de Framework Cognos</t>
  </si>
  <si>
    <t>DFC</t>
  </si>
  <si>
    <t>DISFRAMEWORKCOGNOS</t>
  </si>
  <si>
    <t>Diseño de Reportes Gerenciales</t>
  </si>
  <si>
    <t>DRG</t>
  </si>
  <si>
    <t>DISREPORTEGERENCIAL</t>
  </si>
  <si>
    <t>Documento de Pruebas</t>
  </si>
  <si>
    <t>DDDLAASSDMO_.dp</t>
  </si>
  <si>
    <t>Especificación de Interacción de Usuario</t>
  </si>
  <si>
    <t>EIU</t>
  </si>
  <si>
    <t>ESPINTERACCIONUSUARIO</t>
  </si>
  <si>
    <t>EZS</t>
  </si>
  <si>
    <t>ESPINTERFAZSOLUCION</t>
  </si>
  <si>
    <t>Especificación de Proceso ETL</t>
  </si>
  <si>
    <t>EPE</t>
  </si>
  <si>
    <t>ESPECIFICAPROCESOETL</t>
  </si>
  <si>
    <t>ERF</t>
  </si>
  <si>
    <t>Especificación del Caso de Uso</t>
  </si>
  <si>
    <t>ECU</t>
  </si>
  <si>
    <t>ESPECIFICACIONCASOUSO</t>
  </si>
  <si>
    <t>Especificaciones de la Arquitectura</t>
  </si>
  <si>
    <t>ESPECIFARQUITECTURA</t>
  </si>
  <si>
    <t>Formato de Migración</t>
  </si>
  <si>
    <t>Glosario</t>
  </si>
  <si>
    <t>GLO</t>
  </si>
  <si>
    <t>GLOSARIO</t>
  </si>
  <si>
    <t>Guía de Administración/Operación</t>
  </si>
  <si>
    <t>GAO</t>
  </si>
  <si>
    <t>GUIAADMONOPERACION</t>
  </si>
  <si>
    <t>Manual de Compilación</t>
  </si>
  <si>
    <t>MAC</t>
  </si>
  <si>
    <t>MANUALCOMP</t>
  </si>
  <si>
    <t>Manual de Instalación</t>
  </si>
  <si>
    <t>MAI</t>
  </si>
  <si>
    <t>MANUALINST</t>
  </si>
  <si>
    <t>Matriz de Trazabilidad Bidireccional</t>
  </si>
  <si>
    <t>MTB</t>
  </si>
  <si>
    <t>MATRIZTRAZABILIDADBDIR</t>
  </si>
  <si>
    <t>Modelo de Casos de Uso</t>
  </si>
  <si>
    <t>MCU</t>
  </si>
  <si>
    <t>MODELOCASOSUSO</t>
  </si>
  <si>
    <t>Modelo de Sembrado Físico</t>
  </si>
  <si>
    <t>MSF</t>
  </si>
  <si>
    <t>MODELOSEMBRADOFISICO</t>
  </si>
  <si>
    <t>Modelo Lógico de Protección de la Información</t>
  </si>
  <si>
    <t>MPI</t>
  </si>
  <si>
    <t>MODLOGICOPROTECINF</t>
  </si>
  <si>
    <t>MLF</t>
  </si>
  <si>
    <t>MODLOGFISICOYDICDATOS</t>
  </si>
  <si>
    <t>Narrativa Detallada del Requerimiento</t>
  </si>
  <si>
    <t>NAD</t>
  </si>
  <si>
    <t>NARRATIVADETALLADAREQ</t>
  </si>
  <si>
    <t>Planes de Instalación y Contingencia</t>
  </si>
  <si>
    <t>PIC</t>
  </si>
  <si>
    <t>PLANINSTALACIONCONTING</t>
  </si>
  <si>
    <t>Requerimiento de Servicios</t>
  </si>
  <si>
    <t>RES</t>
  </si>
  <si>
    <t>REQUERIMIENTOSERVICIOS</t>
  </si>
  <si>
    <t>Seguridad en Mensajes de Aplicaciones</t>
  </si>
  <si>
    <t>SMA</t>
  </si>
  <si>
    <t>SEGMENSAJESAPLICS</t>
  </si>
  <si>
    <t># ID-SERVICIO</t>
  </si>
  <si>
    <t>SERVICIO DE NEGOCIO</t>
  </si>
  <si>
    <t>01</t>
  </si>
  <si>
    <t>Servicio de Negocio</t>
  </si>
  <si>
    <t>Acrónimo</t>
  </si>
  <si>
    <t>CA</t>
  </si>
  <si>
    <t>SC</t>
  </si>
  <si>
    <t>Plan de Retorno</t>
  </si>
  <si>
    <t>02</t>
  </si>
  <si>
    <t>03</t>
  </si>
  <si>
    <t>Cómo se genera el nombre del artefacto:</t>
  </si>
  <si>
    <t>AVL</t>
  </si>
  <si>
    <t>Consecutivo</t>
  </si>
  <si>
    <t>Fecha  (AAAAMMDD)</t>
  </si>
  <si>
    <t>Código Aplicativo</t>
  </si>
  <si>
    <t>CATÁLOGO DE SERVICIOS</t>
  </si>
  <si>
    <t>Modelo Lógico Físico y Diccionario de Datos</t>
  </si>
  <si>
    <t>DTS</t>
  </si>
  <si>
    <t>AR</t>
  </si>
  <si>
    <t>CO</t>
  </si>
  <si>
    <t>CT</t>
  </si>
  <si>
    <t>DYC</t>
  </si>
  <si>
    <t>FIS</t>
  </si>
  <si>
    <t>RC</t>
  </si>
  <si>
    <t>IDC</t>
  </si>
  <si>
    <t>R</t>
  </si>
  <si>
    <t>Nombrado Artefactos</t>
  </si>
  <si>
    <t>Proveedor</t>
  </si>
  <si>
    <t>ACSMC</t>
  </si>
  <si>
    <t>NA</t>
  </si>
  <si>
    <t>Reporte de Incidentes de Segundo Nivel</t>
  </si>
  <si>
    <t>Propiedad Intelectual</t>
  </si>
  <si>
    <t>Tablero de Control</t>
  </si>
  <si>
    <t>Entregables Contractuales</t>
  </si>
  <si>
    <t>Mensual</t>
  </si>
  <si>
    <t>Reporte de Garantías</t>
  </si>
  <si>
    <t>Reporte de Métricas y Mediciones</t>
  </si>
  <si>
    <t>Sirve de apoyo para generar los nombres de los artefactos del MDAP, que se relacionan con un proyecto o Requerimiento de Servicio.</t>
  </si>
  <si>
    <t>El objetivo de este documento es servir de guía y apoyo para nombrar los artefactos que se generan al atender un requerimiento de servicio, además indica la ruta en la que se debe dejar cada artefacto en los repositorios, de acuerdo a su tipo y a la fase en la que se genera.
Este documento contiene las siguientes hojas:</t>
  </si>
  <si>
    <t>Documento de Pruebas (.dp)</t>
  </si>
  <si>
    <t>Reporte No vulnerabilidades (Cuando aplica)</t>
  </si>
  <si>
    <t>Documento de Modificaciones a Base de Datos (.bd)</t>
  </si>
  <si>
    <t>Artefactos AVL</t>
  </si>
  <si>
    <t>Id Srv de Negocio en AVL</t>
  </si>
  <si>
    <t>DP</t>
  </si>
  <si>
    <t>FN</t>
  </si>
  <si>
    <t>NV</t>
  </si>
  <si>
    <t>Siglas Central</t>
  </si>
  <si>
    <t>A</t>
  </si>
  <si>
    <t>B</t>
  </si>
  <si>
    <t>C</t>
  </si>
  <si>
    <t>D</t>
  </si>
  <si>
    <t>AGA</t>
  </si>
  <si>
    <t>PLANEACION</t>
  </si>
  <si>
    <t>Niveles de Liberación</t>
  </si>
  <si>
    <t>ID</t>
  </si>
  <si>
    <t>Nivel de Liberación</t>
  </si>
  <si>
    <t>L</t>
  </si>
  <si>
    <t>M</t>
  </si>
  <si>
    <t>P</t>
  </si>
  <si>
    <t xml:space="preserve">LOCAL </t>
  </si>
  <si>
    <t>MODULOS (ADUANAS)</t>
  </si>
  <si>
    <t>EQUIPOS CENTRALES</t>
  </si>
  <si>
    <t>REGIONALES</t>
  </si>
  <si>
    <t>PC (CLIENTES)</t>
  </si>
  <si>
    <t>No está físicamente, es generado automáticamente en herramienta Monitor</t>
  </si>
  <si>
    <t>ID Central</t>
  </si>
  <si>
    <t>Central</t>
  </si>
  <si>
    <t>ID Nivel Lib.</t>
  </si>
  <si>
    <t>Fecha (Año)</t>
  </si>
  <si>
    <t>Fecha (Semana año)</t>
  </si>
  <si>
    <t>Día Semana</t>
  </si>
  <si>
    <t>1 a 2</t>
  </si>
  <si>
    <t>Posición</t>
  </si>
  <si>
    <t>SN = Identificador del Servicio de Negocio</t>
  </si>
  <si>
    <t>C = Identificador de la central</t>
  </si>
  <si>
    <t>N = Nivel</t>
  </si>
  <si>
    <t>5 a 6</t>
  </si>
  <si>
    <t>AA = Año</t>
  </si>
  <si>
    <t>7 a 8</t>
  </si>
  <si>
    <t>NS = Numero de semana del año</t>
  </si>
  <si>
    <t>D = Día de la semana (1 al 7 )</t>
  </si>
  <si>
    <t>10 a 11</t>
  </si>
  <si>
    <t>Nivel Liberación</t>
  </si>
  <si>
    <r>
      <t xml:space="preserve">Para formar el nombre de las Unidades de Liberación  (Paquetes), </t>
    </r>
    <r>
      <rPr>
        <sz val="10"/>
        <color indexed="8"/>
        <rFont val="Calibri"/>
        <family val="2"/>
      </rPr>
      <t xml:space="preserve"> </t>
    </r>
    <r>
      <rPr>
        <b/>
        <sz val="10"/>
        <color indexed="8"/>
        <rFont val="Calibri"/>
        <family val="2"/>
      </rPr>
      <t>se debe de seguir el siguientes estándar.</t>
    </r>
  </si>
  <si>
    <t>El nombre del paquete se compone de 12 posiciones</t>
  </si>
  <si>
    <t>Lista los artefactos que son usados en AVL</t>
  </si>
  <si>
    <t>Matriz de Requerimientos Técnicos (Servicio Ciclo de Vida)</t>
  </si>
  <si>
    <t>RDL</t>
  </si>
  <si>
    <t>COD</t>
  </si>
  <si>
    <t>DCV</t>
  </si>
  <si>
    <t>MRT</t>
  </si>
  <si>
    <t>RDP</t>
  </si>
  <si>
    <t>Especificación de Requerimientos Funcionales para Servicios de Información</t>
  </si>
  <si>
    <t>Requerimiento de Pruebas de Performance</t>
  </si>
  <si>
    <t>RPP</t>
  </si>
  <si>
    <t>MDAP v1.0</t>
  </si>
  <si>
    <t>MDAP  v2.0</t>
  </si>
  <si>
    <t>Siglas  Servicio de  Negocio</t>
  </si>
  <si>
    <t>ID PPMC / RMA</t>
  </si>
  <si>
    <t>RepRevRepositorios</t>
  </si>
  <si>
    <t>CC</t>
  </si>
  <si>
    <t>OLA</t>
  </si>
  <si>
    <t>Plan de Evaluación de Procesos</t>
  </si>
  <si>
    <t>PlanEvaluacion_NombreProceso</t>
  </si>
  <si>
    <t>PlanImplementacionMejoras</t>
  </si>
  <si>
    <t>Lista de Verificación de Compromisos Contractuales</t>
  </si>
  <si>
    <t>ReporteEvaluacionProcesos</t>
  </si>
  <si>
    <t>ReporteNS</t>
  </si>
  <si>
    <t>ReporteDP</t>
  </si>
  <si>
    <t>ReporteOLA</t>
  </si>
  <si>
    <t>ReporteAPersonal</t>
  </si>
  <si>
    <t>ReporteMM</t>
  </si>
  <si>
    <t>ReporteConsolidadoServ</t>
  </si>
  <si>
    <t>ReporteCFM</t>
  </si>
  <si>
    <t>PIMP</t>
  </si>
  <si>
    <t>PEP</t>
  </si>
  <si>
    <t>LVCompromisosContractuales</t>
  </si>
  <si>
    <t>Requerimientos de Pruebas</t>
  </si>
  <si>
    <t>FormatoMigra</t>
  </si>
  <si>
    <t>SOLIC_ABC_CTAMESASERV</t>
  </si>
  <si>
    <t>CARATULARDL</t>
  </si>
  <si>
    <t>DICTAMEN_ILM_ALINEACIONAPP</t>
  </si>
  <si>
    <t>DICTAMENTECNICO</t>
  </si>
  <si>
    <t>ESPREQFUNCIONALESSERVINFO</t>
  </si>
  <si>
    <t>MATRIZCAMBIOSACTUALIZACION</t>
  </si>
  <si>
    <t>MATRIZREQTECNICOS</t>
  </si>
  <si>
    <t>REQPRUEBASPERFORMANCE</t>
  </si>
  <si>
    <t>REQPRUEBAS</t>
  </si>
  <si>
    <t>ListaVerProcesos</t>
  </si>
  <si>
    <t>ListaVerProductos</t>
  </si>
  <si>
    <t>Se anexa en Monitor</t>
  </si>
  <si>
    <t>Se registra en Monitor</t>
  </si>
  <si>
    <t>Se integra en el manual de instalación o en la carátula en Monitor, excepto tecnología 4GL</t>
  </si>
  <si>
    <t>Se encuentra en Monitor</t>
  </si>
  <si>
    <t>MCA</t>
  </si>
  <si>
    <t>Recomendaciones</t>
  </si>
  <si>
    <t>SOLA</t>
  </si>
  <si>
    <t>SOLICITUDCAMBIOALCANCE</t>
  </si>
  <si>
    <t>ACRONIMO</t>
  </si>
  <si>
    <t>AAdmvo_Solicitud de Cambio de Alcance al Proyecto **</t>
  </si>
  <si>
    <t>Especificación de Interfaz de la Solución</t>
  </si>
  <si>
    <t>CAPA</t>
  </si>
  <si>
    <t>MIRE</t>
  </si>
  <si>
    <t>PRCM</t>
  </si>
  <si>
    <t>EDA</t>
  </si>
  <si>
    <t>FCUN</t>
  </si>
  <si>
    <t>FRM</t>
  </si>
  <si>
    <t>Notificación de Fallo</t>
  </si>
  <si>
    <t>Nombrado Artefactos PC</t>
  </si>
  <si>
    <t>Para formar el nombre de 
los artefactos de los Procesos Compartidos</t>
  </si>
  <si>
    <t>PC Administración de la Configuración</t>
  </si>
  <si>
    <t>Evidencia de Instalación</t>
  </si>
  <si>
    <t>edi</t>
  </si>
  <si>
    <t>BD</t>
  </si>
  <si>
    <t>EUHE</t>
  </si>
  <si>
    <t>MPPND</t>
  </si>
  <si>
    <t>MatrizPuntosND</t>
  </si>
  <si>
    <t>MDAP  v3.0</t>
  </si>
  <si>
    <t>PACO</t>
  </si>
  <si>
    <t>PlanAdmonConfigOrganizacional</t>
  </si>
  <si>
    <t>Modelo Lógico de Protección a la Información</t>
  </si>
  <si>
    <t>Para formar el nombre de 
los artefactos</t>
  </si>
  <si>
    <t>FE</t>
  </si>
  <si>
    <t>MA</t>
  </si>
  <si>
    <t>PM</t>
  </si>
  <si>
    <t>Portales Transaccionales</t>
  </si>
  <si>
    <t>PT</t>
  </si>
  <si>
    <t>TI</t>
  </si>
  <si>
    <t>CP</t>
  </si>
  <si>
    <t>RS</t>
  </si>
  <si>
    <t>RyS</t>
  </si>
  <si>
    <t>CZA</t>
  </si>
  <si>
    <t>NYV</t>
  </si>
  <si>
    <t>PLN</t>
  </si>
  <si>
    <t>JUR</t>
  </si>
  <si>
    <t>Factura Electrónica</t>
  </si>
  <si>
    <t>Medios de Autenticación</t>
  </si>
  <si>
    <t>Portales Móviles</t>
  </si>
  <si>
    <t>CED</t>
  </si>
  <si>
    <t>CEPD</t>
  </si>
  <si>
    <t>ACDMA</t>
  </si>
  <si>
    <t>ACPT</t>
  </si>
  <si>
    <t>ACTT</t>
  </si>
  <si>
    <t>E</t>
  </si>
  <si>
    <t>F</t>
  </si>
  <si>
    <t>Fase</t>
  </si>
  <si>
    <t>Catálogo de Fases</t>
  </si>
  <si>
    <t>RNV</t>
  </si>
  <si>
    <t xml:space="preserve">No es documento del MDAP. </t>
  </si>
  <si>
    <t>Manual de operación</t>
  </si>
  <si>
    <t>Requerimiento de Pruebas de Vulnerabilidad</t>
  </si>
  <si>
    <t>RPV</t>
  </si>
  <si>
    <t>Solicitud para la ejecución de pruebas de vulnerabilidad por la AVL, es requerida la entrega del Reporte de No Vulnerabilidades RNV</t>
  </si>
  <si>
    <t>NOMENCLATURA</t>
  </si>
  <si>
    <t>MOV</t>
  </si>
  <si>
    <t>VRM</t>
  </si>
  <si>
    <t>RAP</t>
  </si>
  <si>
    <t>PBL</t>
  </si>
  <si>
    <t xml:space="preserve">Manual de Operación </t>
  </si>
  <si>
    <t xml:space="preserve">MTSI Ventanas de Respaldo y Mantenimiento </t>
  </si>
  <si>
    <t xml:space="preserve">Proceso de Evaluación de Riesgos </t>
  </si>
  <si>
    <t xml:space="preserve">Product Backlog </t>
  </si>
  <si>
    <t xml:space="preserve">Reporte de No Vulnerabilidad </t>
  </si>
  <si>
    <t xml:space="preserve">Requerimiento de Pruebas de Vulnerabilidad </t>
  </si>
  <si>
    <t>Para el uso en desarrollos ágiles.</t>
  </si>
  <si>
    <t>PSE</t>
  </si>
  <si>
    <t>AAdmvo_Propuesta de Servicio</t>
  </si>
  <si>
    <t>MDAP  v4.0</t>
  </si>
  <si>
    <t>MDAP  v5.0</t>
  </si>
  <si>
    <t>Especificación de SOA</t>
  </si>
  <si>
    <t>ESOA</t>
  </si>
  <si>
    <t>Diseño de Componentes</t>
  </si>
  <si>
    <t>DIC</t>
  </si>
  <si>
    <t>Diseño de Servicios de TIC</t>
  </si>
  <si>
    <t>DSTI</t>
  </si>
  <si>
    <t>RPFU</t>
  </si>
  <si>
    <t>Centros de Desarrollo</t>
  </si>
  <si>
    <t>Tipo de Proyecto</t>
  </si>
  <si>
    <t>La definición de los Entregables Contractuales será determinada en la fase de operación.</t>
  </si>
  <si>
    <t>Descripción</t>
  </si>
  <si>
    <t xml:space="preserve">Fecha </t>
  </si>
  <si>
    <t>Catálogo de Dictámenes</t>
  </si>
  <si>
    <t>CATDIC</t>
  </si>
  <si>
    <t>CatalDictamenes</t>
  </si>
  <si>
    <t>CriterioMedicion</t>
  </si>
  <si>
    <t>DocPropIntelectual</t>
  </si>
  <si>
    <t>Estrategia de Pruebas</t>
  </si>
  <si>
    <t>EstrategiaPruebas</t>
  </si>
  <si>
    <t>GuiaMetCosmic</t>
  </si>
  <si>
    <t>Lista de Asistencia</t>
  </si>
  <si>
    <t>ListaAsistencia</t>
  </si>
  <si>
    <t>Lista base de artefactos</t>
  </si>
  <si>
    <t>ListaBaseArt</t>
  </si>
  <si>
    <t>Lista de Verificación</t>
  </si>
  <si>
    <t>ListaVerificacion</t>
  </si>
  <si>
    <t>PlanAccionNivServ</t>
  </si>
  <si>
    <t>Plan de la Administración de la Configuración Organizacional (PACO).</t>
  </si>
  <si>
    <t>Plan de Calidad</t>
  </si>
  <si>
    <t>PlanCalidad</t>
  </si>
  <si>
    <t>PAMA</t>
  </si>
  <si>
    <t>PlanMejoraAplic</t>
  </si>
  <si>
    <t>Plan de entregables</t>
  </si>
  <si>
    <t>PLEN</t>
  </si>
  <si>
    <t>PlanEntregables</t>
  </si>
  <si>
    <t>Presentación Ejecutiva</t>
  </si>
  <si>
    <t>Reporte de la Demanda</t>
  </si>
  <si>
    <t>ReporteDemanda</t>
  </si>
  <si>
    <t>Reporte de Revisión de Costo Fijo</t>
  </si>
  <si>
    <t>ReporteRevCostoFijo</t>
  </si>
  <si>
    <t>ReporteControlEntreg</t>
  </si>
  <si>
    <t>Reporte de Predicción de la Demanda</t>
  </si>
  <si>
    <t>RepPredicDemanda</t>
  </si>
  <si>
    <t>Reporte de hallazgos</t>
  </si>
  <si>
    <t>ReporteHallazgos</t>
  </si>
  <si>
    <t>Reporte de Solicitudes de Infraestructura y Comunicaciones</t>
  </si>
  <si>
    <t>RepSolicInfrayComunic</t>
  </si>
  <si>
    <t>Reporte de Resultados de Evaluaciones a Procesos</t>
  </si>
  <si>
    <t>Reporte de revisión</t>
  </si>
  <si>
    <t>Hoja de Captura</t>
  </si>
  <si>
    <t>Fecha (AAAAMMDD)</t>
  </si>
  <si>
    <t>CRIMED</t>
  </si>
  <si>
    <t>ESPRU</t>
  </si>
  <si>
    <t>GARANT</t>
  </si>
  <si>
    <t>GMECSMC</t>
  </si>
  <si>
    <t>LSTASIS</t>
  </si>
  <si>
    <t>LSTART</t>
  </si>
  <si>
    <t>LSTVRFCC</t>
  </si>
  <si>
    <t>RPRVCF</t>
  </si>
  <si>
    <t>RPHLLZ</t>
  </si>
  <si>
    <t>RPOLA</t>
  </si>
  <si>
    <t>RPSIC</t>
  </si>
  <si>
    <t>RPRC</t>
  </si>
  <si>
    <t>RPRV</t>
  </si>
  <si>
    <t>NOTFLL</t>
  </si>
  <si>
    <t>NotificacionFallo</t>
  </si>
  <si>
    <t>PROPINTEL</t>
  </si>
  <si>
    <t>LVER</t>
  </si>
  <si>
    <t>CDS</t>
  </si>
  <si>
    <t>RepIncSegNvl</t>
  </si>
  <si>
    <t>Cuestionario de Ciclo de Vida de la Información</t>
  </si>
  <si>
    <t>CCV</t>
  </si>
  <si>
    <t>Comercio Exterior - Soporte a la Operación</t>
  </si>
  <si>
    <t>CESO</t>
  </si>
  <si>
    <t>MAT - Comercio Exterior</t>
  </si>
  <si>
    <t>MATCE</t>
  </si>
  <si>
    <t>Fiscalización - Específicos</t>
  </si>
  <si>
    <t>FISE</t>
  </si>
  <si>
    <t>Declaraciones y Pagos (Solución Integral)</t>
  </si>
  <si>
    <t>Declaraciones y Pagos (Legados y Declaraciones anuales)</t>
  </si>
  <si>
    <t>Dictamen de Ciclo de Vida de la Información</t>
  </si>
  <si>
    <t>Evidencia de Pruebas</t>
  </si>
  <si>
    <t>edp</t>
  </si>
  <si>
    <t>Nombrado Artefactos Marco Documental (MDAP)</t>
  </si>
  <si>
    <t>Nombrado de Artefactos Procesos Compartidos (PC)</t>
  </si>
  <si>
    <t>ReporteRPRV</t>
  </si>
  <si>
    <t>Matriz de Requerimientos Técnicos</t>
  </si>
  <si>
    <t>Métricas y Reglas Calidad de Software y Código</t>
  </si>
  <si>
    <t>RPRVR</t>
  </si>
  <si>
    <t>N/A</t>
  </si>
  <si>
    <t>Plan Calidad Continuidad Operativa</t>
  </si>
  <si>
    <t>PlanCalidadCO</t>
  </si>
  <si>
    <t>Plan de Calidad para la Continuidad Operativa</t>
  </si>
  <si>
    <t>PCAL</t>
  </si>
  <si>
    <t>ID Estimación</t>
  </si>
  <si>
    <t>LVPRC</t>
  </si>
  <si>
    <t>LVPRD</t>
  </si>
  <si>
    <t>ME</t>
  </si>
  <si>
    <t>NOMBRADO DE ARTEFACTO</t>
  </si>
  <si>
    <t>Proyección de Presupuesto</t>
  </si>
  <si>
    <t>Reporte de Avance Mensual Presupuestal</t>
  </si>
  <si>
    <t>Desempeño de Procesos</t>
  </si>
  <si>
    <t>DESPROC</t>
  </si>
  <si>
    <t>DesempeñoProcesos</t>
  </si>
  <si>
    <t>RSO</t>
  </si>
  <si>
    <t>DesempeñoProyReqServicio</t>
  </si>
  <si>
    <t>Para el Acrónimo del Servicio de Negocio (AcrónimoSN) seguir las siguientes reglas:
Si el servicio se compone de 1 palabra,  tomar las 3 primeras letras del nombre del Servicio
Si el servicio se compone de 2 palabras, tomar la primer letra de cada palabra.
Si el reporte trata temas de diferentes Servicios de Negocio, se deberán poner las siglas UNI</t>
  </si>
  <si>
    <t>Plan Integral de Medición y Análisis</t>
  </si>
  <si>
    <t>PlanIntegral</t>
  </si>
  <si>
    <t xml:space="preserve">PC_Seguimiento a Requerimientos e Incidentes </t>
  </si>
  <si>
    <t>PC_Gestión de Incidentes</t>
  </si>
  <si>
    <t>PC_Gestión de Niveles de Servicio</t>
  </si>
  <si>
    <t>PC_Monitoreo y Control de Proveedores</t>
  </si>
  <si>
    <t>PC_Aseguramiento y Control de Calidad de Procesos y Productos</t>
  </si>
  <si>
    <t>PC_Estimación</t>
  </si>
  <si>
    <t>PC_Gestión de Requerimientos de Servicio</t>
  </si>
  <si>
    <t>Guía de Estimación</t>
  </si>
  <si>
    <t>Informe de Actividades de Calidad</t>
  </si>
  <si>
    <t>Lista de Verificación a Procesos</t>
  </si>
  <si>
    <t>Listas de Verificación a Productos</t>
  </si>
  <si>
    <t>Plan de Acción de Mejora de Aplicativos</t>
  </si>
  <si>
    <t>PC_Mejora Continua de los Procesos Compartidos</t>
  </si>
  <si>
    <t>Presentación de Seguimiento</t>
  </si>
  <si>
    <t>Acuerdo de Nivel Operacional</t>
  </si>
  <si>
    <t>PC_Monitoreo de la Demanda de Requerimientos</t>
  </si>
  <si>
    <t>PC_Gestión de Servicios de Soporte</t>
  </si>
  <si>
    <t>Reporte de Avance de Planes de Trabajo</t>
  </si>
  <si>
    <t>Matriz de puntos y porcentajes nuevos desarrollos</t>
  </si>
  <si>
    <t>PC_Liberación y Entrega
Líneas Base para Calidad de Código para Aplicativos JAVA y .NET</t>
  </si>
  <si>
    <t xml:space="preserve">PC_Medición y Análisis </t>
  </si>
  <si>
    <t>Matriz de Control de Cambios</t>
  </si>
  <si>
    <t>MCC</t>
  </si>
  <si>
    <t>NR</t>
  </si>
  <si>
    <t xml:space="preserve">Atenta Nota de Solicitud de Liberación </t>
  </si>
  <si>
    <t>Reporte de Pruebas Funcionales o de Aceptación de Usuario</t>
  </si>
  <si>
    <t>PC_Administración de la Configuración</t>
  </si>
  <si>
    <t>PC_Liberación y Entrega</t>
  </si>
  <si>
    <t>IRAC</t>
  </si>
  <si>
    <t>InfoResuActiCali</t>
  </si>
  <si>
    <t>PACCNS</t>
  </si>
  <si>
    <t>PresentEjecQuinceIncidentes</t>
  </si>
  <si>
    <t>PRSSI</t>
  </si>
  <si>
    <t>PresentSemSegIncidentes</t>
  </si>
  <si>
    <t>RPAP</t>
  </si>
  <si>
    <t>RPDEM</t>
  </si>
  <si>
    <t>RPCNSR</t>
  </si>
  <si>
    <t>RPCFM</t>
  </si>
  <si>
    <t>RPCENT</t>
  </si>
  <si>
    <t>RPPDM</t>
  </si>
  <si>
    <t>RPDYP</t>
  </si>
  <si>
    <t>RPINCSN</t>
  </si>
  <si>
    <t>RPMM</t>
  </si>
  <si>
    <t>RPNS</t>
  </si>
  <si>
    <t>RPRTLC</t>
  </si>
  <si>
    <t>ReporteReuComp</t>
  </si>
  <si>
    <t>RPREP</t>
  </si>
  <si>
    <t>RPSPT</t>
  </si>
  <si>
    <t>ReporteSegPlan</t>
  </si>
  <si>
    <t>RCC</t>
  </si>
  <si>
    <t>ACSN (ANTES ACSI)</t>
  </si>
  <si>
    <t>Catálogo de Identificador de la Central (AVL)</t>
  </si>
  <si>
    <t xml:space="preserve">AAdmvo_Atenta Nota de Solicitud de Liberación </t>
  </si>
  <si>
    <t>AAdmvo_Carta de Cancelación/Suspensión Requerimiento de Servicio</t>
  </si>
  <si>
    <t>AAdmvo_Minuta</t>
  </si>
  <si>
    <t>PC_Control de Cambios</t>
  </si>
  <si>
    <t>Recomendaciones para la toma de acciones SAT</t>
  </si>
  <si>
    <t>Desempeño de Proyectos y/o Requerimientos de Servicio</t>
  </si>
  <si>
    <t>Reporte de Revisión de Calidad Interna / Externa</t>
  </si>
  <si>
    <t>PC_Monitoreo y Control de Proveedores
PC_GNS</t>
  </si>
  <si>
    <t xml:space="preserve">Requerimiento de Liberación (Carátula) </t>
  </si>
  <si>
    <t>Reporte de Calidad de Código</t>
  </si>
  <si>
    <t>Reporte de control de entregables</t>
  </si>
  <si>
    <t>Presentación en el Catálogo</t>
  </si>
  <si>
    <t>Catálogo de Tipo de Producto</t>
  </si>
  <si>
    <t>CENTROS DE DESARROLLO</t>
  </si>
  <si>
    <t>Líneas Base para Calidad de Código</t>
  </si>
  <si>
    <t>LBCC</t>
  </si>
  <si>
    <t>LBCalCodigo</t>
  </si>
  <si>
    <t>Nivel de Riesgo de Liberación (Semáforo de Liberación)</t>
  </si>
  <si>
    <t>Código Fuente</t>
  </si>
  <si>
    <t>ID de Estimación</t>
  </si>
  <si>
    <t>G</t>
  </si>
  <si>
    <t>Consecutivo (Deberá ser alfanumérico a un solo dígito iniciando del 1 al 9 y continuando de la "a" a la "z")
Nota: Para el nombrado de las Líneas Base, se deberá dejar únicamente un guión.</t>
  </si>
  <si>
    <t>Consecutivo de Entrega</t>
  </si>
  <si>
    <t>Id Sis / Sub Sis / Tecnología / Línea Base</t>
  </si>
  <si>
    <t>Número de CDS</t>
  </si>
  <si>
    <t>Fecha</t>
  </si>
  <si>
    <t>RepNivelesServicio</t>
  </si>
  <si>
    <t>PlanMejoraAplicativo</t>
  </si>
  <si>
    <t>PlanAccionCumplirNS</t>
  </si>
  <si>
    <t>RepConsolidadoServ</t>
  </si>
  <si>
    <t>RepOLA</t>
  </si>
  <si>
    <t>RepMetMed</t>
  </si>
  <si>
    <t>ProyeccionPresupuesto</t>
  </si>
  <si>
    <t>Acrónimo del Proveedor</t>
  </si>
  <si>
    <t>ID del Servicio</t>
  </si>
  <si>
    <t>Nombre del Servicio</t>
  </si>
  <si>
    <t>Fase de los Artefactos del MDAP</t>
  </si>
  <si>
    <t>Administrativos</t>
  </si>
  <si>
    <t>Ambientación</t>
  </si>
  <si>
    <t>Pruebas Funcionales</t>
  </si>
  <si>
    <t>Tipo de Documentación</t>
  </si>
  <si>
    <t>Tipo de Documento para validar ruta</t>
  </si>
  <si>
    <t>Valor base para la ruta de nivel 2</t>
  </si>
  <si>
    <t>Acrónimo de la Aplicación</t>
  </si>
  <si>
    <t>Fiscalización</t>
  </si>
  <si>
    <t>Cobranza</t>
  </si>
  <si>
    <t>Control de Obligaciones</t>
  </si>
  <si>
    <t>Cuenta Tributaria</t>
  </si>
  <si>
    <t>Devoluciones y Compensaciones</t>
  </si>
  <si>
    <t>Registro Contable</t>
  </si>
  <si>
    <t>Comercio Exterior - Despacho</t>
  </si>
  <si>
    <t>Nombrado Artefactos y
Nombrado Artefactos PC</t>
  </si>
  <si>
    <t>Agrupaciones</t>
  </si>
  <si>
    <t>MMAAAA</t>
  </si>
  <si>
    <t>Comentarios Adicionales</t>
  </si>
  <si>
    <t>Estos son la misma fase, solo se divide porque para el SAT algunos son Administrativos y pertenecen a la carpeta DocumentosDelProyecto</t>
  </si>
  <si>
    <t>*Se modifica el tipo porque para el SAT son administrativos</t>
  </si>
  <si>
    <t>Administrativos Sistema</t>
  </si>
  <si>
    <t>Estos son la misma fase, solo se divide porque para el SAT algunos son Sistemas y pertenecen a la carpeta DocumentosDelSistema</t>
  </si>
  <si>
    <t>EntregablesContractuales/EntregablesMensuales/</t>
  </si>
  <si>
    <t>EntregablesContractuales/</t>
  </si>
  <si>
    <t>Formato Fecha</t>
  </si>
  <si>
    <t>RUTA/UBICACIÓN</t>
  </si>
  <si>
    <t>FASE</t>
  </si>
  <si>
    <t>TIPO DE DOCUMENTO</t>
  </si>
  <si>
    <t>ES ADDMVO</t>
  </si>
  <si>
    <t>CONTROL DE CAMBIOS</t>
  </si>
  <si>
    <t>PROCESO</t>
  </si>
  <si>
    <t>UBICACIÓN</t>
  </si>
  <si>
    <t>PROOCESO</t>
  </si>
  <si>
    <t>NÚM</t>
  </si>
  <si>
    <t>ENTREGABLE</t>
  </si>
  <si>
    <t>PERIODICIDAD</t>
  </si>
  <si>
    <t>PROVEEDOR</t>
  </si>
  <si>
    <t xml:space="preserve">PC_Aseguramiento y Control de Calidad de Procesos y Productos
</t>
  </si>
  <si>
    <t>Otros Administrativos</t>
  </si>
  <si>
    <t>Otros Sistemas</t>
  </si>
  <si>
    <t>EVIDENCIAHEREST</t>
  </si>
  <si>
    <t>RepAvancePresupuestal</t>
  </si>
  <si>
    <t>Nombre AVL</t>
  </si>
  <si>
    <t>dts</t>
  </si>
  <si>
    <t>bd</t>
  </si>
  <si>
    <t>dp</t>
  </si>
  <si>
    <t>doc-ins</t>
  </si>
  <si>
    <t>doc-pru</t>
  </si>
  <si>
    <r>
      <t xml:space="preserve">La excepción al estándar aplica al exceder el tamaño de 75 MB por que el  archivo deberá ser segmentado, por ejemplo 
COGN15112YY_.DP.doc  de 75MB
COGN15112YY1_2.DP.doc de 25MB
COGN15112YY2_2.DP.doc de 50MB
</t>
    </r>
    <r>
      <rPr>
        <b/>
        <sz val="10"/>
        <color theme="3" tint="0.39997558519241921"/>
        <rFont val="Calibri"/>
        <family val="2"/>
        <scheme val="minor"/>
      </rPr>
      <t>El folio de RDL se integra al principio del nombre del documento al momento de subir el archivo al Monitor</t>
    </r>
    <r>
      <rPr>
        <sz val="10"/>
        <rFont val="Calibri"/>
        <family val="2"/>
        <scheme val="minor"/>
      </rPr>
      <t xml:space="preserve">
</t>
    </r>
  </si>
  <si>
    <t>El folio de RDL se integra al principio del nombre del documento al momento de subir el archivo al Monitor</t>
  </si>
  <si>
    <r>
      <t xml:space="preserve">No es Documento de MDAP, Evidencia de Instalación.
</t>
    </r>
    <r>
      <rPr>
        <b/>
        <sz val="10"/>
        <color theme="3" tint="0.39997558519241921"/>
        <rFont val="Calibri"/>
        <family val="2"/>
        <scheme val="minor"/>
      </rPr>
      <t>El folio de RDL se integra al principio del nombre del documento al momento de subir el archivo al Monitor</t>
    </r>
  </si>
  <si>
    <r>
      <t xml:space="preserve">Reporte resultado del aseguramiento de la calidad de código, indica nivel de cumplimiento de reglas de codificación. No existe plantilla, lo genera la herramienta de Aseguramiento de la Calidad de Código
</t>
    </r>
    <r>
      <rPr>
        <b/>
        <sz val="10"/>
        <color theme="3" tint="0.39997558519241921"/>
        <rFont val="Calibri"/>
        <family val="2"/>
        <scheme val="minor"/>
      </rPr>
      <t>El folio de RDL se integra al principio del nombre del documento al momento de subir el archivo al Monitor</t>
    </r>
  </si>
  <si>
    <t xml:space="preserve">El código fuente se sube a las herramientas constitucionales correspondientes
</t>
  </si>
  <si>
    <r>
      <t xml:space="preserve">No es Documento de MDAP, Evidencia de Pruebas
</t>
    </r>
    <r>
      <rPr>
        <b/>
        <sz val="10"/>
        <color theme="3" tint="0.39997558519241921"/>
        <rFont val="Calibri"/>
        <family val="2"/>
        <scheme val="minor"/>
      </rPr>
      <t>El folio de RDL se integra al principio del nombre del documento al momento de subir el archivo al Monitor</t>
    </r>
  </si>
  <si>
    <t>Control de Cambios</t>
  </si>
  <si>
    <t>ESTIMACIÓN</t>
  </si>
  <si>
    <t>BREVE DESCRIPCIÓN</t>
  </si>
  <si>
    <t>Administración Técnica</t>
  </si>
  <si>
    <t>Validador de Forma y Sintaxis Documentos Digitales</t>
  </si>
  <si>
    <t>Documentos Digitales - Portal del Contribuyente Consultas</t>
  </si>
  <si>
    <t>Certificación SAT (Ventanilla y WEB)</t>
  </si>
  <si>
    <t>Diligenciador Móvil de Actos Administrativos</t>
  </si>
  <si>
    <t>Portal de Trámites y Servicios al Contribuyente</t>
  </si>
  <si>
    <t>Acceso a Proveedores en CPN</t>
  </si>
  <si>
    <t>Contabilidad del Nuevo Esquema de Pagos Electrónicos.</t>
  </si>
  <si>
    <t>Automatizar el Monitoreo de PPEE’s (Personas Política y Económicamente Expuestas)</t>
  </si>
  <si>
    <t>Actualización de DARIO ALR´S Sedes</t>
  </si>
  <si>
    <t>Administrador de Contenidos Web</t>
  </si>
  <si>
    <t>Administración de Acuerdos de la Jefatura del SAT</t>
  </si>
  <si>
    <t>Administración del Ciclo de Vida de Aplicaciones de TIC</t>
  </si>
  <si>
    <t>Bóveda de Créditos Express</t>
  </si>
  <si>
    <t>Advanced Passenger Information</t>
  </si>
  <si>
    <t>Consulta 13 &amp; 64 campos</t>
  </si>
  <si>
    <t>Buscador de localidades sin acceso a internet</t>
  </si>
  <si>
    <t>Documentos Digitales - Portal Empleados</t>
  </si>
  <si>
    <t xml:space="preserve">Consulta de Devoluciones Manuales Web </t>
  </si>
  <si>
    <t>Solicitud de Certificados Digital</t>
  </si>
  <si>
    <t>Gestor Documental  / Expediente Electrónico</t>
  </si>
  <si>
    <t>Contabilidad General</t>
  </si>
  <si>
    <t>Comunicación Institucional SAT: Solución integral automatizada para toma de decisiones basado en el análisis de información publicada en los medios noticiosos</t>
  </si>
  <si>
    <t>Consulta del Patrón Vehicular de REPUVE</t>
  </si>
  <si>
    <t>Donación y Destrucción de Mercancías</t>
  </si>
  <si>
    <t xml:space="preserve">Cobranza Cartera Tradicional </t>
  </si>
  <si>
    <t>Apis_legado  (para 2008 y 2009)</t>
  </si>
  <si>
    <t>Declaración de Pasajeros y Excedente de Franquicia</t>
  </si>
  <si>
    <t>Aviso de Préstamos, Aportaciones para futuros aumentos de Capital o aumentos de Capital recibidos en Efectivo.</t>
  </si>
  <si>
    <t>Consulta Especializada de Devoluciones</t>
  </si>
  <si>
    <t>Librerías de Criptografía</t>
  </si>
  <si>
    <t>Buzón Tributario</t>
  </si>
  <si>
    <t>Componente de Evaluación</t>
  </si>
  <si>
    <t>Cuestionario ODM</t>
  </si>
  <si>
    <t>Compilación Fiscal y Aduanera</t>
  </si>
  <si>
    <t>Control de Gestión (C/S)</t>
  </si>
  <si>
    <t>Donaciones del Extranjero</t>
  </si>
  <si>
    <t>ETL Balanza Comercial</t>
  </si>
  <si>
    <t>Consulta de las Escuelas Privadas Verificadas</t>
  </si>
  <si>
    <t>Consulta Web  de Devoluciones Automáticas</t>
  </si>
  <si>
    <t>PKI-SAT (Public Key Infraestructure - SAT)</t>
  </si>
  <si>
    <t>Modelo de Administración Tributaria Notificación y Verificación</t>
  </si>
  <si>
    <t>DARIO - RFC</t>
  </si>
  <si>
    <t>Fraud Intelligence Analysis para la AGE</t>
  </si>
  <si>
    <t>Donaciones del Extranjero en Línea</t>
  </si>
  <si>
    <t>Alta de Usuarios</t>
  </si>
  <si>
    <t>Intercambio de Información con Sectores de Comercio Exterior</t>
  </si>
  <si>
    <t>Sistema de Revocación con Firma Electrónica</t>
  </si>
  <si>
    <t>Notificación por Estrados o Edictos</t>
  </si>
  <si>
    <t>Extracción de movimientos de GC para ALAC´s</t>
  </si>
  <si>
    <t>Contraseña</t>
  </si>
  <si>
    <t>Impresores/Autoimpresores Autorizados</t>
  </si>
  <si>
    <t>Control de Folios para Atentas Notas y Oficios de las Unidades Administrativas del SAT</t>
  </si>
  <si>
    <t>Sistema de Control de Cuentas de Créditos y Garantías</t>
  </si>
  <si>
    <t>Condonación de Adeudos</t>
  </si>
  <si>
    <t>Carga Diaria de Comercio Exterior</t>
  </si>
  <si>
    <t>Northbound</t>
  </si>
  <si>
    <t>Estructura de Cumplimiento</t>
  </si>
  <si>
    <t>Captura y Validación Contables (Esquema anterior)</t>
  </si>
  <si>
    <t>Consulta Remota de Pedimentos</t>
  </si>
  <si>
    <t>Notificación Verificación Local de Grandes Contribuyentes</t>
  </si>
  <si>
    <t>Crédito a las pequeñas y medianas empresas</t>
  </si>
  <si>
    <t>Sistema de Operaciones de Comercio Exterior</t>
  </si>
  <si>
    <t>Créditos Fiscales</t>
  </si>
  <si>
    <t>Cargador de Pedimentos</t>
  </si>
  <si>
    <t xml:space="preserve">Devoluciones y Compensaciones </t>
  </si>
  <si>
    <t>ARA y ARA_WEB</t>
  </si>
  <si>
    <t>Notificación Verificación Local de Recaudación</t>
  </si>
  <si>
    <t>Evaluación EIDD 360°</t>
  </si>
  <si>
    <t>Generación de Padrón de GC para AGGC</t>
  </si>
  <si>
    <t>CRM - Solución Integral</t>
  </si>
  <si>
    <t>Portal de la ACDMA</t>
  </si>
  <si>
    <t>Oficialía de Partes digital para la Administración General Jurídica</t>
  </si>
  <si>
    <t>Encuestas de las Unidades Administrativas del SAT</t>
  </si>
  <si>
    <t>Centro de Procesamiento Electrónico de Datos</t>
  </si>
  <si>
    <t>MAT - Control de Obligaciones</t>
  </si>
  <si>
    <t>Certificación de Operaciones NEPE</t>
  </si>
  <si>
    <t>MAEFIEL</t>
  </si>
  <si>
    <t>Portal Reportes</t>
  </si>
  <si>
    <t>ETL_CAT_RFALR</t>
  </si>
  <si>
    <t>CLINCAT</t>
  </si>
  <si>
    <t>Consulta de Declaraciones y Pagos (Esquema anterior) y NEP (Local, Regional y Central)</t>
  </si>
  <si>
    <t>Devoluciones y Compensaciones ODS</t>
  </si>
  <si>
    <t>OCSP</t>
  </si>
  <si>
    <t>Control y Registro de Usuarios</t>
  </si>
  <si>
    <t>Modelo de Administración Tributaria Proceso Masivo de Inscripción</t>
  </si>
  <si>
    <t>Recurso de Revocación en Línea</t>
  </si>
  <si>
    <t>Expediente Electrónico – Bóveda de Créditos</t>
  </si>
  <si>
    <t>Modelo de Administración Tributaria de Cobranza</t>
  </si>
  <si>
    <t>Consulta de Declaraciones y Pagos Web</t>
  </si>
  <si>
    <t>Devoluciones y Compensaciones Interface de MAT a SIR</t>
  </si>
  <si>
    <t>Recuperación de certificados</t>
  </si>
  <si>
    <t>Sistema de Firmado Electrónico de Notificaciones</t>
  </si>
  <si>
    <t>Portal Anti Lavado de Dinero</t>
  </si>
  <si>
    <t>FIEL_CIEC</t>
  </si>
  <si>
    <t>Consulta de Permisos de Importación Temporal de Vehículos</t>
  </si>
  <si>
    <t>Opinión del Cumplimiento del Contribuyente</t>
  </si>
  <si>
    <t>Consulta de Enajenación de Casa-Habitación para Fedatarios Públicos</t>
  </si>
  <si>
    <t>FORMA 3241</t>
  </si>
  <si>
    <t>Selladora y Selladora WEB</t>
  </si>
  <si>
    <t>Sistema de Retroalimentación de Resultados de las Entidades Federativas</t>
  </si>
  <si>
    <t>RFC Ampliado</t>
  </si>
  <si>
    <t>Soporte a PPMC</t>
  </si>
  <si>
    <t>Servicios Comunes Jurídico</t>
  </si>
  <si>
    <t>Firma Electrónica: Validador del estatus del certificado de Firma Electrónica</t>
  </si>
  <si>
    <t>Relación de Contribuyentes Incumplidos</t>
  </si>
  <si>
    <t>Propuesta de Pago Trimestral para ISR e IVA</t>
  </si>
  <si>
    <t>Generación de Insumos para MAT-SAD</t>
  </si>
  <si>
    <t>Control y Seguimiento 2a. Etapa</t>
  </si>
  <si>
    <t>Seguridad para el Sistema Integral de Recaudación (SIR)</t>
  </si>
  <si>
    <t>SI-Consultas y Autorizaciones en línea</t>
  </si>
  <si>
    <t>Contingencia</t>
  </si>
  <si>
    <t>Consulta de Transacciones</t>
  </si>
  <si>
    <t>Integración de SIOS, anexos 7, 11 y 11A (Morsa IVA – SIOS)</t>
  </si>
  <si>
    <t>Seguridad para el Sistema Integral de Recaudación (SIR) Grandes Contribuyentes</t>
  </si>
  <si>
    <t>Solicitud Donatarias</t>
  </si>
  <si>
    <t>Generador de Documentos Institucional</t>
  </si>
  <si>
    <t>Consulta, Reimpresión y Certificación de Declaraciones presentadas en la plataforma MAT</t>
  </si>
  <si>
    <t>MAT- Sistema de Devoluciones Automáticas</t>
  </si>
  <si>
    <t>Desdoble de Factura Electrónica</t>
  </si>
  <si>
    <t>Transparencias Donatarias</t>
  </si>
  <si>
    <t>Harvest Generación de Matriz de Cambios</t>
  </si>
  <si>
    <t>Crosschecking</t>
  </si>
  <si>
    <t>Consulta RIF</t>
  </si>
  <si>
    <t>Modelo de Administración Tributaria Devoluciones y Compensaciones</t>
  </si>
  <si>
    <t>Dictámenes Inteligencia de Negocio</t>
  </si>
  <si>
    <t>Resultados Evaluación Minnesota Recursos Humanos</t>
  </si>
  <si>
    <t>Despacho Aduanero</t>
  </si>
  <si>
    <t xml:space="preserve">Recepción de Trámites </t>
  </si>
  <si>
    <t>Sistema de Administración de Puestos y Publicación</t>
  </si>
  <si>
    <t>Webservice (Internos y Externo)</t>
  </si>
  <si>
    <t>DWH: Migrar el proceso ETL de Aduanas para los temas: Selección, Reconocimiento, Fechas Eventos, No Pedimentos, Validación Pago y Manifiestos a la infraestructura aprovisionada por el MTSI</t>
  </si>
  <si>
    <t>Contabilidad Central (Esquema anterior)</t>
  </si>
  <si>
    <t>Sistema de Capital humano</t>
  </si>
  <si>
    <t>Webservice externos (imss e infonavit)</t>
  </si>
  <si>
    <t>ODS de Cobranza</t>
  </si>
  <si>
    <t>e5Cinco</t>
  </si>
  <si>
    <t>Contabilidad Regional (Esquema anterior)</t>
  </si>
  <si>
    <t>SIOS Devoluciones y Compensaciones</t>
  </si>
  <si>
    <t>Sistema de Control de Oficios de Suficiencia</t>
  </si>
  <si>
    <t>Herramienta para visualizar la información digitalizada obtenida en SaC e IdC.</t>
  </si>
  <si>
    <t>Sistema de Gestión de Acuerdos</t>
  </si>
  <si>
    <t>Lista de Control de Obligados</t>
  </si>
  <si>
    <t>Extractor de Información en las Aduanas para el Data Mart</t>
  </si>
  <si>
    <t>Sistema de Consulta de Recaudación</t>
  </si>
  <si>
    <t>Sistema de Nómina Institucional del SAT</t>
  </si>
  <si>
    <t>Mapa Interactivo Funcionarios SAT</t>
  </si>
  <si>
    <t>Sistema de Control de Devoluciones</t>
  </si>
  <si>
    <t>Fiscalización de Juegos y Sorteos</t>
  </si>
  <si>
    <t>Sistema de Pólizas</t>
  </si>
  <si>
    <t>MAT – Portal para Empleados</t>
  </si>
  <si>
    <t>Sistema de Recepción de Comprobantes Fiscales Digitales</t>
  </si>
  <si>
    <t>Matriz de Aplicaciones SDMA</t>
  </si>
  <si>
    <t>Índice Nacional de Precios al Consumidor</t>
  </si>
  <si>
    <t>Indicadores de tableros de mando de AGAFF</t>
  </si>
  <si>
    <t>Sistema de Seguimiento y Control de Licitaciones</t>
  </si>
  <si>
    <t>Métricas de Calidad de Software</t>
  </si>
  <si>
    <t>Intercambio de información con Argentina</t>
  </si>
  <si>
    <t>Sistema Programa Operativo Anual ( POA)</t>
  </si>
  <si>
    <t>Modelo de Control</t>
  </si>
  <si>
    <t>Interfase SAAI-SAAPA</t>
  </si>
  <si>
    <t>Declaración Informativa de Fomento al Primer Empleo</t>
  </si>
  <si>
    <t>MORSA IDE 1.0</t>
  </si>
  <si>
    <t>Nómina RIF</t>
  </si>
  <si>
    <t>Instituto Mexicano de la Propiedad Intelectual</t>
  </si>
  <si>
    <t>MORSA ISR 1.0</t>
  </si>
  <si>
    <t>Monitor del Servicio de Identidades</t>
  </si>
  <si>
    <t>Justificador de Pedimentos</t>
  </si>
  <si>
    <t>Declaración Informativa de Empresas Manufactureras, Maquiladoras y de Servicios de Exportación (Documentos Digitales)</t>
  </si>
  <si>
    <t>MORSA IVA 2.0</t>
  </si>
  <si>
    <t>Padrón de RFC a Ciudadanos con CURP</t>
  </si>
  <si>
    <t>Padrón de Importadores</t>
  </si>
  <si>
    <t>Declaración Informativa de Notarios Públicos y demás Fedatarios.</t>
  </si>
  <si>
    <t>Padrón de Tabacaleras</t>
  </si>
  <si>
    <t>Padrones Sectoriales</t>
  </si>
  <si>
    <t>Declaración Informativa de Operaciones con Terceros</t>
  </si>
  <si>
    <t>Personas Políticamente Expuestas (PPE-FPPE)</t>
  </si>
  <si>
    <t>Parametrización</t>
  </si>
  <si>
    <t>Registro de Contadores Públicos y Despachos</t>
  </si>
  <si>
    <t>Sistema Automatizado Integral de Marbetes y Precintos</t>
  </si>
  <si>
    <t>PNR - Passenger Name Record</t>
  </si>
  <si>
    <t>Declaración Informativa Mensual y Anual del Impuesto a los Depósitos en Efectivo</t>
  </si>
  <si>
    <t>Sistema de Contadores Públicos</t>
  </si>
  <si>
    <t>Solución Integral Servicios al Contribuyente</t>
  </si>
  <si>
    <t>PTSC-RFS - Portal Mis Cuentas</t>
  </si>
  <si>
    <t>Rayos Gamma M3</t>
  </si>
  <si>
    <t>Declaración Informativa Múltiple del IEPS</t>
  </si>
  <si>
    <t>Sistema de Códigos de Tabacos</t>
  </si>
  <si>
    <t>PTSC-RFC - Portal RFC Ampliado</t>
  </si>
  <si>
    <t>MIGA</t>
  </si>
  <si>
    <t>Declaración Informativa Múltiple DIM</t>
  </si>
  <si>
    <t>Sistema de Control de Registro de Denuncias</t>
  </si>
  <si>
    <t>Sorteo Fiscal del Buen Fin</t>
  </si>
  <si>
    <t>PTSC - Seguridad SIAT - Fase 3 (Integración de nuevas ligas)</t>
  </si>
  <si>
    <t>Declaración Informativa por Contraprestaciones o Donativos Recibidos Superiores a $ 100,000.00</t>
  </si>
  <si>
    <t>Sistema de Expedición y Control de Revisiones Fiscales</t>
  </si>
  <si>
    <t>SAC-BPM</t>
  </si>
  <si>
    <t>Registro de las fechas planeadas de Atención y las fechas reales de Atención a Incidentes</t>
  </si>
  <si>
    <t>SAT Móvil</t>
  </si>
  <si>
    <t>Registro de sugerencias de mejoras sobre aplicativos</t>
  </si>
  <si>
    <t>SAAI M3 Bancos</t>
  </si>
  <si>
    <t>Declaraciones Electrónicas (Esquema Anterior) Central y Regional (Declaraciones PEMEX)</t>
  </si>
  <si>
    <t>Situación Integral del Contribuyente</t>
  </si>
  <si>
    <t>SAAPA Transporte Aéreo</t>
  </si>
  <si>
    <t>Sistema de Monitoreo de Auditoria</t>
  </si>
  <si>
    <t>Repositorio de Seguridad de la Información - Nébula</t>
  </si>
  <si>
    <t>Selección Automatizada</t>
  </si>
  <si>
    <t>Declaraciones Informativas en Medios Magnéticos (DIMM)</t>
  </si>
  <si>
    <t>Sistema de Seguridad para el Monitoreo de Aplicaciones</t>
  </si>
  <si>
    <t>Sistema de Validación de Órdenes de Fiscalización</t>
  </si>
  <si>
    <t>Servicio de Emisión de Correo Electrónico a la Aduana Extranjera de origen/destino a la Importación o Exportación de Diamantes en bruto</t>
  </si>
  <si>
    <t>Sistema Dinámico de Consulta</t>
  </si>
  <si>
    <t>Sistema Único de Normatividad</t>
  </si>
  <si>
    <t>Servicios comunes del BUS</t>
  </si>
  <si>
    <t>Sistema de Autoservicio para Empleados</t>
  </si>
  <si>
    <t>SICA_COGNOS: Integrar las cuentas contables correspondientes al 2014</t>
  </si>
  <si>
    <t>DIM</t>
  </si>
  <si>
    <t>Sistema Integral del Dictamen</t>
  </si>
  <si>
    <t>Sistema Automatizado de Registro de Manifiestos de Carga</t>
  </si>
  <si>
    <t>Sistema Único de Información Integral</t>
  </si>
  <si>
    <t>Tablero de Valoración</t>
  </si>
  <si>
    <t>Sistema de Análisis Automatizado a Priori Aduanal</t>
  </si>
  <si>
    <t>Sistema de Análisis de Operaciones de Riesgo por Subvaluación</t>
  </si>
  <si>
    <t>Sistema de Autorizaciones para Pitex y Maquila</t>
  </si>
  <si>
    <t>Sistema de Captura de Declaraciones de Dinero</t>
  </si>
  <si>
    <t>FATCA</t>
  </si>
  <si>
    <t xml:space="preserve">Sistema de Control de Acceso a Predespacho </t>
  </si>
  <si>
    <t>Formatos de Hidrocarburos</t>
  </si>
  <si>
    <t>Sistema de Control de Agentes y Apoderados Aduanales</t>
  </si>
  <si>
    <t>Forma 63 “Declaración Informativa de los Regímenes Fiscales Preferentes”</t>
  </si>
  <si>
    <t>Sistema de Control de Catálogos</t>
  </si>
  <si>
    <t>Forma Oficial 76 “Información de Operaciones Relevantes (Artículo 31-A del Código Fiscal de la Federación)”.</t>
  </si>
  <si>
    <t>Sistema de Control de Recintos Fiscales</t>
  </si>
  <si>
    <t>Forma 81 “Declaración Informativa de Consorcio Petrolero”</t>
  </si>
  <si>
    <t>Sistema de Control Ferroviario</t>
  </si>
  <si>
    <t>Sistema de Control y Seguimiento de Muestras</t>
  </si>
  <si>
    <t>IDE</t>
  </si>
  <si>
    <t>Sistema de Exclusas de Control Aduanero</t>
  </si>
  <si>
    <t>Impresión de Declaraciones Electrónicas  (Esquema anterior)</t>
  </si>
  <si>
    <t>Sistema de Gestión de Riesgo para el Programa Viajero Confiable</t>
  </si>
  <si>
    <t>Sistema de Monitoreo de Control de Demonios</t>
  </si>
  <si>
    <t>Listado de Conceptos que sirvió de base para calcular el Impuesto Empresarial a Determinar</t>
  </si>
  <si>
    <t>Sistema de Muestras de Laboratorio</t>
  </si>
  <si>
    <t>MAT-Régimen de incorporación Fiscal</t>
  </si>
  <si>
    <t>Sistema de Operación Integral Aduanera</t>
  </si>
  <si>
    <t>Sistema de Reconocimiento</t>
  </si>
  <si>
    <t xml:space="preserve">Monitor de Lotes “Modelo” (NEPE) </t>
  </si>
  <si>
    <t xml:space="preserve">Sistema Electrónico de Control de Inventarios de Importación Temporal </t>
  </si>
  <si>
    <t>Motor de Pagos con Tarjeta de Crédito</t>
  </si>
  <si>
    <t>Sistema Integral de Contabilidad Aduanera</t>
  </si>
  <si>
    <t>Nuevo Esquema de Pagos Electrónicos</t>
  </si>
  <si>
    <t>Staging de Carga Diaria</t>
  </si>
  <si>
    <t>Pago Provisional Simplificado</t>
  </si>
  <si>
    <t>Tránsitos</t>
  </si>
  <si>
    <t>Tipo de Cambio</t>
  </si>
  <si>
    <t>Planificador</t>
  </si>
  <si>
    <t>Validador de Operaciones de Comercio Exterior</t>
  </si>
  <si>
    <t>Portal de Operaciones Vulnerables</t>
  </si>
  <si>
    <t>Validador Sintactico Catalogico Generalizado  (VSCG)</t>
  </si>
  <si>
    <t>Programa Validador de la Información generada por las Instituciones de Crédito, Aseguradoras, Afianzadoras y Casas de Bolsa, por la Obligación derivada del Art. 32-B Fracción VIII del CFF</t>
  </si>
  <si>
    <t>Programa Validador para la Recepción de Intereses, Enajenación de Acciones, Sociedades de Inversión e Intereses Hipotecarios</t>
  </si>
  <si>
    <t>Recepción de Declaraciones y Pagos SIR_Local</t>
  </si>
  <si>
    <t>Registro Fiscal Simplificado</t>
  </si>
  <si>
    <t xml:space="preserve">Reimpresión de acuses </t>
  </si>
  <si>
    <t>Simulador RIF</t>
  </si>
  <si>
    <t>Sistema Visualizador de Pagos Electrónicos Bancarios (Esquema anterior)</t>
  </si>
  <si>
    <t>Validador de Declaraciones Informativas en Medios Magnéticos</t>
  </si>
  <si>
    <t>Verificación de Sellos Digitales</t>
  </si>
  <si>
    <t>Administración del Riesgo</t>
  </si>
  <si>
    <t>Comercio exterior - Pre-despacho</t>
  </si>
  <si>
    <t>Notificación Verificación</t>
  </si>
  <si>
    <t>Recursos y Servicios</t>
  </si>
  <si>
    <t>Listado</t>
  </si>
  <si>
    <t>CDMWEB</t>
  </si>
  <si>
    <t>CDAWEB</t>
  </si>
  <si>
    <t>SIR/DyC</t>
  </si>
  <si>
    <t>MAT- SAD</t>
  </si>
  <si>
    <t>RECEPCION_T</t>
  </si>
  <si>
    <t>SIOS-DyC</t>
  </si>
  <si>
    <t>SICRE</t>
  </si>
  <si>
    <t>SICODEV</t>
  </si>
  <si>
    <t>MAT BUZÓN</t>
  </si>
  <si>
    <t>CRP</t>
  </si>
  <si>
    <t>ContabE</t>
  </si>
  <si>
    <t>CORUS (IDC)</t>
  </si>
  <si>
    <t>SECREFI</t>
  </si>
  <si>
    <t>DICTAMENES BI</t>
  </si>
  <si>
    <t>JyS</t>
  </si>
  <si>
    <t>CPR'S</t>
  </si>
  <si>
    <t>SCP</t>
  </si>
  <si>
    <t>SRCD</t>
  </si>
  <si>
    <t>SECREFI.NET</t>
  </si>
  <si>
    <t>SIINCO</t>
  </si>
  <si>
    <t>SISE</t>
  </si>
  <si>
    <t>SIVAOF</t>
  </si>
  <si>
    <t>SDC</t>
  </si>
  <si>
    <t>SID</t>
  </si>
  <si>
    <t>SUII</t>
  </si>
  <si>
    <t>SUIEFI</t>
  </si>
  <si>
    <t>SIMA</t>
  </si>
  <si>
    <t>SCCCyG</t>
  </si>
  <si>
    <t>IISCE</t>
  </si>
  <si>
    <t>APIS</t>
  </si>
  <si>
    <t>CONTINGENCIA</t>
  </si>
  <si>
    <t>CROSSCHECKING</t>
  </si>
  <si>
    <t>SAAI</t>
  </si>
  <si>
    <t>CIITEV</t>
  </si>
  <si>
    <t>DATA MART</t>
  </si>
  <si>
    <t>FEA</t>
  </si>
  <si>
    <t>RNIE</t>
  </si>
  <si>
    <t>PADRONES SECTORIALES</t>
  </si>
  <si>
    <t>PARAMETRIZACION</t>
  </si>
  <si>
    <t>RECONOCIMIENTO GAMMA</t>
  </si>
  <si>
    <t>SAM M3</t>
  </si>
  <si>
    <t>SAPS</t>
  </si>
  <si>
    <t>SICA</t>
  </si>
  <si>
    <t>SICADED</t>
  </si>
  <si>
    <t>SICOFE</t>
  </si>
  <si>
    <t>SICREFIS</t>
  </si>
  <si>
    <t>SIMACODI / SAAPyT</t>
  </si>
  <si>
    <t>SIMULA</t>
  </si>
  <si>
    <t>SICOSEM</t>
  </si>
  <si>
    <t>SOIA</t>
  </si>
  <si>
    <t xml:space="preserve">PEA
</t>
  </si>
  <si>
    <t>INTERFASE SAAI - SAAAPA</t>
  </si>
  <si>
    <t>IMPI</t>
  </si>
  <si>
    <t>SAORS</t>
  </si>
  <si>
    <t>CPED</t>
  </si>
  <si>
    <t>SAAAPA</t>
  </si>
  <si>
    <t>CPITV</t>
  </si>
  <si>
    <t>SICOAP</t>
  </si>
  <si>
    <t>INPC</t>
  </si>
  <si>
    <t>DIAMANTES</t>
  </si>
  <si>
    <t>SIGER-PVC</t>
  </si>
  <si>
    <t>AMPP</t>
  </si>
  <si>
    <t>INDIRA</t>
  </si>
  <si>
    <t>SER_COM_BUS</t>
  </si>
  <si>
    <t>TIPCAM</t>
  </si>
  <si>
    <t>CAR_PED_ORACLE</t>
  </si>
  <si>
    <t>CONSULTA SECIIT</t>
  </si>
  <si>
    <t>EXPRES</t>
  </si>
  <si>
    <t>SIR-CCT</t>
  </si>
  <si>
    <t>Condonaciones</t>
  </si>
  <si>
    <t>CREDFIS</t>
  </si>
  <si>
    <t>CertiSAT</t>
  </si>
  <si>
    <t>SOLCEDI</t>
  </si>
  <si>
    <t>PKI - SAT</t>
  </si>
  <si>
    <t>SIREFE</t>
  </si>
  <si>
    <t>NV_GESTOR</t>
  </si>
  <si>
    <t>SI- SAC</t>
  </si>
  <si>
    <t>App_SAT_Móvil</t>
  </si>
  <si>
    <t>EXPVIEW (Webtop)</t>
  </si>
  <si>
    <t>DARIO ALR's</t>
  </si>
  <si>
    <t>DARIO-RFC</t>
  </si>
  <si>
    <t>EXTMOVGC</t>
  </si>
  <si>
    <t>EXTGC</t>
  </si>
  <si>
    <t>Seguridad SIR</t>
  </si>
  <si>
    <t>Seguridad SIR - GC</t>
  </si>
  <si>
    <t>SI-IDC</t>
  </si>
  <si>
    <t>RFC_AMPLIADO</t>
  </si>
  <si>
    <t>PROMAINS</t>
  </si>
  <si>
    <t>IDC Interno</t>
  </si>
  <si>
    <t>MAT Cuestionario ODM</t>
  </si>
  <si>
    <t>MAT Lavado de Dinero</t>
  </si>
  <si>
    <t>MAT_WS_RIF</t>
  </si>
  <si>
    <t>BUSLOCALIDADES</t>
  </si>
  <si>
    <t>PROPUESTA</t>
  </si>
  <si>
    <t>BUSFI</t>
  </si>
  <si>
    <t>CPRIV</t>
  </si>
  <si>
    <t>ALRCON</t>
  </si>
  <si>
    <t>CONSULTA_TRA</t>
  </si>
  <si>
    <t>CONT_CENT</t>
  </si>
  <si>
    <t>CONT_REG</t>
  </si>
  <si>
    <t>DEM PEMEX</t>
  </si>
  <si>
    <t>DIMM</t>
  </si>
  <si>
    <t>MODELO</t>
  </si>
  <si>
    <t>NEPE</t>
  </si>
  <si>
    <t>CONT_LOCAL</t>
  </si>
  <si>
    <t>SIVIPEB</t>
  </si>
  <si>
    <t>GDEF</t>
  </si>
  <si>
    <t>DEC_IDE</t>
  </si>
  <si>
    <t>DIOT</t>
  </si>
  <si>
    <t>LIE</t>
  </si>
  <si>
    <t>CUN-WEB</t>
  </si>
  <si>
    <t>SELLOS_DIG</t>
  </si>
  <si>
    <t>VALIDADOR DE FIDEICOMISOS</t>
  </si>
  <si>
    <t>VALIDADOR DE INTERESES</t>
  </si>
  <si>
    <t>Avisos 86A</t>
  </si>
  <si>
    <t>Forma 35</t>
  </si>
  <si>
    <t>Forma R15</t>
  </si>
  <si>
    <t>DECLARANOT</t>
  </si>
  <si>
    <t>MULTI-IEPS</t>
  </si>
  <si>
    <t>CONSULTA DE FEDATARIOS</t>
  </si>
  <si>
    <t>Forma 43A</t>
  </si>
  <si>
    <t>DEC_EDITORES</t>
  </si>
  <si>
    <t>DIFPE</t>
  </si>
  <si>
    <t>CONSULTA CU</t>
  </si>
  <si>
    <t>VDIMM</t>
  </si>
  <si>
    <t>SISPR</t>
  </si>
  <si>
    <t>F76</t>
  </si>
  <si>
    <t>FOR_HIDRO</t>
  </si>
  <si>
    <t>REACU</t>
  </si>
  <si>
    <t>DIEMSE_ Documentos_Digitales</t>
  </si>
  <si>
    <t>F100</t>
  </si>
  <si>
    <t>DeclaraSAT</t>
  </si>
  <si>
    <t xml:space="preserve"> Declaración Informativa de Aprovechamientos por el Manejo, Almacenaje y Custodia de Mercancías de Comercio Exterior.</t>
  </si>
  <si>
    <t>Declaración  Informática de Editores</t>
  </si>
  <si>
    <t>VFSDD</t>
  </si>
  <si>
    <t>DD-PCC</t>
  </si>
  <si>
    <t>DD-PE</t>
  </si>
  <si>
    <t>CONTABILIDAD NEPE</t>
  </si>
  <si>
    <t>SI- GL</t>
  </si>
  <si>
    <t>ACW</t>
  </si>
  <si>
    <t>DonExt</t>
  </si>
  <si>
    <t>TransDon</t>
  </si>
  <si>
    <t>ACA</t>
  </si>
  <si>
    <t>PREP</t>
  </si>
  <si>
    <t>IMPRESORES</t>
  </si>
  <si>
    <t>SOLDON</t>
  </si>
  <si>
    <t>RRL</t>
  </si>
  <si>
    <t>CAL</t>
  </si>
  <si>
    <t>OPDAGJ</t>
  </si>
  <si>
    <t>DEL</t>
  </si>
  <si>
    <t>COMUNESJ</t>
  </si>
  <si>
    <t>AU</t>
  </si>
  <si>
    <t>Administración de Catálogos de Usuarios</t>
  </si>
  <si>
    <t>COPA</t>
  </si>
  <si>
    <t>PLANT</t>
  </si>
  <si>
    <t>AGS-ELM </t>
  </si>
  <si>
    <t>SGA</t>
  </si>
  <si>
    <t>SSCL</t>
  </si>
  <si>
    <t>EIDD</t>
  </si>
  <si>
    <t>MMPI</t>
  </si>
  <si>
    <t>AP</t>
  </si>
  <si>
    <t>TCV</t>
  </si>
  <si>
    <t>CE</t>
  </si>
  <si>
    <t>SIPO</t>
  </si>
  <si>
    <t>IRH</t>
  </si>
  <si>
    <t>SCOS</t>
  </si>
  <si>
    <t>CSC</t>
  </si>
  <si>
    <t>POA</t>
  </si>
  <si>
    <t>SRCFD</t>
  </si>
  <si>
    <t>NOMINASAT</t>
  </si>
  <si>
    <t>SORTEO_BF</t>
  </si>
  <si>
    <t>SORTEO_PAGO_EN ESPECIE</t>
  </si>
  <si>
    <t>SIPRE</t>
  </si>
  <si>
    <t>MAPA_SAT</t>
  </si>
  <si>
    <t>SIVART 107</t>
  </si>
  <si>
    <t>CTRLGEST</t>
  </si>
  <si>
    <t>REPUVE</t>
  </si>
  <si>
    <t>PORT_DMA</t>
  </si>
  <si>
    <t>SP_PPMC</t>
  </si>
  <si>
    <t>ADAC</t>
  </si>
  <si>
    <t>SUN</t>
  </si>
  <si>
    <t>GEN_MAT</t>
  </si>
  <si>
    <t>ENC_SAT</t>
  </si>
  <si>
    <t>SIFO</t>
  </si>
  <si>
    <t>IS4</t>
  </si>
  <si>
    <t>MEJORAS</t>
  </si>
  <si>
    <t>TAB_CTRL_SDMA</t>
  </si>
  <si>
    <t>TAB_VAL</t>
  </si>
  <si>
    <t>SICAP</t>
  </si>
  <si>
    <t>MA_APLIC</t>
  </si>
  <si>
    <t>METRICAS</t>
  </si>
  <si>
    <t>ALM</t>
  </si>
  <si>
    <t>MAT-CBZ</t>
  </si>
  <si>
    <t>PDC</t>
  </si>
  <si>
    <t>MAT-CO</t>
  </si>
  <si>
    <t>CRIF</t>
  </si>
  <si>
    <t>COREC_DyP</t>
  </si>
  <si>
    <t>MPG</t>
  </si>
  <si>
    <t>PPS</t>
  </si>
  <si>
    <t>PLA</t>
  </si>
  <si>
    <t>RFS</t>
  </si>
  <si>
    <t>SRIF</t>
  </si>
  <si>
    <t>MAT-DyC</t>
  </si>
  <si>
    <t>PIT</t>
  </si>
  <si>
    <t>SAIMYP</t>
  </si>
  <si>
    <t>SICODTAB</t>
  </si>
  <si>
    <t>GVI</t>
  </si>
  <si>
    <t>NEE</t>
  </si>
  <si>
    <t>PTSC</t>
  </si>
  <si>
    <t>CPY</t>
  </si>
  <si>
    <t>VAD</t>
  </si>
  <si>
    <t>Verificador de Autenticidad de Documentos</t>
  </si>
  <si>
    <t>INAMI</t>
  </si>
  <si>
    <t>DDM</t>
  </si>
  <si>
    <t>VFE</t>
  </si>
  <si>
    <t>MAT-PE</t>
  </si>
  <si>
    <t>PTSC_SEG</t>
  </si>
  <si>
    <t>PTSC_RFC</t>
  </si>
  <si>
    <t>PTSC_RFS</t>
  </si>
  <si>
    <t>AUTO-CUENTAS</t>
  </si>
  <si>
    <t>E- Firma Portable</t>
  </si>
  <si>
    <t>TCO_PITA</t>
  </si>
  <si>
    <t>ADMINISTRACION_TECNICA</t>
  </si>
  <si>
    <t>ALTA_DE_USUARIOS (PERCLA)</t>
  </si>
  <si>
    <t>FRAUDIX</t>
  </si>
  <si>
    <t>IEE</t>
  </si>
  <si>
    <t>JUSTIFICADOR_DE_PEDIMENTOS</t>
  </si>
  <si>
    <t>SAAI M3 BANCOS</t>
  </si>
  <si>
    <t>SAIT</t>
  </si>
  <si>
    <t>SCAAA</t>
  </si>
  <si>
    <t>SICOCA</t>
  </si>
  <si>
    <t>SIREM M3</t>
  </si>
  <si>
    <t>TRANSITOS</t>
  </si>
  <si>
    <t>VOCE</t>
  </si>
  <si>
    <t>VSCG</t>
  </si>
  <si>
    <t>SIECA</t>
  </si>
  <si>
    <t>MUF</t>
  </si>
  <si>
    <t>TRANSITOS_SIN_PAPEL</t>
  </si>
  <si>
    <t>VISOR_DOCUMENTOS_VUCEM</t>
  </si>
  <si>
    <t>SIRESI M3</t>
  </si>
  <si>
    <t>Manifiesto Único Ferroviario</t>
  </si>
  <si>
    <t>Tránsitos sin Papel</t>
  </si>
  <si>
    <t>Visor VUCEM</t>
  </si>
  <si>
    <t>R32D</t>
  </si>
  <si>
    <t>DFE</t>
  </si>
  <si>
    <t>LCO</t>
  </si>
  <si>
    <t>PPE</t>
  </si>
  <si>
    <t>IMMEX</t>
  </si>
  <si>
    <t>MIRCD</t>
  </si>
  <si>
    <t>SOCEX</t>
  </si>
  <si>
    <t>COBRA</t>
  </si>
  <si>
    <t>SIA</t>
  </si>
  <si>
    <t>CON13&amp;64</t>
  </si>
  <si>
    <t>MAT-RIF</t>
  </si>
  <si>
    <t>PORTAL ANTILAVADO</t>
  </si>
  <si>
    <t>DYCMS</t>
  </si>
  <si>
    <t>DyC_ODS</t>
  </si>
  <si>
    <t>F3241</t>
  </si>
  <si>
    <t>INSUMOS_SAD</t>
  </si>
  <si>
    <t>DYCND</t>
  </si>
  <si>
    <t>BSC AGAFF</t>
  </si>
  <si>
    <t>ACCESOPROV</t>
  </si>
  <si>
    <t>APPEE</t>
  </si>
  <si>
    <t>COMPILACION</t>
  </si>
  <si>
    <t>CONTRASEÑA</t>
  </si>
  <si>
    <t>RP RFC CURP</t>
  </si>
  <si>
    <t>APIS_2008</t>
  </si>
  <si>
    <t>CARGA_DIARIA</t>
  </si>
  <si>
    <t>ETL ADUANAS</t>
  </si>
  <si>
    <t>PNR</t>
  </si>
  <si>
    <t>SAAPA TA</t>
  </si>
  <si>
    <t>OPER_CONTABLE</t>
  </si>
  <si>
    <t>STAGING</t>
  </si>
  <si>
    <t>MONITOREO_DE_MEDIOS</t>
  </si>
  <si>
    <t>FIA-AGE</t>
  </si>
  <si>
    <t>GDI</t>
  </si>
  <si>
    <t>MARC</t>
  </si>
  <si>
    <t>MODELO_DE_CONTROL</t>
  </si>
  <si>
    <t>MONSI</t>
  </si>
  <si>
    <t>Modelo de Administración de Riesgo Corrupción</t>
  </si>
  <si>
    <t>DMMA</t>
  </si>
  <si>
    <t>EEBC</t>
  </si>
  <si>
    <t>SATBook</t>
  </si>
  <si>
    <t>CEDULA_DEL_CONTRIBUYENTE</t>
  </si>
  <si>
    <t>Cédula del Contribuyente</t>
  </si>
  <si>
    <t>CITASAT</t>
  </si>
  <si>
    <t>PORIF</t>
  </si>
  <si>
    <t>CICLO_DE_VIDA_DE_CONTRATOS</t>
  </si>
  <si>
    <t>ED</t>
  </si>
  <si>
    <t>MAT NyV</t>
  </si>
  <si>
    <t>NV LOCAL GC</t>
  </si>
  <si>
    <t>NV LOCAL ALR</t>
  </si>
  <si>
    <t>NV_PORTAL</t>
  </si>
  <si>
    <t>SIFEN</t>
  </si>
  <si>
    <t>SIRREF</t>
  </si>
  <si>
    <t>Administración_del_Riesgo</t>
  </si>
  <si>
    <t>_01</t>
  </si>
  <si>
    <t>_02</t>
  </si>
  <si>
    <t>_03</t>
  </si>
  <si>
    <t>_04</t>
  </si>
  <si>
    <t>_05</t>
  </si>
  <si>
    <t>_06</t>
  </si>
  <si>
    <t>_07</t>
  </si>
  <si>
    <t>_08</t>
  </si>
  <si>
    <t>_09</t>
  </si>
  <si>
    <t>_10</t>
  </si>
  <si>
    <t>_11</t>
  </si>
  <si>
    <t>_12</t>
  </si>
  <si>
    <t>_13</t>
  </si>
  <si>
    <t>_14</t>
  </si>
  <si>
    <t>_15</t>
  </si>
  <si>
    <t>_16</t>
  </si>
  <si>
    <t>_17</t>
  </si>
  <si>
    <t>_19</t>
  </si>
  <si>
    <t>_20</t>
  </si>
  <si>
    <t>_21</t>
  </si>
  <si>
    <t>_22</t>
  </si>
  <si>
    <t>_23</t>
  </si>
  <si>
    <t>_24</t>
  </si>
  <si>
    <t>_25</t>
  </si>
  <si>
    <t>_26</t>
  </si>
  <si>
    <t>_27</t>
  </si>
  <si>
    <t>_28</t>
  </si>
  <si>
    <t>_29</t>
  </si>
  <si>
    <t>Recursos_y_Servicios</t>
  </si>
  <si>
    <t>Comercio_Exterior_Despacho</t>
  </si>
  <si>
    <t>Comercio_exterior_Pre_despacho</t>
  </si>
  <si>
    <t>Comercio_Exterior_Soporte_a_la_Operación</t>
  </si>
  <si>
    <t>Control_de_Obligaciones</t>
  </si>
  <si>
    <t>Cuenta_Tributaria</t>
  </si>
  <si>
    <t>Declaraciones_y_Pagos_Legados_y_Declaraciones_anuales</t>
  </si>
  <si>
    <t>Devoluciones_y_Compensaciones</t>
  </si>
  <si>
    <t>Factura_Electrónica</t>
  </si>
  <si>
    <t>Fiscalización_Específicos</t>
  </si>
  <si>
    <t>MAT_Comercio_Exterior</t>
  </si>
  <si>
    <t>Medios_de_Autenticación</t>
  </si>
  <si>
    <t>Notificación_Verificación</t>
  </si>
  <si>
    <t>Portales_Móviles</t>
  </si>
  <si>
    <t>Portales_Transaccionales</t>
  </si>
  <si>
    <t>Registro_Contable</t>
  </si>
  <si>
    <t>Entregables Contractuales,
Nombrado Artefactos y 
Nombrado Artefactos PC</t>
  </si>
  <si>
    <t>Nombrado Artefactos,
Nombrado Artefactos PC y
AVL</t>
  </si>
  <si>
    <t>Entregables Contractuales,  Nombrado Artefactos, 
Nombrado Artefactos PC y 
AVL</t>
  </si>
  <si>
    <t>Presentación Semanal</t>
  </si>
  <si>
    <t>PRSEM</t>
  </si>
  <si>
    <t>PREJE</t>
  </si>
  <si>
    <t>PPM</t>
  </si>
  <si>
    <t>PresentSemanal</t>
  </si>
  <si>
    <t>Notas</t>
  </si>
  <si>
    <t>En la descripción debe de indicarse el acrónimo del proceso</t>
  </si>
  <si>
    <t>En la descripción debe de indicarse el acrónimo del proceso y el acrónimo del producto revisado</t>
  </si>
  <si>
    <t>Reporte de Revisión de Calidad Interna Externa de Continuidad Operativa</t>
  </si>
  <si>
    <t>RPRVCO</t>
  </si>
  <si>
    <t>Estatus de Requerimientos</t>
  </si>
  <si>
    <t>Reporte de Deductivas</t>
  </si>
  <si>
    <t>Acuerdos de Operación con otros contratos</t>
  </si>
  <si>
    <t>Administración de Personal y Reporte de Actividades por Recurso</t>
  </si>
  <si>
    <t>Consolidado de Servicio y Consumo de Unidades Gestión de Pagos</t>
  </si>
  <si>
    <t>Plan de Mejora de Procesos</t>
  </si>
  <si>
    <t>Reutilización de Componentes</t>
  </si>
  <si>
    <t>Plan de Acción de Niveles de Servicio</t>
  </si>
  <si>
    <t>Criterios de Medición de Niveles de Servicio</t>
  </si>
  <si>
    <t>Servicio</t>
  </si>
  <si>
    <t>Breve Descripción (Opcional)</t>
  </si>
  <si>
    <t>Conversión del Código del Aplicativo</t>
  </si>
  <si>
    <t>Descripción igual a 0</t>
  </si>
  <si>
    <t>Reportes_TESOFE</t>
  </si>
  <si>
    <t>Reportes de Pago de Devoluciones Manuales a TESOFE MAT DYC</t>
  </si>
  <si>
    <t>CEFI</t>
  </si>
  <si>
    <t>Cédula de Información Fiscal</t>
  </si>
  <si>
    <t>PortalDA</t>
  </si>
  <si>
    <t>Portal de Datos Abiertos</t>
  </si>
  <si>
    <t>SubastaSAT_Nva_Versión</t>
  </si>
  <si>
    <t>SubastaSAT Nueva Versión</t>
  </si>
  <si>
    <t>e.Firma</t>
  </si>
  <si>
    <t>FIR</t>
  </si>
  <si>
    <t>Sección exclusiva para el Administrador del WorkBook.</t>
  </si>
  <si>
    <t>Costo Fijo Mensual y Línea Base</t>
  </si>
  <si>
    <t>Garantías</t>
  </si>
  <si>
    <t>La nomenclatura del artefacto es el nombre recomendado para tener una buena administración del proyecto</t>
  </si>
  <si>
    <t>El nombre del artefacto debe de contener el acrónimo. La nomenclatura del artefacto es el nombre recomendado para tener una buena administración del proyecto</t>
  </si>
  <si>
    <r>
      <t xml:space="preserve">Es un archivo de Excel
</t>
    </r>
    <r>
      <rPr>
        <b/>
        <sz val="10"/>
        <color theme="3" tint="0.39997558519241921"/>
        <rFont val="Calibri"/>
        <family val="2"/>
        <scheme val="minor"/>
      </rPr>
      <t>El folio de RDL se integra al principio del nombre del documento al momento de subir el archivo al Monitor</t>
    </r>
  </si>
  <si>
    <r>
      <t xml:space="preserve">Solicitud para la ejecución de pruebas de desempeño en ambiente de UAT
</t>
    </r>
    <r>
      <rPr>
        <b/>
        <sz val="10"/>
        <color theme="3" tint="0.39997558519241921"/>
        <rFont val="Calibri"/>
        <family val="2"/>
        <scheme val="minor"/>
      </rPr>
      <t>El nombre del artefacto debe de contener el acrónimo. La nomenclatura del artefacto es el nombre recomendado para tener una buena administración del proyecto</t>
    </r>
  </si>
  <si>
    <t>Código del aplicativo</t>
  </si>
  <si>
    <t>Reingeniería PKI</t>
  </si>
  <si>
    <t>* Estos artefactos no están clasificados en la Matriz Operativa del MDAP sin embargo se consideran por parte del SAT dentro del mismo marco documental</t>
  </si>
  <si>
    <t>Entregables Contractuales y
Nombrado Artefactos PC</t>
  </si>
  <si>
    <t>Fórmula</t>
  </si>
  <si>
    <t>Entregavles Contractuales</t>
  </si>
  <si>
    <t>DYP_DD</t>
  </si>
  <si>
    <t>Contabilidad Electrónica</t>
  </si>
  <si>
    <t>Mis Cuentas</t>
  </si>
  <si>
    <t>CON-ELE</t>
  </si>
  <si>
    <t>FISC-C</t>
  </si>
  <si>
    <t>MC</t>
  </si>
  <si>
    <t>_30</t>
  </si>
  <si>
    <t>_31</t>
  </si>
  <si>
    <t>_32</t>
  </si>
  <si>
    <t>AAdmvo_Evidencia del uso de Herramienta de Estimación</t>
  </si>
  <si>
    <t>DYP_PP</t>
  </si>
  <si>
    <t>DYP_LDA</t>
  </si>
  <si>
    <t>Declaraciones y Pagos (Documentos Digitales)</t>
  </si>
  <si>
    <t>Declaraciones_y_Pagos_Informativas_y_Pagos_Provisionales</t>
  </si>
  <si>
    <t>Declaraciones y Pagos (Informativas y Pagos Provisionales)</t>
  </si>
  <si>
    <t>Contabilidad_Electrónica</t>
  </si>
  <si>
    <t>Fiscalización_Control</t>
  </si>
  <si>
    <t>Mis_Cuentas</t>
  </si>
  <si>
    <t>EA</t>
  </si>
  <si>
    <t>Fiscalización - Control</t>
  </si>
  <si>
    <t>Mis cuentas</t>
  </si>
  <si>
    <t>Código del Servicio_Código del Aplicativo_Componente_Lenguaje_Acrónimo del Producto (RCC)_Proveedor_Fecha_PPM_Consecutivo</t>
  </si>
  <si>
    <t>Codigo del Servicio_Código del Aplicativo_Componente_LenguajeProgramación_RCC_Proveedor_FechaEjecución_LBI</t>
  </si>
  <si>
    <t>Informe de Actividades de Calidad de Continuidad Operativa</t>
  </si>
  <si>
    <t>InfoResuActiCaliCO</t>
  </si>
  <si>
    <t>IRAC_CO</t>
  </si>
  <si>
    <t>APE1</t>
  </si>
  <si>
    <t>Administraciones</t>
  </si>
  <si>
    <t>Encuesta de Atención del Centro de Importación e Internación Temporal de Vehiculos</t>
  </si>
  <si>
    <t>Firma Electronica Avanzada (FEA Aduanas)</t>
  </si>
  <si>
    <t>Sistema de Importacion y Exportacion Temporal de Remolques y Semiremolques</t>
  </si>
  <si>
    <t>SICOFI</t>
  </si>
  <si>
    <t>Sistema Integral de Comprobantes</t>
  </si>
  <si>
    <t>APE2</t>
  </si>
  <si>
    <t>SEDAP</t>
  </si>
  <si>
    <t>Sistema Electrónico para Declaración Aduanal de Pasajeros</t>
  </si>
  <si>
    <t>APE3</t>
  </si>
  <si>
    <t>APE4</t>
  </si>
  <si>
    <t>ARC</t>
  </si>
  <si>
    <t>AL</t>
  </si>
  <si>
    <t>EXTHOR</t>
  </si>
  <si>
    <t>GEN</t>
  </si>
  <si>
    <t>CREDITOS CONTROVERTIDOS</t>
  </si>
  <si>
    <t>JN</t>
  </si>
  <si>
    <t>MANTENIMIENTO</t>
  </si>
  <si>
    <t>OP</t>
  </si>
  <si>
    <t>RA</t>
  </si>
  <si>
    <t>SEGURIDAD WEB</t>
  </si>
  <si>
    <t>SIPECA</t>
  </si>
  <si>
    <t>REL</t>
  </si>
  <si>
    <t>REC</t>
  </si>
  <si>
    <t>SICOV</t>
  </si>
  <si>
    <t>DONATARIAS</t>
  </si>
  <si>
    <t>GENINF</t>
  </si>
  <si>
    <t>APE5</t>
  </si>
  <si>
    <t>AMCI</t>
  </si>
  <si>
    <t>APESAyCO</t>
  </si>
  <si>
    <t>RNI</t>
  </si>
  <si>
    <t>Revisión No Intrusiva</t>
  </si>
  <si>
    <t>ACOST</t>
  </si>
  <si>
    <t>CCupo</t>
  </si>
  <si>
    <t>SICOFE - DWH</t>
  </si>
  <si>
    <t>Cartas Cupo</t>
  </si>
  <si>
    <t>Proceso ETL de Jurídica</t>
  </si>
  <si>
    <t>CZ</t>
  </si>
  <si>
    <t>CN</t>
  </si>
  <si>
    <t>DN</t>
  </si>
  <si>
    <t>PS</t>
  </si>
  <si>
    <t>CI</t>
  </si>
  <si>
    <t>FS</t>
  </si>
  <si>
    <t>DL</t>
  </si>
  <si>
    <t>DU</t>
  </si>
  <si>
    <t>FL</t>
  </si>
  <si>
    <t>FATCA-CRS</t>
  </si>
  <si>
    <t>RISS</t>
  </si>
  <si>
    <t xml:space="preserve">Régimen de Incorporación al Seguro Social (RISS-IMSS E INFONAVIT) </t>
  </si>
  <si>
    <t>Líneas de Captura</t>
  </si>
  <si>
    <t>LC</t>
  </si>
  <si>
    <t>MULTI-IEPS-DD</t>
  </si>
  <si>
    <t>Declaraciones_y_Pagos__Documentos_Digitales</t>
  </si>
  <si>
    <t>Nota:</t>
  </si>
  <si>
    <t>F64</t>
  </si>
  <si>
    <t>Forma Oficial 64 - Declaración Informativa del IEPS de Gasolinas y Diesel</t>
  </si>
  <si>
    <t>MATCE DODA-QR</t>
  </si>
  <si>
    <t>AV</t>
  </si>
  <si>
    <t>Asistente Virtual</t>
  </si>
  <si>
    <t>Mi RFC</t>
  </si>
  <si>
    <t>SAT-Móvil: Implementar el servicio de Mi RFC</t>
  </si>
  <si>
    <t>APIS-DWH</t>
  </si>
  <si>
    <t>ACSN</t>
  </si>
  <si>
    <t>Eliminados sin Vocería</t>
  </si>
  <si>
    <t>VAQR</t>
  </si>
  <si>
    <t>COVAV</t>
  </si>
  <si>
    <t>ADUPORTAL</t>
  </si>
  <si>
    <t>Portal de facilitación para el pasajero</t>
  </si>
  <si>
    <t>MATCE-SA</t>
  </si>
  <si>
    <t>Identificación_del_Contribuyente</t>
  </si>
  <si>
    <t>IE</t>
  </si>
  <si>
    <t>Al_Contribuyente</t>
  </si>
  <si>
    <t>AC</t>
  </si>
  <si>
    <t>Planeación</t>
  </si>
  <si>
    <t>PO</t>
  </si>
  <si>
    <t>Internos_de_Control</t>
  </si>
  <si>
    <t>IC</t>
  </si>
  <si>
    <t>IT</t>
  </si>
  <si>
    <t>Jurídicos</t>
  </si>
  <si>
    <t>JS</t>
  </si>
  <si>
    <t>Transversales_de_TI</t>
  </si>
  <si>
    <t>TT</t>
  </si>
  <si>
    <t xml:space="preserve"> Identificación del Contribuyente</t>
  </si>
  <si>
    <t>Identificación del Contribuyente</t>
  </si>
  <si>
    <t>Al Contribuyente</t>
  </si>
  <si>
    <t>Internos de Control</t>
  </si>
  <si>
    <t>Transversales de TI</t>
  </si>
  <si>
    <t>MAT-CE-REC</t>
  </si>
  <si>
    <t>MATCE-CS</t>
  </si>
  <si>
    <t>MATCE-TRANSITOS</t>
  </si>
  <si>
    <t>FMP CE</t>
  </si>
  <si>
    <t>MATCE PITA</t>
  </si>
  <si>
    <t>MATCE-VOCE</t>
  </si>
  <si>
    <t>MATCE-RNI</t>
  </si>
  <si>
    <t>MATCE - PITA</t>
  </si>
  <si>
    <t>NvoSOKY</t>
  </si>
  <si>
    <t>Actualización de la herramienta de Socket de Seguridad</t>
  </si>
  <si>
    <t>ECOVUL</t>
  </si>
  <si>
    <t>Estructura de Cumplimiento de Operaciones Vulnerables</t>
  </si>
  <si>
    <t>TAF</t>
  </si>
  <si>
    <t>Títulos de Autorización para Procesos de Contratación con Fideicomisos</t>
  </si>
  <si>
    <t>SVC_Moviles</t>
  </si>
  <si>
    <t>Servicios de Movilidad</t>
  </si>
  <si>
    <t>DPA's</t>
  </si>
  <si>
    <t xml:space="preserve">Incorporación del pago de Derechos, Productos y Aprovechamientos (DPA’s) </t>
  </si>
  <si>
    <t xml:space="preserve">Declaraciones Provisionales </t>
  </si>
  <si>
    <t>Formulario JS</t>
  </si>
  <si>
    <t xml:space="preserve">Pagos </t>
  </si>
  <si>
    <t>Pagos Provisionales</t>
  </si>
  <si>
    <t>Monitores de Informativas</t>
  </si>
  <si>
    <t>MON_INF</t>
  </si>
  <si>
    <t>R32D-P</t>
  </si>
  <si>
    <t>Reporte Opinión de Cumplimiento  Proveedores Sector Gobierno</t>
  </si>
  <si>
    <t>MATCE - Selección Automatizada</t>
  </si>
  <si>
    <t>ADMON_SCA</t>
  </si>
  <si>
    <t>Sistema de Administración SCADE</t>
  </si>
  <si>
    <t>PLOAD</t>
  </si>
  <si>
    <t>PLOAD de carga masiva a la infraestructura aprovisionada por el MTSI</t>
  </si>
  <si>
    <t>REP-DD</t>
  </si>
  <si>
    <t>Reporteador de Documentos Digitales</t>
  </si>
  <si>
    <t>FEB</t>
  </si>
  <si>
    <t>INTRASAT</t>
  </si>
  <si>
    <t>Portal Institucional del SAT</t>
  </si>
  <si>
    <t>MAT RIF</t>
  </si>
  <si>
    <t>Regimen de Incorporación Fiscal</t>
  </si>
  <si>
    <t>Nuevo Portal de Trámites y Servicios</t>
  </si>
  <si>
    <t>Modelo de Riesgo IMMEX</t>
  </si>
  <si>
    <t>CitaSAT - Sistema de Citas y Control de Turnos</t>
  </si>
  <si>
    <t>Programa Operativo RIF</t>
  </si>
  <si>
    <t>Solución para gestionar el Ciclo de Vida de los Contratos con Componentes Tecnológicos.</t>
  </si>
  <si>
    <t>Catálogos
(Oculto)</t>
  </si>
  <si>
    <t>Las reglas para la definición de las nomenclatuturas se encuentran documentadas en el PACO vigente.</t>
  </si>
  <si>
    <t xml:space="preserve">ADMINISTRACIÓN GENERAL DE COMUNICACIONES Y TECNOLOGÍAS DE LA INFORMACIÓN
</t>
  </si>
  <si>
    <t>Versión: 1.0</t>
  </si>
  <si>
    <t>TABLA DE REVISIONES</t>
  </si>
  <si>
    <t>Versión</t>
  </si>
  <si>
    <t xml:space="preserve">Autor </t>
  </si>
  <si>
    <t>Descripción de Cambios</t>
  </si>
  <si>
    <t>Administración de la Configuración</t>
  </si>
  <si>
    <t>Validaciones del Cumplimiento Obligaciones Fiscales en materia Subcontratación laboral</t>
  </si>
  <si>
    <t>VICOMAS</t>
  </si>
  <si>
    <t>DeclaraNOT en Línea</t>
  </si>
  <si>
    <t>Declaración Informativa de Partes Relacionadas</t>
  </si>
  <si>
    <t>DNOT</t>
  </si>
  <si>
    <t>DPARTES</t>
  </si>
  <si>
    <t>Consulta de Retenidos (Esquema anterior)</t>
  </si>
  <si>
    <t>CONSUL_RETENS</t>
  </si>
  <si>
    <t>PORTAL_PRIVADO_MEGAPAC</t>
  </si>
  <si>
    <t>PORTAL_PRIVADO_CONSULTA CFDI</t>
  </si>
  <si>
    <t>PORTAL_PUBLICO</t>
  </si>
  <si>
    <t>RECEPCION CFDI</t>
  </si>
  <si>
    <t>Portal Empleados CFDI</t>
  </si>
  <si>
    <t>Portal Privado del Contribuyente - Servicio de Generación de Factura Electrónica</t>
  </si>
  <si>
    <t>Portal Privado del Contribuyente - Consulta de CFDI's</t>
  </si>
  <si>
    <t>Portal Público del Contribuyente - Verificación de Comprobantes Fiscales por Internet</t>
  </si>
  <si>
    <t>Servicio de Recepción, Timbrado y Almacenamiento de CFDI</t>
  </si>
  <si>
    <t>Portal de Empleados: Consulta Central / Estadísticos</t>
  </si>
  <si>
    <t>MATCE - PR</t>
  </si>
  <si>
    <t>MAT - LDA</t>
  </si>
  <si>
    <t>MAT - OE</t>
  </si>
  <si>
    <t>MAT - ADMIN - CAT</t>
  </si>
  <si>
    <t>MAT - ADMIN - SERV</t>
  </si>
  <si>
    <t>MAT - CYR</t>
  </si>
  <si>
    <t>MAT - ADMIN - COM</t>
  </si>
  <si>
    <t>MATCE - Administrador de Comunicados</t>
  </si>
  <si>
    <t>MATCE - Consultas y Reportes</t>
  </si>
  <si>
    <t>MATCE - Administrador de Servicios</t>
  </si>
  <si>
    <t>MATCE - Administrador de Catálogos</t>
  </si>
  <si>
    <t>MATCE - Ordenes y Escaneo</t>
  </si>
  <si>
    <t>MATCE - Laboratorio de Aduanas</t>
  </si>
  <si>
    <t>MATCE -Pago Referenciado</t>
  </si>
  <si>
    <t>Sistema de Asignación y Donación de Bienes por el SAT</t>
  </si>
  <si>
    <t>Control y Seguimiento de Gastos del Personal Asimilado al Servicio Exterior Mexicano</t>
  </si>
  <si>
    <t>SADB</t>
  </si>
  <si>
    <t>PASEM</t>
  </si>
  <si>
    <t>SDS</t>
  </si>
  <si>
    <t>Seguimiento Diversas Solicitudes</t>
  </si>
  <si>
    <t xml:space="preserve">MAT Jurídico - Reportes operativos de Jurídica RRL y CAL </t>
  </si>
  <si>
    <t>MAT Jurídico</t>
  </si>
  <si>
    <t>DAE</t>
  </si>
  <si>
    <t>Despacho Anticipado a la Exportación</t>
  </si>
  <si>
    <t>SSP- REPUVE</t>
  </si>
  <si>
    <t>ITN-DWH</t>
  </si>
  <si>
    <t>Inbounds-DWH</t>
  </si>
  <si>
    <t>SIA (Incidencias)</t>
  </si>
  <si>
    <t>SIA (Alertas)</t>
  </si>
  <si>
    <t>Fichas CPED</t>
  </si>
  <si>
    <t>ADI</t>
  </si>
  <si>
    <t>SICORCE</t>
  </si>
  <si>
    <t>Sistema Integral para el Control de Riesgo de Comercio Exterior</t>
  </si>
  <si>
    <t>Análisis Dinámico y Carga de Manifiestos</t>
  </si>
  <si>
    <t>Sistema de Incidencias y Alertas</t>
  </si>
  <si>
    <t>Sistema de Incidencias Automatizado</t>
  </si>
  <si>
    <t>Entrega de Pedimentos Vehiculos - SSP</t>
  </si>
  <si>
    <t>BPM Diversas Solicitudes</t>
  </si>
  <si>
    <t>BPM-DS</t>
  </si>
  <si>
    <t>Declaración de Pago del ISR de residentes en el extranjero con ingresos obtenidos en territorio nacional.</t>
  </si>
  <si>
    <t>DISRRE</t>
  </si>
  <si>
    <t>Aviso para presentar dictámen Fiscal de Enajenación de Acciones</t>
  </si>
  <si>
    <t>Forma 39</t>
  </si>
  <si>
    <t>Forma 97</t>
  </si>
  <si>
    <t>Masivos de Inscripción</t>
  </si>
  <si>
    <t>MAT Masivos</t>
  </si>
  <si>
    <t>SAT-Móvil: Re-ingeniería del servicio de Factura Electrónica Móvil</t>
  </si>
  <si>
    <t>SAT-Móvil</t>
  </si>
  <si>
    <t>Sistema de Entrega Recepción</t>
  </si>
  <si>
    <t>SER</t>
  </si>
  <si>
    <t>Portal de la AGR en la IntraSAT</t>
  </si>
  <si>
    <t>Portal de la AGAFF en la IntraSAT</t>
  </si>
  <si>
    <t>Portal de la AGH en la IntraSAT</t>
  </si>
  <si>
    <t>Portal de la AGJ en la IntraSAT</t>
  </si>
  <si>
    <t>Portal de la AGP en la IntraSAT</t>
  </si>
  <si>
    <t>PAGR</t>
  </si>
  <si>
    <t>PAGH</t>
  </si>
  <si>
    <t>PAGJ</t>
  </si>
  <si>
    <t>PAGP</t>
  </si>
  <si>
    <t>WorkBook_11.0</t>
  </si>
  <si>
    <t>CON</t>
  </si>
  <si>
    <t>SYE_PLAN</t>
  </si>
  <si>
    <t>CDS1,2y3</t>
  </si>
  <si>
    <t>Análisis</t>
  </si>
  <si>
    <t>Sistema de Administración de Garantías IMMEX</t>
  </si>
  <si>
    <t>SAGI</t>
  </si>
  <si>
    <t xml:space="preserve"> Sistema de Investigación para Auditoria</t>
  </si>
  <si>
    <t>Registro Vehicular Unificado</t>
  </si>
  <si>
    <t>RVU</t>
  </si>
  <si>
    <t xml:space="preserve">Sistema de Registro de Certificados de Incapacidad o Discapacidad </t>
  </si>
  <si>
    <t>CINDI</t>
  </si>
  <si>
    <t>Intersecretarias (Secretarias de Estado / Entidades Internas / Entidades Externas)</t>
  </si>
  <si>
    <t>SELECCION_AUTOMATIZADA</t>
  </si>
  <si>
    <t xml:space="preserve">Pasaporte Electrónico de Aduanas
(Antes SAAI_WEB -Sistema de Operacion  Integral Aduanera (SOIA)_PEA_SIRET
</t>
  </si>
  <si>
    <t>Aplicación Móvil: Bienvenido a México</t>
  </si>
  <si>
    <t>Registro, Evaluación y Seguimiento de Incidencias M3</t>
  </si>
  <si>
    <t>SICA MAT-CE</t>
  </si>
  <si>
    <t>Sistema de Atención a planteamiento de Síndicos de Contribuyentes</t>
  </si>
  <si>
    <t>MATCE - Comité de Operación de Planeación Aduanera</t>
  </si>
  <si>
    <t>Sistema de Validación, ReimpreSíón y Aclaraciones Artículo 107</t>
  </si>
  <si>
    <t>Buscador de zonas sin Servicios Financieros</t>
  </si>
  <si>
    <t>CERTIFICACION NEPE</t>
  </si>
  <si>
    <t>Forma Oficial 100.- Declaración ISR por Ingresos de InverSíones en el Extranjero Retornadas al País.</t>
  </si>
  <si>
    <t>Declaración Anual Personas Físicas</t>
  </si>
  <si>
    <t>Declaración_anual_PM</t>
  </si>
  <si>
    <t>Declaración Anual Personas Morales</t>
  </si>
  <si>
    <t>Aviso para la Aplicación de Estimulos a Entidades Federativas, Municipios y otros Organismos Públicos</t>
  </si>
  <si>
    <t xml:space="preserve">Declaración Informativa de las Entidades Federativas por la Recaudación de IEPS por Venta Final de Gasolina y Diesel </t>
  </si>
  <si>
    <t>Declaraciones y otros documentos con LC</t>
  </si>
  <si>
    <t>Aviso de colocación de Títulos de Crédito en el extranjero y de pago de intereses derivados de dichas colocaciones (Opción de retención del ISR )</t>
  </si>
  <si>
    <t>Formulario (JAVA Script)</t>
  </si>
  <si>
    <t>DPA’s-PR</t>
  </si>
  <si>
    <t>Derechos, Productos y Aprovechamientos a través de Pago Referenciado</t>
  </si>
  <si>
    <t>DITPR</t>
  </si>
  <si>
    <t>Declaración Informativa Transaccional de Partes Relacionadas</t>
  </si>
  <si>
    <t>Declaraciones Provisionales</t>
  </si>
  <si>
    <t>REP_RECUADA</t>
  </si>
  <si>
    <t>Repositorio Recaudación</t>
  </si>
  <si>
    <t>BI-TDD</t>
  </si>
  <si>
    <t>Trazabilidad de Declaraciones y Devoluciones Ejercicio 2016</t>
  </si>
  <si>
    <t>Reingenieria PKI</t>
  </si>
  <si>
    <t>Librerias</t>
  </si>
  <si>
    <t>PIAC</t>
  </si>
  <si>
    <t>Plataforma de Inteligencia Analítica del Contribuyente</t>
  </si>
  <si>
    <t>Sistema Unico de Información para Entidades Federativas Integral</t>
  </si>
  <si>
    <t>FI</t>
  </si>
  <si>
    <t>Fiscalización Integral</t>
  </si>
  <si>
    <t>Fiscalización Electrónica BáSíca</t>
  </si>
  <si>
    <t>Papeles de Trabajo</t>
  </si>
  <si>
    <t>MATCE - Plantillador</t>
  </si>
  <si>
    <t>Tablero de Control Operativo de PITA</t>
  </si>
  <si>
    <t>MATCE - Documento de Operación de Despacho Aduanero QR Portal</t>
  </si>
  <si>
    <t>MATCE - Reconocimiento Aduanero</t>
  </si>
  <si>
    <t>MATCE - Copia Simple</t>
  </si>
  <si>
    <t>MATCE - SA Tránsitos</t>
  </si>
  <si>
    <t>MATCE - Formulario Múltiple de Pago</t>
  </si>
  <si>
    <t>MATCE - Validador de Operaciones de Comercio Exterior</t>
  </si>
  <si>
    <t>MATCE - Reconocimiento no Intrusivo</t>
  </si>
  <si>
    <t>MAT-NyV: Módulo de Administración de Verificaciones</t>
  </si>
  <si>
    <t>AGS-ELM
Solución Integral</t>
  </si>
  <si>
    <t>AGS-HRMS</t>
  </si>
  <si>
    <t>AGS-HRMS
Solución Integral</t>
  </si>
  <si>
    <t>AGS-FSCM</t>
  </si>
  <si>
    <t>AGS-FSCM
Solución Integral</t>
  </si>
  <si>
    <t>Test de Compatibilidad y Valores
(antes llamado Sistema de Evaluación de Integridad)</t>
  </si>
  <si>
    <t>Inventario de Recursos Humanos</t>
  </si>
  <si>
    <t>CAyAS</t>
  </si>
  <si>
    <t xml:space="preserve">Servicio de Arrendamiento de Infraestructura para el Control de Acceso y Asistencia del SAT </t>
  </si>
  <si>
    <t>RFC_AMPLIADO GEN CIF</t>
  </si>
  <si>
    <t>RFC Ampliado
Generación de Cédula de Identificación Fiscal (GEN CIF)</t>
  </si>
  <si>
    <t>CRM - Módulo Support (Configuración Casos)
Solución Integral Identificación del Contribuyente</t>
  </si>
  <si>
    <t>Documentum - Servicio para almacenamiento de doctos IDC
Solución Integral Identificación del Contribuyente</t>
  </si>
  <si>
    <t>Servicios de Replica de Legados</t>
  </si>
  <si>
    <t>NOMINA_RIF</t>
  </si>
  <si>
    <t>Sorteo a Entidades Federativas de obras de arte recibidas como Pago en Especie</t>
  </si>
  <si>
    <t>KIOSKO</t>
  </si>
  <si>
    <t>Kiosko de Salas de Internet (Mi Espacio)</t>
  </si>
  <si>
    <t>SAIE III</t>
  </si>
  <si>
    <t>Servicio de Acreditación de Identidad y Enrolamiento para la Firma Electrónica Avanzada – III</t>
  </si>
  <si>
    <t>TBT</t>
  </si>
  <si>
    <t>Buzón Tributario Ver. 2.0</t>
  </si>
  <si>
    <t>CRM - Servicios de Integración con Novell (CI CRM)
SI-Interfaces SAC</t>
  </si>
  <si>
    <t>CRM - Marketing y Telemarketing (Configuración)
Solución Integral Servicios al Contribuyente</t>
  </si>
  <si>
    <t>WBI - Servicios de Integración GRP/Novell
SI-Interfaces SAC</t>
  </si>
  <si>
    <t>Documentum/Captiva - Servicios de Digitalización
Solución Integral Servicios al Contribuyente</t>
  </si>
  <si>
    <t>DLOADDB2</t>
  </si>
  <si>
    <t>Proceso de Descarga Masiva de Información del DataWarehouse (Mainframe DB2) a través de DataStage</t>
  </si>
  <si>
    <t>Sistema de Procedimientos de Evaluación</t>
  </si>
  <si>
    <t>SAT-INE</t>
  </si>
  <si>
    <t>Intercambio de información SAT- INE, así como con el TFJPE</t>
  </si>
  <si>
    <t>PAGAFF</t>
  </si>
  <si>
    <t>JUPITER
Amparo vs. Actos</t>
  </si>
  <si>
    <t>JUPITER
Archivo</t>
  </si>
  <si>
    <t>JUPITER
Asistencia Legal</t>
  </si>
  <si>
    <t>JUPITER
Asuntos Penales</t>
  </si>
  <si>
    <t>JUPITER
Clasificación Arancelaria</t>
  </si>
  <si>
    <t>JUPITER
Donatarias Autorizadas</t>
  </si>
  <si>
    <t>JUPITER
Extracción Horizontal</t>
  </si>
  <si>
    <t>JUPITER
Generalidades</t>
  </si>
  <si>
    <t>JUPITER
Herramienta de créditos controvertidos</t>
  </si>
  <si>
    <t>JUPITER
Juicio de Nulidad</t>
  </si>
  <si>
    <t>JUPITER
Mantenimiento</t>
  </si>
  <si>
    <t>JUPITER
Oficialía de partes</t>
  </si>
  <si>
    <t>JUPITER
Recursos Administrativos</t>
  </si>
  <si>
    <t>JUPITER
Seguridad JUPITER WEB</t>
  </si>
  <si>
    <t>JUPITER
Servicios al Contribuyente</t>
  </si>
  <si>
    <t>JUPITER
Pestaña, Carátula y Volantes</t>
  </si>
  <si>
    <t>JUPITER
Sistema de Control Vehicular</t>
  </si>
  <si>
    <t xml:space="preserve">JUPITER
REPORTES DE EMISIÓN CENTRAL
</t>
  </si>
  <si>
    <t xml:space="preserve">JUPITER
REPORTES  DE EMISIÓN LOCAL
</t>
  </si>
  <si>
    <t>JUPITER
Generación de Informes</t>
  </si>
  <si>
    <t>Herramienta para el control y gestión de cursos dentro de la ACDMA</t>
  </si>
  <si>
    <t>NEBULA</t>
  </si>
  <si>
    <t>SAT Book</t>
  </si>
  <si>
    <t>Encuentro Deportivo SAT</t>
  </si>
  <si>
    <t>Forma_63</t>
  </si>
  <si>
    <t>Forma 81</t>
  </si>
  <si>
    <t>COMAS</t>
  </si>
  <si>
    <t>Cumplimiento Obligaciones Fiscales en materia Subcontratación laboral</t>
  </si>
  <si>
    <t>Forma 33</t>
  </si>
  <si>
    <t xml:space="preserve">Declaración Informativa Múltiple del IEPS en Línea </t>
  </si>
  <si>
    <t>CBC</t>
  </si>
  <si>
    <t xml:space="preserve">País por País </t>
  </si>
  <si>
    <t>CAM</t>
  </si>
  <si>
    <t>IDS_People</t>
  </si>
  <si>
    <t>Id Sis / Sub Sis / Tecnología</t>
  </si>
  <si>
    <t>El Consorcio - CDS</t>
  </si>
  <si>
    <t>Entendimiento (Captación)</t>
  </si>
  <si>
    <t>Desarrollo Proyecto</t>
  </si>
  <si>
    <t>Desarrollo Sistemas</t>
  </si>
  <si>
    <t>CDS, CAM</t>
  </si>
  <si>
    <t>Diseño del sistema/Arquitectura</t>
  </si>
  <si>
    <t>Pruebas Usuario</t>
  </si>
  <si>
    <t>Mantenimientos actualizados en la herramienta de gestión de Mantenimientos del SAT.</t>
  </si>
  <si>
    <t>Reportes periódicos de la capacidad y consumo de la línea base.</t>
  </si>
  <si>
    <t>RepLB</t>
  </si>
  <si>
    <t>Indicadores de desempeño del portafolio de proyectos de la AGCTI.</t>
  </si>
  <si>
    <t>IndDesPor</t>
  </si>
  <si>
    <t>Reportes periódicos de desempeño de los CDS.</t>
  </si>
  <si>
    <t>Reportes periódicos de detección y análisis de Problemas recurrentes en la operación.</t>
  </si>
  <si>
    <t>RepDetProb</t>
  </si>
  <si>
    <t>Estimaciones de los Requerimientos de Servicio sometidos al procedimiento de doble estimación.</t>
  </si>
  <si>
    <t>RepDobEst</t>
  </si>
  <si>
    <t>Reportes periódicos de análisis estadísticos y de tendencias orientados a la toma de decisiones por parte del SAT.</t>
  </si>
  <si>
    <t>RepEstTend</t>
  </si>
  <si>
    <t>Documentación de la definición funcional de los aplicativos del SAT.</t>
  </si>
  <si>
    <t>RepEF</t>
  </si>
  <si>
    <t>Documentación de los lineamientos de la Arquitectura Aplicativa y del gobierno de los aplicativos del SAT.</t>
  </si>
  <si>
    <t>Reporte periódico del desempeño de cada perfil presentado por tipo de servicio.</t>
  </si>
  <si>
    <t>RepDespPersonal</t>
  </si>
  <si>
    <t>Adopción</t>
  </si>
  <si>
    <t>Ejecución y Control</t>
  </si>
  <si>
    <t>Cierre</t>
  </si>
  <si>
    <t>XX = Identificador del sistema/subsistema o Tecnología</t>
  </si>
  <si>
    <t>SAT</t>
  </si>
  <si>
    <t>Fecha: 17/04/2018</t>
  </si>
  <si>
    <t>Búsqueda particular de un producto</t>
  </si>
  <si>
    <t>RepAdmonConfSDS</t>
  </si>
  <si>
    <t xml:space="preserve">RepAdmonConfSCO
</t>
  </si>
  <si>
    <t>RepLinArqApp</t>
  </si>
  <si>
    <t>Documentación de los procesos y lineamientos para el diseño funcional de aplicativos del SAT.</t>
  </si>
  <si>
    <t>RepDocProcApp</t>
  </si>
  <si>
    <t>Estimación de esfuerzo requerido.</t>
  </si>
  <si>
    <t>EstimaciónEsfuerzo</t>
  </si>
  <si>
    <t>Tres meses antes de cierre del contrato 
(Inicio del cierre del contrato)</t>
  </si>
  <si>
    <t>ListadoPersonal</t>
  </si>
  <si>
    <t>Listado de productos con sus requerimientos de conectividad correspondientes.</t>
  </si>
  <si>
    <t>RepManttos</t>
  </si>
  <si>
    <t>Minutas de las reuniones con personal clave.</t>
  </si>
  <si>
    <t>MinutasPersonalClave</t>
  </si>
  <si>
    <t>Semestral</t>
  </si>
  <si>
    <t>Plan de despliegue de las mejoras atendidas.</t>
  </si>
  <si>
    <t>PlanDespMej</t>
  </si>
  <si>
    <t>Cuatrimestral</t>
  </si>
  <si>
    <t>Plan de Mejora del desempeño  de los consultores y análistas.</t>
  </si>
  <si>
    <t>PlanMejDesCAM</t>
  </si>
  <si>
    <t>PlanMejDesCDS</t>
  </si>
  <si>
    <t>PlanMejProc</t>
  </si>
  <si>
    <t>Plan de transferencia del conocimiento.</t>
  </si>
  <si>
    <t>PlanCumpOLA-SLA</t>
  </si>
  <si>
    <t xml:space="preserve">Planes de trabajo especificados en las actividades de cada etapa. </t>
  </si>
  <si>
    <t>PlanTrabajo</t>
  </si>
  <si>
    <t>RepEdoDef</t>
  </si>
  <si>
    <t>RepAcdMejDesCDS</t>
  </si>
  <si>
    <t>Reporte de salud de los mantenimientos y servicios de desarrollo de software.</t>
  </si>
  <si>
    <t>RepSaludManttoDesa</t>
  </si>
  <si>
    <t>Reporte de Servicios atendidos completamente documentados en la herramienta de gestión del SAT.</t>
  </si>
  <si>
    <t>RepServAtend</t>
  </si>
  <si>
    <t>Reporte de validación de cumplimiento de entregables de los mantenimientos y servicios desarrollos de software.</t>
  </si>
  <si>
    <t>Reporte Incidentes cerrados por recuperación o por solución de raíz completamente documentados en la herramienta de gestión de Incidentes y Problemas del SAT.</t>
  </si>
  <si>
    <t>RepCerrInc_Prob</t>
  </si>
  <si>
    <t>Reportes consolidados de servicio.</t>
  </si>
  <si>
    <t xml:space="preserve">RepDesProv
</t>
  </si>
  <si>
    <t>Reportes de niveles de servicio.</t>
  </si>
  <si>
    <t>RepSLAProveedor</t>
  </si>
  <si>
    <t>RepPerDesmCDS</t>
  </si>
  <si>
    <t>RepReutilComp</t>
  </si>
  <si>
    <t>Reutilización de Componentes.</t>
  </si>
  <si>
    <t>Reportes periódicos sobre el cumplimiento de medición de los SLA de ambas partidas.</t>
  </si>
  <si>
    <t>Reportes periódicos sobre el cumplimiento de medición de los OLA.</t>
  </si>
  <si>
    <t>Reportes de desempeño del Proveedor.</t>
  </si>
  <si>
    <t>Reporte de resultados de actividades de mejora.</t>
  </si>
  <si>
    <t>Reporte de Métricas y Mediciones.</t>
  </si>
  <si>
    <t>Reporte de Garantías.</t>
  </si>
  <si>
    <t>Reporte de defectos, observaciones y estado de solución de los mismos.</t>
  </si>
  <si>
    <t>Reporte de Deductivas.</t>
  </si>
  <si>
    <t>Reporte de Avance Mensual Presupuestal.</t>
  </si>
  <si>
    <t>Proyección de Presupuesto.</t>
  </si>
  <si>
    <t>Planes de acción para el cumplimiento de OLA's y SLA's.</t>
  </si>
  <si>
    <t>Plan Integral de Medición y Análisis.</t>
  </si>
  <si>
    <t>Plan de Mejora progresiva que genere eficiencia y calidad incremental a las entregas del CDS/CAM.</t>
  </si>
  <si>
    <t>Plan de Mejora del desempeño del CDS.</t>
  </si>
  <si>
    <t>Plan de Calidad.</t>
  </si>
  <si>
    <t>Plan de Acción de Niveles de Servicio.</t>
  </si>
  <si>
    <t>Plan de acción de mejora de aplicativos.</t>
  </si>
  <si>
    <t>Listado de personal que estará gestionando y ejecutando las actividades de esta etapa.</t>
  </si>
  <si>
    <t>Informe de Actividades de Calidad.</t>
  </si>
  <si>
    <t>Criterios de Medición de Niveles de Servicio.</t>
  </si>
  <si>
    <t>Creación/modificación de la documentación, descrita en el MDAP vigente, de cada una de las fases de Desarrollo de Software, así como, los componentes de código y/o elementos arquitectónicos que hayan sido creados y/o modificados para Incidentes, Servicios y Problemas.</t>
  </si>
  <si>
    <t>Creación/modificación de la documentación, descrita en el MDAP vigente, de cada una de las fases de Desarrollo de Software, así como, los componentes de código y/o elementos arquitectónicos que hayan sido creados y/o modificados para el Servicio de Desarrollo de Software.</t>
  </si>
  <si>
    <t>Consolidado de Servicio y Consumo de Unidades Gestión de Pagos.</t>
  </si>
  <si>
    <t>PlanTransfConoc</t>
  </si>
  <si>
    <t>ProyecPresup</t>
  </si>
  <si>
    <t>RepAvanPresup</t>
  </si>
  <si>
    <t>DeducPenaliz</t>
  </si>
  <si>
    <t>RepConServProv</t>
  </si>
  <si>
    <t>RepCumpEntregCDS</t>
  </si>
  <si>
    <t>ListProdConect</t>
  </si>
  <si>
    <t>MDAP  v6.0</t>
  </si>
  <si>
    <t>MDAP
V6.0</t>
  </si>
  <si>
    <t>OFPU</t>
  </si>
  <si>
    <t>AAdmvo_Oficio de Aceptación de Pruebas de Usuario y Liberación</t>
  </si>
  <si>
    <t>OFCACEPTAPRUEBAUSUARIOYLIB</t>
  </si>
  <si>
    <t>Solicitud de Flujos de Comunicación Unifilares</t>
  </si>
  <si>
    <t>SOLFLUJOCOMUNICAUNIFILAR</t>
  </si>
  <si>
    <t>Análisis de Exploratorio</t>
  </si>
  <si>
    <t>Documento del área de Seguridad</t>
  </si>
  <si>
    <t>ANALISISEXPLORATORIO</t>
  </si>
  <si>
    <t>Aceptación del Riesgo</t>
  </si>
  <si>
    <t>ACEPTACIONRIESGO</t>
  </si>
  <si>
    <t>ACR</t>
  </si>
  <si>
    <t>AEX</t>
  </si>
  <si>
    <t>Documento del área de ACTT</t>
  </si>
  <si>
    <t xml:space="preserve">Certificación del Proceso de Seguridad para las Aplicaciones </t>
  </si>
  <si>
    <t>CPSA</t>
  </si>
  <si>
    <t>CERTPROCSEGAPLIC</t>
  </si>
  <si>
    <t>Especificación del Tablero</t>
  </si>
  <si>
    <t>ETB</t>
  </si>
  <si>
    <t>ESPTABLERO</t>
  </si>
  <si>
    <t xml:space="preserve">Estrategia para Calidad de Datos </t>
  </si>
  <si>
    <t xml:space="preserve">Evaluación de Calidad de Datos </t>
  </si>
  <si>
    <t xml:space="preserve">Evaluación de Modelos Analíticos </t>
  </si>
  <si>
    <t>ECD</t>
  </si>
  <si>
    <t>EVC</t>
  </si>
  <si>
    <t>EMA</t>
  </si>
  <si>
    <t>ESTCALIDADDAT</t>
  </si>
  <si>
    <t>EVALCALIDADDAT</t>
  </si>
  <si>
    <t>EVALMODANALIC</t>
  </si>
  <si>
    <t>Matriz de Trazabilidad de Códigos</t>
  </si>
  <si>
    <t>Matriz de Trazabilidad Proceso Lógico-Físico</t>
  </si>
  <si>
    <t>MTC</t>
  </si>
  <si>
    <t>MTP</t>
  </si>
  <si>
    <t>MATRIZTRAZABILIDADCOD</t>
  </si>
  <si>
    <t>MATRIZTRAZABILIDADPROC</t>
  </si>
  <si>
    <t>Modelo Analítico</t>
  </si>
  <si>
    <t>MAN</t>
  </si>
  <si>
    <t>MODELOANALITICO</t>
  </si>
  <si>
    <t>FPRE</t>
  </si>
  <si>
    <t>PRESNVOSSERV</t>
  </si>
  <si>
    <t>Presentación de Nuevos Servicios</t>
  </si>
  <si>
    <t>PRODUCTBACKLOG</t>
  </si>
  <si>
    <t xml:space="preserve">Solicitud de Pruebas de Seguridad </t>
  </si>
  <si>
    <t>Variables de Minería de Datos</t>
  </si>
  <si>
    <t>SPS</t>
  </si>
  <si>
    <t>VMD</t>
  </si>
  <si>
    <t>Modelado de Amenazas</t>
  </si>
  <si>
    <t>MAZ</t>
  </si>
  <si>
    <t>MODELADOAMENAZAS</t>
  </si>
  <si>
    <t>Aplica  en la atención de Incidentes y problemas  registrados en la Mesa de Servicios SAT</t>
  </si>
  <si>
    <t>Requerimiento de Liberación (Carátula)</t>
  </si>
  <si>
    <r>
      <t>Matriz de Control de Cambios</t>
    </r>
    <r>
      <rPr>
        <vertAlign val="superscript"/>
        <sz val="10"/>
        <rFont val="Calibri"/>
        <family val="2"/>
        <scheme val="minor"/>
      </rPr>
      <t xml:space="preserve"> </t>
    </r>
  </si>
  <si>
    <t>Es generado automáticamente en herramienta Monitor</t>
  </si>
  <si>
    <t>AAdmvo_Solicitud al CAM</t>
  </si>
  <si>
    <t>SOLCAM</t>
  </si>
  <si>
    <t>SOLICCAM</t>
  </si>
  <si>
    <t>AAdmvo_ABC de Insumos para el Soporte en Mesa de Servicios SAT</t>
  </si>
  <si>
    <t>ABC</t>
  </si>
  <si>
    <t xml:space="preserve">Oficio de Aceptación de Pruebas de Usuario  y  Liberación </t>
  </si>
  <si>
    <t>ID POL / RMA</t>
  </si>
  <si>
    <t>Reportes al Congreso</t>
  </si>
  <si>
    <t>Consolidación de la Recaudación</t>
  </si>
  <si>
    <t>CR</t>
  </si>
  <si>
    <t>APP</t>
  </si>
  <si>
    <t>PROYECTOS</t>
  </si>
  <si>
    <t>SISTEMAS</t>
  </si>
  <si>
    <r>
      <rPr>
        <b/>
        <sz val="9"/>
        <color indexed="8"/>
        <rFont val="Calibri"/>
        <family val="2"/>
      </rPr>
      <t xml:space="preserve">Administrativos:  </t>
    </r>
    <r>
      <rPr>
        <sz val="9"/>
        <color indexed="8"/>
        <rFont val="Calibri"/>
        <family val="2"/>
      </rPr>
      <t xml:space="preserve">ID Servicio de Negocio +_+ Código del Aplicativo +_+ Acrónimo del Artefacto +_+ Identificador del Proveedor +_+ Prefijo POL o RMA + ID POL o RMA
</t>
    </r>
    <r>
      <rPr>
        <b/>
        <sz val="9"/>
        <color indexed="8"/>
        <rFont val="Calibri"/>
        <family val="2"/>
      </rPr>
      <t xml:space="preserve">Generales  : </t>
    </r>
    <r>
      <rPr>
        <sz val="9"/>
        <color indexed="8"/>
        <rFont val="Calibri"/>
        <family val="2"/>
      </rPr>
      <t xml:space="preserve">ID Servicio de Negocio +_+ Código del Aplicativo +_+ Acrónimo del Artefacto
</t>
    </r>
  </si>
  <si>
    <t>Tipo de Producto a localizar</t>
  </si>
  <si>
    <t>No es documento del MDAP. Sin embargo, es un documento oficial que puede ser requerido por AVL, cuando sea necesario.</t>
  </si>
  <si>
    <t>El plan de retorno debe estar referido en el documento de instalación de los paquetes.</t>
  </si>
  <si>
    <t>Este documento lo genera el área de ACOST con apoyo del RAPE y de CDS.</t>
  </si>
  <si>
    <t>Este documento lo genera el área de ACSMC con apoyo del RAPE y de CDS.</t>
  </si>
  <si>
    <t>Este documento lo genera el área de ACSMC con apoyo de  ACTT, ACSN, el RAPE y CDS.</t>
  </si>
  <si>
    <t>Reporte generado por la herramienta del área de serguridad aplicado por el CDS.</t>
  </si>
  <si>
    <t>SIPRED</t>
  </si>
  <si>
    <t>Sistema de Presentación de Documentos</t>
  </si>
  <si>
    <t>Mis Cuentas RFS</t>
  </si>
  <si>
    <t>SaC: Mis Cuentas. Creación Modelo de información</t>
  </si>
  <si>
    <t>Se anexa en Monitor y en el SharePoint definido en la pestaña "Nombrado de Artefactos"</t>
  </si>
  <si>
    <t>MAT-CO_Vul</t>
  </si>
  <si>
    <t>IIAFE</t>
  </si>
  <si>
    <t>SIITVCE</t>
  </si>
  <si>
    <t>MAT Control de Obligaciones de Operaciones Vulnerables</t>
  </si>
  <si>
    <t>Intercambio de información con autoridades fiscales extranjeras</t>
  </si>
  <si>
    <t>Sistema de Importación e Internación Temporal de Vehículos, Casas Rodantes y Embarcaciones</t>
  </si>
  <si>
    <t>VIDEX</t>
  </si>
  <si>
    <t>Solicitud de validación de Información y documentación que acompaña a las operaciones de Comercio Exterior</t>
  </si>
  <si>
    <t>Se almacena en SVN</t>
  </si>
  <si>
    <t>Se almacena en SVN en la carpeta matriz.  También es publicada en Monitor</t>
  </si>
  <si>
    <t>El documento es generado automáticamente en herramienta de Matriz de SVN</t>
  </si>
  <si>
    <t>AAdmvo_Plan de trabajo</t>
  </si>
  <si>
    <t>CDT</t>
  </si>
  <si>
    <t>Cronograma de trabajo asociado a la propuesta</t>
  </si>
  <si>
    <t>Se anexa en Monitor y SharePoint de desarrollo</t>
  </si>
  <si>
    <t>Se anexa en Monitor  y SharePoint de desarrollo</t>
  </si>
  <si>
    <t>Solicitud de Pruebas de Seguridad</t>
  </si>
  <si>
    <t>Esta solicitud se genera en AVL para pedir a la ACSMC pruebas de seguridad</t>
  </si>
  <si>
    <t>Se anexa en Monitor,esta solicitud se genera en AVL para pedir a la ACSMC pruebas de seguridad</t>
  </si>
  <si>
    <t>Ajustes de la matriz de aplicaciones de junio.</t>
  </si>
  <si>
    <t>El Nombrado de los Artefactos se realizará conforme la liberación de los procesos compartidos del SDMA vigente</t>
  </si>
  <si>
    <t xml:space="preserve"> </t>
  </si>
  <si>
    <t>Dictamen Técnico de Solución (RMA-Problemas/Servcios)</t>
  </si>
  <si>
    <t>CODIGO</t>
  </si>
  <si>
    <t>Código fuente resultado de la atención del requerimiento de servicio</t>
  </si>
  <si>
    <t>REPCALCOD</t>
  </si>
  <si>
    <t>Se genera a través de una herramienta. Se anexa en monitor, y en el SharePoint de desarrollo</t>
  </si>
  <si>
    <t>Se anexa en Monitor, y en el SharePoint de desarrollo</t>
  </si>
  <si>
    <t>Se anexa en POL, y en el SharePoint de desarrollo</t>
  </si>
  <si>
    <t>SVN, y en el SharePoint de desarrollo</t>
  </si>
  <si>
    <t>COMALEP</t>
  </si>
  <si>
    <t>Convenio Multilateral de Aduanas de América Latina, España y Portugal</t>
  </si>
  <si>
    <t>DIOT MF</t>
  </si>
  <si>
    <t>Declaración Informativa de operaciones con terceros Completa  (MF)- DIOT Completa (MF)</t>
  </si>
  <si>
    <t>Insumos_Compe</t>
  </si>
  <si>
    <t>Proyecto ETL generación de insumos del proceso de control de compensaciones</t>
  </si>
  <si>
    <t>ECFC</t>
  </si>
  <si>
    <t>Estados de Cuenta Financieros del Contribuyente</t>
  </si>
  <si>
    <t>SISTEMA CPED</t>
  </si>
  <si>
    <t>Infraestructura conformada por una plataforma con herramientas analíticas, una plataforma para redes sociales y una plataforma para casos de Investigación, todo ello en el Centro de Datos de Querétaro.</t>
  </si>
  <si>
    <t>SIAVO</t>
  </si>
  <si>
    <t xml:space="preserve">Solución conformada por un módulo de análisis de vínculos (SAS Social Network Analysis) y un módulo de tableros estratégicos y operativos de comercio exterior en SAS Visual Analytics.   </t>
  </si>
  <si>
    <t>SAAPATM</t>
  </si>
  <si>
    <t>Es una aplicación web que recibe mensajes vía JMS y los persiste en base de datos.</t>
  </si>
  <si>
    <t>DYP</t>
  </si>
  <si>
    <t>Generar el proceso de integración y analítico del determinación de los pagos de Personas físicas y Morales y de los datos del clasificador generados en la determinación</t>
  </si>
  <si>
    <t>NEPE-1</t>
  </si>
  <si>
    <t>Realizar la recepción, procesamiento y almacenamiento de los pagos, avisos en cero y declaraciones correctivas de PM y PF.</t>
  </si>
  <si>
    <t>_28_Declaraciones_y_Pagos_Informativas_y_Pagos_Provisionales</t>
  </si>
  <si>
    <t>382-DEC_IDE-Declaración Informativa Mensual y Anual del Impuesto a los Depósitos en Efectivo</t>
  </si>
  <si>
    <t>IDEWEB</t>
  </si>
  <si>
    <t>DE</t>
  </si>
  <si>
    <t xml:space="preserve">Matriz de Control de Cambios </t>
  </si>
  <si>
    <t>28_382_AEX</t>
  </si>
  <si>
    <t>28_382_AFD</t>
  </si>
  <si>
    <t>28_382_ASS</t>
  </si>
  <si>
    <t>28_382_VBD</t>
  </si>
  <si>
    <t>28_382_CRN</t>
  </si>
  <si>
    <t>28_382_CCV</t>
  </si>
  <si>
    <t>28_382_FCU</t>
  </si>
  <si>
    <t>28_382_DCV</t>
  </si>
  <si>
    <t>28_382_DIC_IDEWEB</t>
  </si>
  <si>
    <t>28_382_DCB</t>
  </si>
  <si>
    <t>28_382_DFC</t>
  </si>
  <si>
    <t>28_382_DRG</t>
  </si>
  <si>
    <t>28_382_DSTI</t>
  </si>
  <si>
    <t>28_382_EIU_IDEWEB</t>
  </si>
  <si>
    <t>28_382_EZS</t>
  </si>
  <si>
    <t>28_382_EPE</t>
  </si>
  <si>
    <t>28_382_ERF</t>
  </si>
  <si>
    <t>28_382_ETB</t>
  </si>
  <si>
    <t>28_382_ESOA_IDEWEB</t>
  </si>
  <si>
    <t>28_382_ECU_IDEWEB</t>
  </si>
  <si>
    <t>28_382_EDA</t>
  </si>
  <si>
    <t>28_382_ECD</t>
  </si>
  <si>
    <t>28_382_EVC</t>
  </si>
  <si>
    <t>28_382_EMA</t>
  </si>
  <si>
    <t>28_382_FRM</t>
  </si>
  <si>
    <t>28_382_GLO</t>
  </si>
  <si>
    <t>28_382_GAO_IDEWEB</t>
  </si>
  <si>
    <t>28_382_MAC_IDEWEB</t>
  </si>
  <si>
    <t>28_382_MAI_IDEWEB</t>
  </si>
  <si>
    <t>28_382_MOV</t>
  </si>
  <si>
    <t>28_382_MCA</t>
  </si>
  <si>
    <t>28_382_MRT</t>
  </si>
  <si>
    <t>28_382_MTB</t>
  </si>
  <si>
    <t>28_382_MTC</t>
  </si>
  <si>
    <t>28_382_MTP</t>
  </si>
  <si>
    <t>28_382_MAN</t>
  </si>
  <si>
    <t>28_382_MAZ</t>
  </si>
  <si>
    <t>28_382_MCU</t>
  </si>
  <si>
    <t>28_382_MSF_IDEWEB</t>
  </si>
  <si>
    <t>28_382_MPI</t>
  </si>
  <si>
    <t>28_382_MLF</t>
  </si>
  <si>
    <t>28_382_VRM</t>
  </si>
  <si>
    <t>28_382_NAD</t>
  </si>
  <si>
    <t>28_382_PIC_IDEWEB</t>
  </si>
  <si>
    <t>28_382_FPRE</t>
  </si>
  <si>
    <t>28_382_RAP</t>
  </si>
  <si>
    <t>28_382_PBL_IDEWEB</t>
  </si>
  <si>
    <t>28_382_RNV_IDEWEB</t>
  </si>
  <si>
    <t>28_382_RPP</t>
  </si>
  <si>
    <t>28_382_RPV_IDEWEB</t>
  </si>
  <si>
    <t>28_382_RES</t>
  </si>
  <si>
    <t>28_382_RDP_IDEWEB</t>
  </si>
  <si>
    <t>28_382_SMA_IDEWEB</t>
  </si>
  <si>
    <t>28_382_FCUN</t>
  </si>
  <si>
    <t>28_382_SPS_IDEWEB</t>
  </si>
  <si>
    <t>28_382_VMD_IDEWEB</t>
  </si>
  <si>
    <t>MDAP 6.0</t>
  </si>
  <si>
    <t>28_382_ABC_CON_P363</t>
  </si>
  <si>
    <t>28_382_ANSL_CON_P363</t>
  </si>
  <si>
    <t>28_382_CAES_CON_P363</t>
  </si>
  <si>
    <t>28_382_CAPA_CON_P363_E302</t>
  </si>
  <si>
    <t>28_382_CCSR_CON_P363</t>
  </si>
  <si>
    <t>28_382_EUHE_CON_P363_E302</t>
  </si>
  <si>
    <t>28_382_MIRE_CON_P363</t>
  </si>
  <si>
    <t>28_382_OFPU_CON_P363</t>
  </si>
  <si>
    <t>28_382_CDT_CON_P363</t>
  </si>
  <si>
    <t>28_382_PSE_CON_P363_E302</t>
  </si>
  <si>
    <t>28_382_SOLCAM_CON_P363</t>
  </si>
  <si>
    <t>28_382_ACR_CON_P363</t>
  </si>
  <si>
    <t>28_382_CPSA_CON_P363</t>
  </si>
  <si>
    <t>28_382_DTS_CON_P363</t>
  </si>
  <si>
    <t>DLCC18491DE1.dp</t>
  </si>
  <si>
    <t>DLCC18491DE1_RCC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</si>
</sst>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4" formatCode="00"/>
    <numFmt numFmtId="165" formatCode="0.0"/>
  </numFmts>
  <fonts count="59" x14ac:knownFonts="1">
    <font>
      <sz val="11"/>
      <color theme="1"/>
      <name val="Calibri"/>
      <family val="2"/>
      <scheme val="minor"/>
    </font>
    <font>
      <sz val="10"/>
      <name val="Arial"/>
      <family val="2"/>
    </font>
    <font>
      <sz val="10"/>
      <color indexed="8"/>
      <name val="Calibri"/>
      <family val="2"/>
    </font>
    <font>
      <b/>
      <sz val="10"/>
      <color indexed="8"/>
      <name val="Calibri"/>
      <family val="2"/>
    </font>
    <font>
      <sz val="9"/>
      <color indexed="81"/>
      <name val="Tahoma"/>
      <family val="2"/>
    </font>
    <font>
      <b/>
      <sz val="9"/>
      <color indexed="81"/>
      <name val="Tahoma"/>
      <family val="2"/>
    </font>
    <font>
      <sz val="9"/>
      <color indexed="8"/>
      <name val="Calibri"/>
      <family val="2"/>
    </font>
    <font>
      <b/>
      <sz val="9"/>
      <color indexed="8"/>
      <name val="Calibri"/>
      <family val="2"/>
    </font>
    <font>
      <sz val="10"/>
      <color indexed="8"/>
      <name val="Arial"/>
      <family val="2"/>
    </font>
    <font>
      <sz val="10"/>
      <name val="Arial"/>
      <family val="2"/>
    </font>
    <font>
      <u/>
      <sz val="10"/>
      <color indexed="12"/>
      <name val="Arial"/>
      <family val="2"/>
    </font>
    <font>
      <sz val="10"/>
      <name val="Arial"/>
      <family val="2"/>
    </font>
    <font>
      <u/>
      <sz val="11"/>
      <color theme="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9"/>
      <name val="Calibri"/>
      <family val="2"/>
      <scheme val="minor"/>
    </font>
    <font>
      <sz val="10"/>
      <color theme="2"/>
      <name val="Calibri"/>
      <family val="2"/>
      <scheme val="minor"/>
    </font>
    <font>
      <sz val="10"/>
      <name val="Calibri"/>
      <family val="2"/>
      <scheme val="minor"/>
    </font>
    <font>
      <sz val="11"/>
      <name val="Calibri"/>
      <family val="2"/>
      <scheme val="minor"/>
    </font>
    <font>
      <b/>
      <sz val="11"/>
      <color theme="1"/>
      <name val="Calibri"/>
      <family val="2"/>
      <scheme val="minor"/>
    </font>
    <font>
      <b/>
      <i/>
      <sz val="10"/>
      <color theme="1"/>
      <name val="Calibri"/>
      <family val="2"/>
      <scheme val="minor"/>
    </font>
    <font>
      <i/>
      <u/>
      <sz val="10"/>
      <color theme="10"/>
      <name val="Calibri"/>
      <family val="2"/>
      <scheme val="minor"/>
    </font>
    <font>
      <sz val="9"/>
      <color theme="1"/>
      <name val="Calibri"/>
      <family val="2"/>
      <scheme val="minor"/>
    </font>
    <font>
      <u/>
      <sz val="10"/>
      <color theme="1"/>
      <name val="Calibri"/>
      <family val="2"/>
      <scheme val="minor"/>
    </font>
    <font>
      <sz val="10"/>
      <color rgb="FFFF0000"/>
      <name val="Calibri"/>
      <family val="2"/>
      <scheme val="minor"/>
    </font>
    <font>
      <b/>
      <sz val="10"/>
      <color theme="0"/>
      <name val="Calibri"/>
      <family val="2"/>
      <scheme val="minor"/>
    </font>
    <font>
      <i/>
      <u/>
      <sz val="9"/>
      <color theme="10"/>
      <name val="Calibri"/>
      <family val="2"/>
      <scheme val="minor"/>
    </font>
    <font>
      <sz val="10"/>
      <color theme="2" tint="-9.9978637043366805E-2"/>
      <name val="Calibri"/>
      <family val="2"/>
      <scheme val="minor"/>
    </font>
    <font>
      <sz val="10"/>
      <color theme="0"/>
      <name val="Calibri"/>
      <family val="2"/>
      <scheme val="minor"/>
    </font>
    <font>
      <sz val="10"/>
      <color theme="3"/>
      <name val="Calibri"/>
      <family val="2"/>
      <scheme val="minor"/>
    </font>
    <font>
      <b/>
      <sz val="10"/>
      <color theme="4"/>
      <name val="Calibri"/>
      <family val="2"/>
      <scheme val="minor"/>
    </font>
    <font>
      <b/>
      <sz val="10"/>
      <color theme="3" tint="0.39997558519241921"/>
      <name val="Calibri"/>
      <family val="2"/>
      <scheme val="minor"/>
    </font>
    <font>
      <b/>
      <sz val="10"/>
      <color theme="0" tint="-0.14999847407452621"/>
      <name val="Calibri"/>
      <family val="2"/>
      <scheme val="minor"/>
    </font>
    <font>
      <sz val="11"/>
      <color theme="0"/>
      <name val="Calibri"/>
      <family val="2"/>
      <scheme val="minor"/>
    </font>
    <font>
      <b/>
      <sz val="14"/>
      <name val="Calibri"/>
      <family val="2"/>
      <scheme val="minor"/>
    </font>
    <font>
      <sz val="9"/>
      <color theme="1"/>
      <name val="Arial"/>
      <family val="2"/>
    </font>
    <font>
      <sz val="10"/>
      <color theme="1"/>
      <name val="Arial"/>
      <family val="2"/>
    </font>
    <font>
      <u/>
      <sz val="10"/>
      <color theme="10"/>
      <name val="Calibri"/>
      <family val="2"/>
      <scheme val="minor"/>
    </font>
    <font>
      <b/>
      <sz val="10"/>
      <color theme="1"/>
      <name val="Arial"/>
      <family val="2"/>
    </font>
    <font>
      <b/>
      <sz val="20"/>
      <color theme="0"/>
      <name val="Calibri"/>
      <family val="2"/>
      <scheme val="minor"/>
    </font>
    <font>
      <vertAlign val="superscript"/>
      <sz val="10"/>
      <name val="Calibri"/>
      <family val="2"/>
      <scheme val="minor"/>
    </font>
    <font>
      <sz val="10"/>
      <color rgb="FF000000"/>
      <name val="Calibri"/>
      <family val="2"/>
      <scheme val="minor"/>
    </font>
    <font>
      <b/>
      <sz val="10"/>
      <color rgb="FFFF0000"/>
      <name val="Calibri"/>
      <family val="2"/>
      <scheme val="minor"/>
    </font>
    <font>
      <sz val="8"/>
      <color theme="1"/>
      <name val="Calibri"/>
      <family val="2"/>
      <scheme val="minor"/>
    </font>
    <font>
      <b/>
      <sz val="12"/>
      <color theme="0"/>
      <name val="Calibri"/>
      <family val="2"/>
      <scheme val="minor"/>
    </font>
    <font>
      <b/>
      <sz val="10"/>
      <name val="Arial"/>
      <family val="2"/>
    </font>
    <font>
      <b/>
      <sz val="10"/>
      <color theme="0"/>
      <name val="Arial"/>
      <family val="2"/>
    </font>
    <font>
      <sz val="11"/>
      <color rgb="FF9C0006"/>
      <name val="Calibri"/>
      <family val="2"/>
      <scheme val="minor"/>
    </font>
    <font>
      <sz val="10"/>
      <name val="Tahoma"/>
      <family val="2"/>
    </font>
    <font>
      <sz val="10"/>
      <color theme="1"/>
      <name val="Tahoma"/>
      <family val="2"/>
    </font>
    <font>
      <sz val="12"/>
      <name val="Tahoma"/>
      <family val="2"/>
    </font>
    <font>
      <sz val="8.5500000000000007"/>
      <name val="Verdana"/>
      <family val="2"/>
    </font>
    <font>
      <b/>
      <sz val="10"/>
      <color rgb="FFFF0000"/>
      <name val="Arial"/>
      <family val="2"/>
    </font>
    <font>
      <sz val="8"/>
      <name val="Arial"/>
      <family val="2"/>
    </font>
    <font>
      <b/>
      <sz val="8"/>
      <name val="Arial"/>
      <family val="2"/>
    </font>
    <font>
      <b/>
      <sz val="14"/>
      <name val="Arial"/>
      <family val="2"/>
    </font>
    <font>
      <sz val="9"/>
      <name val="Arial"/>
      <family val="2"/>
    </font>
    <font>
      <sz val="10"/>
      <color indexed="8"/>
      <name val="Tahoma"/>
      <family val="2"/>
    </font>
  </fonts>
  <fills count="54">
    <fill>
      <patternFill patternType="none"/>
    </fill>
    <fill>
      <patternFill patternType="gray125"/>
    </fill>
    <fill>
      <patternFill patternType="solid">
        <fgColor indexed="13"/>
        <bgColor indexed="64"/>
      </patternFill>
    </fill>
    <fill>
      <patternFill patternType="solid">
        <fgColor theme="0"/>
        <bgColor indexed="64"/>
      </patternFill>
    </fill>
    <fill>
      <patternFill patternType="solid">
        <fgColor theme="4"/>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theme="8"/>
        <bgColor indexed="64"/>
      </patternFill>
    </fill>
    <fill>
      <patternFill patternType="solid">
        <fgColor theme="7"/>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rgb="FFFFFF99"/>
        <bgColor indexed="64"/>
      </patternFill>
    </fill>
    <fill>
      <patternFill patternType="solid">
        <fgColor theme="8" tint="0.59999389629810485"/>
        <bgColor indexed="64"/>
      </patternFill>
    </fill>
    <fill>
      <patternFill patternType="solid">
        <fgColor rgb="FFC0504D"/>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rgb="FF4BACC6"/>
        <bgColor indexed="64"/>
      </patternFill>
    </fill>
    <fill>
      <patternFill patternType="solid">
        <fgColor rgb="FF8064A2"/>
        <bgColor indexed="64"/>
      </patternFill>
    </fill>
    <fill>
      <patternFill patternType="solid">
        <fgColor rgb="FF4F81BD"/>
        <bgColor indexed="64"/>
      </patternFill>
    </fill>
    <fill>
      <patternFill patternType="solid">
        <fgColor rgb="FFF79646"/>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rgb="FFFFC7CE"/>
      </patternFill>
    </fill>
    <fill>
      <patternFill patternType="solid">
        <fgColor theme="9" tint="0.39997558519241921"/>
        <bgColor indexed="64"/>
      </patternFill>
    </fill>
    <fill>
      <patternFill patternType="solid">
        <fgColor rgb="FFFF9E6D"/>
        <bgColor indexed="64"/>
      </patternFill>
    </fill>
    <fill>
      <patternFill patternType="solid">
        <fgColor rgb="FFFF3B3B"/>
        <bgColor indexed="64"/>
      </patternFill>
    </fill>
    <fill>
      <patternFill patternType="solid">
        <fgColor rgb="FF00E668"/>
        <bgColor indexed="64"/>
      </patternFill>
    </fill>
    <fill>
      <patternFill patternType="solid">
        <fgColor rgb="FFF78629"/>
        <bgColor indexed="64"/>
      </patternFill>
    </fill>
    <fill>
      <patternFill patternType="solid">
        <fgColor theme="5" tint="-0.249977111117893"/>
        <bgColor indexed="64"/>
      </patternFill>
    </fill>
    <fill>
      <patternFill patternType="solid">
        <fgColor rgb="FFC0C0C0"/>
        <bgColor indexed="64"/>
      </patternFill>
    </fill>
    <fill>
      <patternFill patternType="solid">
        <fgColor theme="4" tint="-0.24994659260841701"/>
        <bgColor indexed="64"/>
      </patternFill>
    </fill>
  </fills>
  <borders count="60">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8"/>
      </left>
      <right style="thin">
        <color indexed="8"/>
      </right>
      <top style="thin">
        <color indexed="8"/>
      </top>
      <bottom style="thin">
        <color indexed="8"/>
      </bottom>
      <diagonal/>
    </border>
  </borders>
  <cellStyleXfs count="91">
    <xf numFmtId="0" fontId="0" fillId="0" borderId="0"/>
    <xf numFmtId="44" fontId="1" fillId="0" borderId="0" applyFont="0" applyFill="0" applyBorder="0" applyAlignment="0" applyProtection="0"/>
    <xf numFmtId="0" fontId="12" fillId="0" borderId="0" applyNumberFormat="0" applyFill="0" applyBorder="0" applyAlignment="0" applyProtection="0"/>
    <xf numFmtId="0" fontId="10" fillId="0" borderId="0" applyNumberFormat="0" applyFill="0" applyBorder="0" applyAlignment="0" applyProtection="0">
      <alignment vertical="top"/>
      <protection locked="0"/>
    </xf>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5" borderId="0" applyNumberFormat="0" applyBorder="0" applyAlignment="0" applyProtection="0"/>
    <xf numFmtId="0" fontId="8" fillId="0" borderId="0"/>
    <xf numFmtId="0" fontId="1" fillId="0" borderId="0"/>
  </cellStyleXfs>
  <cellXfs count="708">
    <xf numFmtId="0" fontId="0" fillId="0" borderId="0" xfId="0"/>
    <xf numFmtId="0" fontId="13" fillId="0" borderId="0" xfId="0" applyFont="1" applyAlignment="1"/>
    <xf numFmtId="0" fontId="13" fillId="0" borderId="0" xfId="0" applyFont="1" applyAlignment="1">
      <alignment vertical="center" wrapText="1"/>
    </xf>
    <xf numFmtId="0" fontId="13" fillId="0" borderId="0" xfId="0" applyFont="1" applyAlignment="1">
      <alignment vertical="center"/>
    </xf>
    <xf numFmtId="0" fontId="13" fillId="0" borderId="0" xfId="0" applyFont="1" applyAlignment="1">
      <alignment wrapText="1"/>
    </xf>
    <xf numFmtId="0" fontId="13" fillId="0" borderId="0" xfId="0" applyFont="1" applyBorder="1" applyAlignment="1">
      <alignment vertical="top" wrapText="1"/>
    </xf>
    <xf numFmtId="0" fontId="13" fillId="3" borderId="0" xfId="0" applyFont="1" applyFill="1" applyBorder="1" applyAlignment="1">
      <alignment vertical="center"/>
    </xf>
    <xf numFmtId="0" fontId="13" fillId="3" borderId="0" xfId="0" applyFont="1" applyFill="1" applyBorder="1" applyAlignment="1">
      <alignment horizontal="left"/>
    </xf>
    <xf numFmtId="0" fontId="13" fillId="3" borderId="0" xfId="0" applyFont="1" applyFill="1" applyBorder="1"/>
    <xf numFmtId="0" fontId="15" fillId="3" borderId="0" xfId="0" applyFont="1" applyFill="1" applyBorder="1" applyAlignment="1">
      <alignment horizontal="left"/>
    </xf>
    <xf numFmtId="0" fontId="13" fillId="3" borderId="0" xfId="0" applyFont="1" applyFill="1" applyBorder="1" applyAlignment="1"/>
    <xf numFmtId="0" fontId="13" fillId="0" borderId="0" xfId="0" applyFont="1" applyBorder="1" applyAlignment="1">
      <alignment horizontal="left" vertical="center" wrapText="1"/>
    </xf>
    <xf numFmtId="0" fontId="13" fillId="0" borderId="0" xfId="0" applyFont="1" applyAlignment="1">
      <alignment horizontal="center" vertical="center"/>
    </xf>
    <xf numFmtId="0" fontId="18" fillId="0" borderId="3" xfId="0" applyFont="1" applyFill="1" applyBorder="1" applyAlignment="1" applyProtection="1">
      <alignment horizontal="left" vertical="center" wrapText="1"/>
    </xf>
    <xf numFmtId="0" fontId="18" fillId="0" borderId="3" xfId="0" applyFont="1" applyFill="1" applyBorder="1" applyAlignment="1">
      <alignment horizontal="center" vertical="center" wrapText="1"/>
    </xf>
    <xf numFmtId="0" fontId="13" fillId="0" borderId="0" xfId="0" applyFont="1" applyBorder="1" applyAlignment="1">
      <alignment horizontal="left" vertical="top"/>
    </xf>
    <xf numFmtId="0" fontId="15" fillId="0" borderId="0" xfId="0" applyFont="1" applyBorder="1" applyAlignment="1">
      <alignment horizontal="left" vertical="center"/>
    </xf>
    <xf numFmtId="0" fontId="13" fillId="0" borderId="0" xfId="0" applyFont="1" applyBorder="1" applyAlignment="1">
      <alignment horizontal="left" vertical="center"/>
    </xf>
    <xf numFmtId="0" fontId="15" fillId="3" borderId="0" xfId="0" applyFont="1" applyFill="1" applyBorder="1" applyAlignment="1"/>
    <xf numFmtId="0" fontId="21" fillId="3" borderId="0" xfId="0" applyFont="1" applyFill="1" applyBorder="1" applyAlignment="1">
      <alignment vertical="center"/>
    </xf>
    <xf numFmtId="0" fontId="13" fillId="0" borderId="0" xfId="0" applyFont="1" applyBorder="1"/>
    <xf numFmtId="0" fontId="13" fillId="0" borderId="0" xfId="0" applyFont="1" applyBorder="1" applyAlignment="1">
      <alignment wrapText="1"/>
    </xf>
    <xf numFmtId="0" fontId="23" fillId="0" borderId="0" xfId="0" applyFont="1" applyAlignment="1">
      <alignment horizontal="left" vertical="center"/>
    </xf>
    <xf numFmtId="0" fontId="23" fillId="0" borderId="0" xfId="0" applyFont="1" applyFill="1" applyAlignment="1">
      <alignment horizontal="left" vertical="center"/>
    </xf>
    <xf numFmtId="0" fontId="13" fillId="0" borderId="0" xfId="0" applyFont="1" applyAlignment="1">
      <alignment horizontal="center" vertical="center" wrapText="1"/>
    </xf>
    <xf numFmtId="0" fontId="18" fillId="0" borderId="0" xfId="0" applyFont="1" applyFill="1" applyBorder="1" applyAlignment="1">
      <alignment vertical="top" wrapText="1"/>
    </xf>
    <xf numFmtId="0" fontId="18" fillId="0" borderId="3" xfId="0" applyFont="1" applyFill="1" applyBorder="1" applyAlignment="1">
      <alignment horizontal="left" vertical="center" wrapText="1"/>
    </xf>
    <xf numFmtId="0" fontId="15" fillId="0" borderId="0" xfId="0" applyFont="1" applyFill="1" applyBorder="1" applyAlignment="1">
      <alignment horizontal="left" vertical="center"/>
    </xf>
    <xf numFmtId="0" fontId="15" fillId="0" borderId="0" xfId="0" quotePrefix="1" applyFont="1" applyFill="1" applyBorder="1" applyAlignment="1" applyProtection="1">
      <alignment horizontal="left" vertical="center"/>
      <protection locked="0"/>
    </xf>
    <xf numFmtId="0" fontId="15" fillId="0" borderId="0" xfId="0" quotePrefix="1" applyFont="1" applyFill="1" applyBorder="1" applyAlignment="1" applyProtection="1">
      <alignment horizontal="left" vertical="center" wrapText="1"/>
      <protection locked="0"/>
    </xf>
    <xf numFmtId="0" fontId="13" fillId="0" borderId="0" xfId="0" applyFont="1" applyAlignment="1" applyProtection="1">
      <alignment wrapText="1"/>
    </xf>
    <xf numFmtId="0" fontId="17" fillId="0" borderId="0" xfId="0" applyFont="1" applyAlignment="1" applyProtection="1">
      <alignment horizont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13" fillId="0" borderId="0" xfId="0" applyFont="1" applyAlignment="1" applyProtection="1">
      <alignment vertical="center"/>
    </xf>
    <xf numFmtId="0" fontId="13" fillId="0" borderId="0" xfId="0" applyFont="1" applyAlignment="1" applyProtection="1"/>
    <xf numFmtId="0" fontId="15" fillId="7" borderId="3" xfId="0" applyFont="1" applyFill="1" applyBorder="1" applyAlignment="1" applyProtection="1">
      <alignment horizontal="center" vertical="center"/>
    </xf>
    <xf numFmtId="0" fontId="13" fillId="0" borderId="0" xfId="0" applyFont="1" applyFill="1" applyAlignment="1"/>
    <xf numFmtId="0" fontId="13" fillId="0" borderId="0" xfId="0" applyFont="1" applyFill="1" applyAlignment="1">
      <alignment vertical="center" wrapText="1"/>
    </xf>
    <xf numFmtId="0" fontId="13" fillId="0" borderId="0" xfId="0" applyFont="1" applyFill="1" applyAlignment="1">
      <alignment horizontal="center" vertical="center" wrapText="1"/>
    </xf>
    <xf numFmtId="0" fontId="13" fillId="0" borderId="0" xfId="0" applyFont="1" applyFill="1" applyAlignment="1">
      <alignment vertical="center"/>
    </xf>
    <xf numFmtId="0" fontId="23" fillId="0" borderId="0" xfId="0" applyFont="1"/>
    <xf numFmtId="0" fontId="23" fillId="0" borderId="0" xfId="0" applyFont="1" applyAlignment="1">
      <alignment horizontal="center" vertical="center"/>
    </xf>
    <xf numFmtId="0" fontId="23" fillId="0" borderId="0" xfId="0" applyFont="1" applyAlignment="1">
      <alignment horizontal="center"/>
    </xf>
    <xf numFmtId="0" fontId="27" fillId="0" borderId="0" xfId="2" applyFont="1" applyBorder="1" applyAlignment="1">
      <alignment horizontal="center" vertical="top"/>
    </xf>
    <xf numFmtId="0" fontId="18" fillId="0" borderId="0" xfId="0" applyFont="1" applyFill="1" applyBorder="1" applyAlignment="1" applyProtection="1">
      <alignment vertical="top" wrapText="1"/>
    </xf>
    <xf numFmtId="0" fontId="15" fillId="4" borderId="17" xfId="0" applyFont="1" applyFill="1" applyBorder="1" applyAlignment="1" applyProtection="1">
      <alignment horizontal="center" vertical="center" wrapText="1"/>
    </xf>
    <xf numFmtId="0" fontId="18" fillId="0" borderId="3" xfId="0" applyFont="1" applyFill="1" applyBorder="1" applyAlignment="1" applyProtection="1">
      <alignment horizontal="left" vertical="center" wrapText="1"/>
      <protection hidden="1"/>
    </xf>
    <xf numFmtId="0" fontId="18" fillId="0" borderId="3" xfId="0" applyFont="1" applyFill="1" applyBorder="1" applyAlignment="1" applyProtection="1">
      <alignment horizontal="center" vertical="center"/>
      <protection hidden="1"/>
    </xf>
    <xf numFmtId="0" fontId="15" fillId="13" borderId="17" xfId="0" applyFont="1" applyFill="1" applyBorder="1" applyAlignment="1" applyProtection="1">
      <alignment horizontal="center" vertical="center" wrapText="1"/>
      <protection locked="0"/>
    </xf>
    <xf numFmtId="0" fontId="13" fillId="0" borderId="0" xfId="0" applyFont="1" applyAlignment="1" applyProtection="1">
      <alignment vertical="center" wrapText="1"/>
    </xf>
    <xf numFmtId="0" fontId="13" fillId="0" borderId="0" xfId="0" applyFont="1" applyAlignment="1" applyProtection="1">
      <alignment horizontal="center" vertical="center" wrapText="1"/>
    </xf>
    <xf numFmtId="0" fontId="24" fillId="0" borderId="0" xfId="0" applyFont="1" applyAlignment="1" applyProtection="1"/>
    <xf numFmtId="0" fontId="22" fillId="0" borderId="0" xfId="2" applyFont="1" applyBorder="1" applyAlignment="1" applyProtection="1">
      <alignment horizontal="left" vertical="top"/>
    </xf>
    <xf numFmtId="0" fontId="15" fillId="13" borderId="17" xfId="0" applyFont="1" applyFill="1" applyBorder="1" applyAlignment="1" applyProtection="1">
      <alignment horizontal="center" vertical="center" wrapText="1"/>
    </xf>
    <xf numFmtId="0" fontId="15" fillId="0" borderId="0" xfId="0" applyFont="1" applyAlignment="1" applyProtection="1">
      <alignment vertical="center"/>
    </xf>
    <xf numFmtId="0" fontId="13" fillId="0" borderId="0" xfId="0" applyFont="1" applyFill="1" applyAlignment="1" applyProtection="1"/>
    <xf numFmtId="0" fontId="14" fillId="0" borderId="0" xfId="0" applyFont="1" applyFill="1" applyBorder="1" applyAlignment="1">
      <alignment vertical="top" wrapText="1"/>
    </xf>
    <xf numFmtId="0" fontId="35" fillId="15" borderId="17" xfId="0" applyFont="1" applyFill="1" applyBorder="1" applyAlignment="1" applyProtection="1">
      <alignment vertical="center"/>
    </xf>
    <xf numFmtId="0" fontId="14" fillId="12" borderId="3" xfId="0" applyFont="1" applyFill="1" applyBorder="1" applyAlignment="1" applyProtection="1">
      <alignment horizontal="center" vertical="center" wrapText="1"/>
    </xf>
    <xf numFmtId="0" fontId="14" fillId="12" borderId="3" xfId="0" applyFont="1" applyFill="1" applyBorder="1" applyAlignment="1" applyProtection="1">
      <alignment horizontal="center" vertical="center"/>
    </xf>
    <xf numFmtId="0" fontId="14" fillId="17" borderId="3" xfId="0" applyFont="1" applyFill="1" applyBorder="1" applyAlignment="1" applyProtection="1">
      <alignment horizontal="center" vertical="center" wrapText="1"/>
    </xf>
    <xf numFmtId="0" fontId="13" fillId="0" borderId="0" xfId="0" applyFont="1" applyBorder="1" applyAlignment="1">
      <alignment horizontal="left" vertical="center" wrapText="1"/>
    </xf>
    <xf numFmtId="164" fontId="23" fillId="0" borderId="0" xfId="0" applyNumberFormat="1" applyFont="1" applyAlignment="1">
      <alignment horizontal="center" vertical="center"/>
    </xf>
    <xf numFmtId="0" fontId="13" fillId="0" borderId="0" xfId="0" applyFont="1" applyAlignment="1" applyProtection="1">
      <alignment horizontal="center" vertical="center"/>
    </xf>
    <xf numFmtId="0" fontId="0" fillId="0" borderId="0" xfId="0" applyFont="1" applyBorder="1" applyAlignment="1">
      <alignment horizontal="center" vertical="center"/>
    </xf>
    <xf numFmtId="0" fontId="14" fillId="5" borderId="5" xfId="0" applyFont="1" applyFill="1" applyBorder="1" applyAlignment="1">
      <alignment horizontal="center" vertical="center" wrapText="1"/>
    </xf>
    <xf numFmtId="0" fontId="18" fillId="0" borderId="3" xfId="0" applyFont="1" applyBorder="1" applyAlignment="1">
      <alignment horizontal="left" vertical="center" wrapText="1"/>
    </xf>
    <xf numFmtId="0" fontId="14" fillId="0" borderId="3" xfId="0" applyFont="1" applyFill="1" applyBorder="1" applyAlignment="1">
      <alignment horizontal="center" vertical="center" wrapText="1"/>
    </xf>
    <xf numFmtId="0" fontId="15" fillId="4" borderId="17" xfId="0" applyFont="1" applyFill="1" applyBorder="1" applyAlignment="1" applyProtection="1">
      <alignment horizontal="center" vertical="center"/>
    </xf>
    <xf numFmtId="0" fontId="15" fillId="13" borderId="17" xfId="0" quotePrefix="1" applyFont="1" applyFill="1" applyBorder="1" applyAlignment="1" applyProtection="1">
      <alignment horizontal="center" vertical="center" wrapText="1"/>
    </xf>
    <xf numFmtId="0" fontId="18" fillId="0" borderId="3" xfId="0" applyFont="1" applyFill="1" applyBorder="1" applyAlignment="1" applyProtection="1">
      <alignment horizontal="center" vertical="center" wrapText="1"/>
      <protection hidden="1"/>
    </xf>
    <xf numFmtId="0" fontId="18" fillId="0" borderId="3" xfId="0" applyFont="1" applyFill="1" applyBorder="1" applyAlignment="1" applyProtection="1">
      <alignment horizontal="center" vertical="center"/>
    </xf>
    <xf numFmtId="0" fontId="18" fillId="0" borderId="3" xfId="0" applyFont="1" applyBorder="1" applyAlignment="1">
      <alignment horizontal="center" vertical="center" wrapText="1"/>
    </xf>
    <xf numFmtId="0" fontId="14" fillId="4" borderId="3" xfId="0" applyFont="1" applyFill="1" applyBorder="1" applyAlignment="1" applyProtection="1">
      <alignment horizontal="center" vertical="center" wrapText="1"/>
    </xf>
    <xf numFmtId="0" fontId="18" fillId="0" borderId="3" xfId="0" applyFont="1" applyBorder="1" applyAlignment="1" applyProtection="1">
      <alignment horizontal="center" vertical="center"/>
      <protection hidden="1"/>
    </xf>
    <xf numFmtId="0" fontId="18" fillId="0" borderId="3" xfId="0" applyFont="1" applyBorder="1" applyAlignment="1" applyProtection="1">
      <alignment horizontal="center" vertical="center"/>
    </xf>
    <xf numFmtId="0" fontId="18" fillId="0" borderId="3" xfId="0" applyFont="1" applyFill="1" applyBorder="1" applyAlignment="1">
      <alignment horizontal="left" vertical="center"/>
    </xf>
    <xf numFmtId="0" fontId="18" fillId="0" borderId="3" xfId="0" applyFont="1" applyBorder="1" applyAlignment="1">
      <alignment horizontal="left" vertical="center"/>
    </xf>
    <xf numFmtId="0" fontId="18" fillId="0" borderId="3" xfId="0" applyFont="1" applyFill="1" applyBorder="1" applyAlignment="1" applyProtection="1">
      <alignment horizontal="left" vertical="center"/>
    </xf>
    <xf numFmtId="0" fontId="18" fillId="0" borderId="3" xfId="0" applyFont="1" applyFill="1" applyBorder="1" applyAlignment="1" applyProtection="1">
      <alignment horizontal="left" vertical="center"/>
      <protection hidden="1"/>
    </xf>
    <xf numFmtId="0" fontId="18" fillId="0" borderId="3" xfId="0" applyFont="1" applyBorder="1" applyAlignment="1" applyProtection="1">
      <alignment horizontal="left" vertical="center"/>
      <protection hidden="1"/>
    </xf>
    <xf numFmtId="0" fontId="18" fillId="0" borderId="3" xfId="0" applyFont="1" applyBorder="1" applyAlignment="1">
      <alignment horizontal="center" vertical="center"/>
    </xf>
    <xf numFmtId="0" fontId="18" fillId="0" borderId="3" xfId="0" applyFont="1" applyBorder="1" applyAlignment="1" applyProtection="1">
      <alignment horizontal="left" vertical="center" wrapText="1"/>
      <protection hidden="1"/>
    </xf>
    <xf numFmtId="0" fontId="26" fillId="0" borderId="0" xfId="0" applyFont="1" applyFill="1" applyBorder="1" applyAlignment="1">
      <alignment vertical="center"/>
    </xf>
    <xf numFmtId="0" fontId="26" fillId="0" borderId="0" xfId="0" applyFont="1" applyFill="1" applyBorder="1" applyAlignment="1">
      <alignment horizontal="left" vertical="center"/>
    </xf>
    <xf numFmtId="0" fontId="13" fillId="0" borderId="0" xfId="0" applyFont="1" applyFill="1" applyBorder="1" applyAlignment="1">
      <alignment horizontal="left" vertical="center"/>
    </xf>
    <xf numFmtId="0" fontId="18" fillId="0" borderId="5" xfId="0" quotePrefix="1" applyFont="1" applyFill="1" applyBorder="1" applyAlignment="1">
      <alignment horizontal="center" vertical="center"/>
    </xf>
    <xf numFmtId="0" fontId="13" fillId="0" borderId="0" xfId="0" quotePrefix="1" applyFont="1" applyAlignment="1">
      <alignment horizontal="center"/>
    </xf>
    <xf numFmtId="0" fontId="13" fillId="0" borderId="0" xfId="0" applyFont="1" applyAlignment="1">
      <alignment horizontal="left" vertical="center"/>
    </xf>
    <xf numFmtId="0" fontId="29" fillId="0" borderId="0" xfId="0" applyFont="1" applyAlignment="1">
      <alignment horizontal="left" vertical="center"/>
    </xf>
    <xf numFmtId="0" fontId="13" fillId="0" borderId="0" xfId="0" applyFont="1" applyFill="1" applyAlignment="1">
      <alignment horizontal="left" vertical="center"/>
    </xf>
    <xf numFmtId="0" fontId="18" fillId="0" borderId="0" xfId="0" applyFont="1" applyFill="1" applyBorder="1" applyAlignment="1">
      <alignment horizontal="center" vertical="center"/>
    </xf>
    <xf numFmtId="0" fontId="18" fillId="0" borderId="3" xfId="0" applyFont="1" applyFill="1" applyBorder="1" applyAlignment="1" applyProtection="1">
      <alignment horizontal="center" vertical="center"/>
      <protection locked="0"/>
    </xf>
    <xf numFmtId="0" fontId="18" fillId="0" borderId="6" xfId="0" applyFont="1" applyFill="1" applyBorder="1" applyAlignment="1" applyProtection="1">
      <alignment horizontal="left" vertical="center"/>
      <protection locked="0"/>
    </xf>
    <xf numFmtId="0" fontId="14" fillId="2" borderId="3" xfId="0" applyFont="1" applyFill="1" applyBorder="1" applyAlignment="1" applyProtection="1">
      <alignment horizontal="center" vertical="center"/>
    </xf>
    <xf numFmtId="0" fontId="14" fillId="11" borderId="3" xfId="0" applyFont="1" applyFill="1" applyBorder="1" applyAlignment="1" applyProtection="1">
      <alignment horizontal="center" vertical="center" wrapText="1"/>
    </xf>
    <xf numFmtId="0" fontId="14" fillId="11" borderId="5" xfId="0" applyFont="1" applyFill="1" applyBorder="1" applyAlignment="1" applyProtection="1">
      <alignment horizontal="center" vertical="center" wrapText="1"/>
    </xf>
    <xf numFmtId="0" fontId="29" fillId="0" borderId="0" xfId="0" applyNumberFormat="1" applyFont="1" applyAlignment="1">
      <alignment horizontal="center" vertical="center"/>
    </xf>
    <xf numFmtId="0" fontId="18" fillId="0" borderId="6" xfId="0" applyFont="1" applyFill="1" applyBorder="1" applyAlignment="1">
      <alignment horizontal="center" vertical="center"/>
    </xf>
    <xf numFmtId="0" fontId="18" fillId="0" borderId="3" xfId="0" applyFont="1" applyFill="1" applyBorder="1" applyAlignment="1">
      <alignment horizontal="center" vertical="center"/>
    </xf>
    <xf numFmtId="0" fontId="13" fillId="0" borderId="27" xfId="0" applyFont="1" applyFill="1" applyBorder="1" applyAlignment="1" applyProtection="1">
      <alignment horizontal="center" vertical="center"/>
    </xf>
    <xf numFmtId="0" fontId="18" fillId="0" borderId="37" xfId="0" applyFont="1" applyBorder="1" applyAlignment="1" applyProtection="1">
      <alignment horizontal="left" vertical="center"/>
    </xf>
    <xf numFmtId="0" fontId="18" fillId="0" borderId="38" xfId="0" applyFont="1" applyBorder="1" applyAlignment="1" applyProtection="1">
      <alignment horizontal="left" vertical="center"/>
    </xf>
    <xf numFmtId="0" fontId="18" fillId="0" borderId="24" xfId="0" applyFont="1" applyBorder="1" applyAlignment="1" applyProtection="1">
      <alignment horizontal="left" vertical="center"/>
    </xf>
    <xf numFmtId="0" fontId="18" fillId="0" borderId="23" xfId="0" applyFont="1" applyBorder="1" applyAlignment="1" applyProtection="1">
      <alignment horizontal="left" vertical="center"/>
    </xf>
    <xf numFmtId="0" fontId="15" fillId="7" borderId="33" xfId="0" applyFont="1" applyFill="1" applyBorder="1" applyAlignment="1">
      <alignment horizontal="center" vertical="center"/>
    </xf>
    <xf numFmtId="0" fontId="15" fillId="7" borderId="34" xfId="0" applyFont="1" applyFill="1" applyBorder="1" applyAlignment="1">
      <alignment horizontal="center" vertical="center"/>
    </xf>
    <xf numFmtId="0" fontId="42" fillId="0" borderId="6" xfId="0" applyFont="1" applyBorder="1" applyAlignment="1">
      <alignment horizontal="left" vertical="center"/>
    </xf>
    <xf numFmtId="0" fontId="42" fillId="0" borderId="7" xfId="0" applyFont="1" applyBorder="1" applyAlignment="1">
      <alignment horizontal="left" vertical="center"/>
    </xf>
    <xf numFmtId="0" fontId="15" fillId="7" borderId="6" xfId="0" applyFont="1" applyFill="1" applyBorder="1" applyAlignment="1">
      <alignment horizontal="center" vertical="center"/>
    </xf>
    <xf numFmtId="0" fontId="15" fillId="7" borderId="5" xfId="0" applyFont="1" applyFill="1" applyBorder="1" applyAlignment="1">
      <alignment horizontal="center" vertical="center"/>
    </xf>
    <xf numFmtId="0" fontId="42" fillId="0" borderId="5" xfId="0" applyFont="1" applyBorder="1" applyAlignment="1">
      <alignment horizontal="center" vertical="center"/>
    </xf>
    <xf numFmtId="0" fontId="42" fillId="0" borderId="8" xfId="0" applyFont="1" applyBorder="1" applyAlignment="1">
      <alignment horizontal="center" vertical="center"/>
    </xf>
    <xf numFmtId="0" fontId="42" fillId="0" borderId="3" xfId="0" applyFont="1" applyBorder="1" applyAlignment="1">
      <alignment horizontal="center" vertical="center"/>
    </xf>
    <xf numFmtId="0" fontId="14" fillId="4" borderId="17" xfId="0" applyFont="1" applyFill="1" applyBorder="1" applyAlignment="1" applyProtection="1">
      <alignment horizontal="center" vertical="center"/>
    </xf>
    <xf numFmtId="1" fontId="15" fillId="0" borderId="3" xfId="0" quotePrefix="1" applyNumberFormat="1" applyFont="1" applyFill="1" applyBorder="1" applyAlignment="1" applyProtection="1">
      <alignment horizontal="center" vertical="center"/>
    </xf>
    <xf numFmtId="0" fontId="13" fillId="0" borderId="6" xfId="0" applyFont="1" applyFill="1" applyBorder="1" applyAlignment="1">
      <alignment horizontal="center" vertical="center"/>
    </xf>
    <xf numFmtId="0" fontId="18" fillId="0" borderId="5" xfId="0" applyFont="1" applyFill="1" applyBorder="1" applyAlignment="1" applyProtection="1">
      <alignment horizontal="center" vertical="center"/>
      <protection locked="0"/>
    </xf>
    <xf numFmtId="0" fontId="18" fillId="0" borderId="6" xfId="0" applyFont="1" applyFill="1" applyBorder="1" applyAlignment="1" applyProtection="1">
      <alignment horizontal="center" vertical="center"/>
      <protection locked="0"/>
    </xf>
    <xf numFmtId="0" fontId="25" fillId="0" borderId="0" xfId="0" applyFont="1" applyFill="1" applyBorder="1" applyAlignment="1">
      <alignment horizontal="left" vertical="center"/>
    </xf>
    <xf numFmtId="0" fontId="15" fillId="0" borderId="0" xfId="0" applyFont="1" applyBorder="1" applyAlignment="1">
      <alignment horizontal="left" vertical="top"/>
    </xf>
    <xf numFmtId="0" fontId="13" fillId="0" borderId="0" xfId="0" applyFont="1" applyBorder="1" applyAlignment="1">
      <alignment horizontal="left" vertical="center" wrapText="1"/>
    </xf>
    <xf numFmtId="0" fontId="15" fillId="0" borderId="17" xfId="0" applyFont="1" applyBorder="1" applyAlignment="1">
      <alignment horizontal="center" vertical="center"/>
    </xf>
    <xf numFmtId="0" fontId="15" fillId="0" borderId="0" xfId="0" quotePrefix="1" applyFont="1" applyFill="1" applyBorder="1" applyAlignment="1" applyProtection="1">
      <alignment horizontal="center" vertical="center" wrapText="1"/>
    </xf>
    <xf numFmtId="0" fontId="28" fillId="0" borderId="0" xfId="0" applyFont="1" applyFill="1" applyBorder="1" applyAlignment="1" applyProtection="1">
      <alignment horizontal="center" vertical="center"/>
    </xf>
    <xf numFmtId="0" fontId="30" fillId="0" borderId="0" xfId="0" quotePrefix="1" applyNumberFormat="1"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xf>
    <xf numFmtId="0" fontId="13" fillId="0" borderId="0" xfId="0" applyFont="1" applyFill="1" applyBorder="1" applyAlignment="1" applyProtection="1">
      <alignment vertical="center"/>
    </xf>
    <xf numFmtId="0" fontId="13" fillId="0" borderId="0" xfId="0" applyFont="1" applyFill="1" applyBorder="1" applyAlignment="1" applyProtection="1"/>
    <xf numFmtId="0" fontId="15" fillId="0" borderId="0" xfId="0" applyFont="1" applyFill="1" applyBorder="1" applyAlignment="1" applyProtection="1">
      <alignment horizontal="center" vertical="center"/>
    </xf>
    <xf numFmtId="0" fontId="23" fillId="0" borderId="0" xfId="0" applyFont="1" applyFill="1" applyBorder="1" applyAlignment="1" applyProtection="1">
      <alignment horizontal="center" vertical="center" wrapText="1"/>
    </xf>
    <xf numFmtId="0" fontId="15" fillId="0" borderId="0" xfId="0" applyFont="1" applyFill="1" applyBorder="1" applyAlignment="1" applyProtection="1">
      <alignment horizontal="center" vertical="center" wrapText="1"/>
    </xf>
    <xf numFmtId="0" fontId="15" fillId="0" borderId="0" xfId="0" applyFont="1" applyFill="1" applyBorder="1" applyAlignment="1" applyProtection="1">
      <alignment vertical="center"/>
    </xf>
    <xf numFmtId="0" fontId="23" fillId="0" borderId="0" xfId="0" applyFont="1" applyFill="1" applyBorder="1" applyAlignment="1" applyProtection="1">
      <alignment vertical="center" wrapText="1"/>
      <protection hidden="1"/>
    </xf>
    <xf numFmtId="0" fontId="15" fillId="4" borderId="17" xfId="0" applyFont="1" applyFill="1" applyBorder="1" applyAlignment="1" applyProtection="1">
      <alignment horizontal="center" vertical="center"/>
    </xf>
    <xf numFmtId="0" fontId="15" fillId="13" borderId="17" xfId="0" applyFont="1" applyFill="1" applyBorder="1" applyAlignment="1" applyProtection="1">
      <alignment horizontal="center" vertical="center" wrapText="1"/>
    </xf>
    <xf numFmtId="0" fontId="15" fillId="4" borderId="17" xfId="0" applyFont="1" applyFill="1" applyBorder="1" applyAlignment="1" applyProtection="1">
      <alignment horizontal="center" vertical="center" wrapText="1"/>
    </xf>
    <xf numFmtId="0" fontId="15" fillId="13" borderId="17" xfId="0" applyNumberFormat="1" applyFont="1" applyFill="1" applyBorder="1" applyAlignment="1" applyProtection="1">
      <alignment horizontal="center" vertical="center" wrapText="1"/>
    </xf>
    <xf numFmtId="0" fontId="18" fillId="7" borderId="3" xfId="0" applyFont="1" applyFill="1" applyBorder="1" applyAlignment="1" applyProtection="1">
      <alignment horizontal="center" vertical="center"/>
      <protection hidden="1"/>
    </xf>
    <xf numFmtId="0" fontId="13" fillId="0" borderId="0" xfId="0" applyFont="1" applyAlignment="1" applyProtection="1">
      <alignment vertical="center"/>
      <protection hidden="1"/>
    </xf>
    <xf numFmtId="0" fontId="13" fillId="0" borderId="0" xfId="0" applyFont="1" applyAlignment="1" applyProtection="1">
      <alignment horizontal="center" vertical="center"/>
      <protection hidden="1"/>
    </xf>
    <xf numFmtId="0" fontId="18" fillId="8" borderId="3" xfId="0" applyFont="1" applyFill="1" applyBorder="1" applyAlignment="1" applyProtection="1">
      <alignment horizontal="center" vertical="center"/>
      <protection hidden="1"/>
    </xf>
    <xf numFmtId="0" fontId="13" fillId="0" borderId="0" xfId="0" applyFont="1" applyFill="1" applyAlignment="1" applyProtection="1">
      <alignment vertical="center"/>
      <protection hidden="1"/>
    </xf>
    <xf numFmtId="0" fontId="42" fillId="0" borderId="18" xfId="0" applyFont="1" applyBorder="1" applyAlignment="1">
      <alignment horizontal="left" vertical="center"/>
    </xf>
    <xf numFmtId="0" fontId="18" fillId="23" borderId="3" xfId="0" applyFont="1" applyFill="1" applyBorder="1" applyAlignment="1" applyProtection="1">
      <alignment horizontal="center" vertical="center" wrapText="1"/>
      <protection hidden="1"/>
    </xf>
    <xf numFmtId="0" fontId="13" fillId="0" borderId="24" xfId="0" applyFont="1" applyFill="1" applyBorder="1" applyAlignment="1">
      <alignment horizontal="left" vertical="center"/>
    </xf>
    <xf numFmtId="0" fontId="42" fillId="0" borderId="37" xfId="0" applyFont="1" applyBorder="1" applyAlignment="1">
      <alignment horizontal="left" vertical="center"/>
    </xf>
    <xf numFmtId="0" fontId="13" fillId="0" borderId="37" xfId="0" applyFont="1" applyFill="1" applyBorder="1" applyAlignment="1">
      <alignment horizontal="left" vertical="center"/>
    </xf>
    <xf numFmtId="0" fontId="43" fillId="0" borderId="0" xfId="0" applyFont="1" applyBorder="1" applyAlignment="1">
      <alignment horizontal="center" vertical="center"/>
    </xf>
    <xf numFmtId="0" fontId="18" fillId="0" borderId="27" xfId="0" applyFont="1" applyFill="1" applyBorder="1" applyAlignment="1" applyProtection="1">
      <alignment horizontal="left" vertical="center" wrapText="1"/>
      <protection hidden="1"/>
    </xf>
    <xf numFmtId="0" fontId="18" fillId="0" borderId="27" xfId="0" applyFont="1" applyFill="1" applyBorder="1" applyAlignment="1">
      <alignment horizontal="left" vertical="center" wrapText="1"/>
    </xf>
    <xf numFmtId="0" fontId="15" fillId="15" borderId="15" xfId="0" applyFont="1" applyFill="1" applyBorder="1" applyAlignment="1" applyProtection="1">
      <alignment horizontal="center" vertical="center" wrapText="1"/>
    </xf>
    <xf numFmtId="0" fontId="15" fillId="16" borderId="24" xfId="0" quotePrefix="1" applyFont="1" applyFill="1" applyBorder="1" applyAlignment="1" applyProtection="1">
      <alignment horizontal="center" vertical="center" wrapText="1"/>
    </xf>
    <xf numFmtId="0" fontId="18" fillId="0" borderId="27" xfId="0" applyFont="1" applyBorder="1" applyAlignment="1" applyProtection="1">
      <alignment horizontal="left" vertical="center" wrapText="1"/>
      <protection hidden="1"/>
    </xf>
    <xf numFmtId="0" fontId="15" fillId="0" borderId="11" xfId="0" applyFont="1" applyBorder="1" applyAlignment="1" applyProtection="1">
      <alignment horizontal="left"/>
    </xf>
    <xf numFmtId="0" fontId="13" fillId="0" borderId="0" xfId="0" applyFont="1" applyBorder="1" applyAlignment="1" applyProtection="1">
      <alignment horizontal="left"/>
    </xf>
    <xf numFmtId="0" fontId="15" fillId="4" borderId="3" xfId="0" applyFont="1" applyFill="1" applyBorder="1" applyAlignment="1" applyProtection="1">
      <alignment horizontal="center" vertical="center"/>
    </xf>
    <xf numFmtId="0" fontId="13" fillId="0" borderId="25" xfId="0" applyFont="1" applyBorder="1" applyAlignment="1" applyProtection="1">
      <alignment horizontal="left" vertical="center"/>
    </xf>
    <xf numFmtId="0" fontId="15" fillId="4" borderId="4" xfId="0" applyFont="1" applyFill="1" applyBorder="1" applyAlignment="1" applyProtection="1">
      <alignment horizontal="center" vertical="center"/>
    </xf>
    <xf numFmtId="0" fontId="26" fillId="6" borderId="15" xfId="0" applyFont="1" applyFill="1" applyBorder="1" applyAlignment="1">
      <alignment horizontal="center" vertical="center"/>
    </xf>
    <xf numFmtId="0" fontId="15" fillId="7" borderId="17" xfId="0" applyFont="1" applyFill="1" applyBorder="1" applyAlignment="1">
      <alignment horizontal="center" vertical="center" wrapText="1"/>
    </xf>
    <xf numFmtId="0" fontId="13" fillId="0" borderId="39" xfId="0" applyFont="1" applyFill="1" applyBorder="1" applyAlignment="1">
      <alignment horizontal="left" vertical="center"/>
    </xf>
    <xf numFmtId="0" fontId="13" fillId="0" borderId="27" xfId="0" applyFont="1" applyFill="1" applyBorder="1" applyAlignment="1">
      <alignment vertical="center"/>
    </xf>
    <xf numFmtId="0" fontId="13" fillId="0" borderId="5" xfId="0" applyFont="1" applyFill="1" applyBorder="1" applyAlignment="1">
      <alignment horizontal="left" vertical="center"/>
    </xf>
    <xf numFmtId="0" fontId="42" fillId="0" borderId="36" xfId="0" applyFont="1" applyBorder="1" applyAlignment="1">
      <alignment horizontal="left" vertical="center"/>
    </xf>
    <xf numFmtId="14" fontId="14" fillId="0" borderId="0" xfId="0" applyNumberFormat="1" applyFont="1" applyFill="1" applyBorder="1" applyAlignment="1">
      <alignment horizontal="center" vertical="center"/>
    </xf>
    <xf numFmtId="2" fontId="14" fillId="0" borderId="0" xfId="0" applyNumberFormat="1" applyFont="1" applyFill="1" applyBorder="1" applyAlignment="1">
      <alignment horizontal="center" vertical="center"/>
    </xf>
    <xf numFmtId="0" fontId="14" fillId="0" borderId="17" xfId="0" applyFont="1" applyFill="1" applyBorder="1" applyAlignment="1" applyProtection="1">
      <alignment horizontal="left" vertical="center"/>
    </xf>
    <xf numFmtId="14" fontId="15" fillId="0" borderId="17" xfId="0" applyNumberFormat="1" applyFont="1" applyBorder="1" applyAlignment="1">
      <alignment horizontal="center" vertical="center"/>
    </xf>
    <xf numFmtId="0" fontId="15" fillId="0" borderId="17" xfId="0" applyNumberFormat="1" applyFont="1" applyBorder="1" applyAlignment="1">
      <alignment horizontal="center" vertical="center"/>
    </xf>
    <xf numFmtId="0" fontId="15" fillId="0" borderId="11" xfId="0" applyFont="1" applyBorder="1" applyAlignment="1" applyProtection="1"/>
    <xf numFmtId="0" fontId="13" fillId="0" borderId="11" xfId="0" applyFont="1" applyBorder="1" applyAlignment="1" applyProtection="1"/>
    <xf numFmtId="0" fontId="13" fillId="0" borderId="25" xfId="0" applyFont="1" applyBorder="1" applyAlignment="1" applyProtection="1">
      <alignment vertical="top" wrapText="1"/>
    </xf>
    <xf numFmtId="0" fontId="13" fillId="0" borderId="32" xfId="0" applyFont="1" applyBorder="1" applyAlignment="1" applyProtection="1">
      <alignment vertical="top" wrapText="1"/>
    </xf>
    <xf numFmtId="0" fontId="31" fillId="0" borderId="0" xfId="0" applyFont="1" applyFill="1" applyBorder="1" applyAlignment="1" applyProtection="1">
      <alignment horizontal="center" vertical="center"/>
    </xf>
    <xf numFmtId="0" fontId="23" fillId="0" borderId="3" xfId="0" applyFont="1" applyFill="1" applyBorder="1" applyAlignment="1" applyProtection="1">
      <alignment horizontal="center" vertical="center"/>
    </xf>
    <xf numFmtId="0" fontId="15" fillId="0" borderId="3" xfId="0" applyFont="1" applyFill="1" applyBorder="1" applyAlignment="1" applyProtection="1">
      <alignment horizontal="center" vertical="center"/>
    </xf>
    <xf numFmtId="0" fontId="15" fillId="0" borderId="3" xfId="0" applyFont="1" applyFill="1" applyBorder="1" applyAlignment="1" applyProtection="1">
      <alignment horizontal="center" vertical="center" wrapText="1"/>
    </xf>
    <xf numFmtId="1" fontId="33" fillId="0" borderId="0" xfId="0" applyNumberFormat="1" applyFont="1" applyFill="1" applyBorder="1" applyAlignment="1" applyProtection="1">
      <alignment horizontal="center" vertical="center"/>
    </xf>
    <xf numFmtId="0" fontId="15" fillId="0" borderId="4" xfId="0" applyFont="1" applyFill="1" applyBorder="1" applyAlignment="1" applyProtection="1">
      <alignment horizontal="center" vertical="center"/>
    </xf>
    <xf numFmtId="49" fontId="29" fillId="3" borderId="0" xfId="0" applyNumberFormat="1" applyFont="1" applyFill="1" applyBorder="1" applyAlignment="1" applyProtection="1">
      <alignment horizontal="center" vertical="center"/>
      <protection locked="0"/>
    </xf>
    <xf numFmtId="49" fontId="13" fillId="0" borderId="0" xfId="0" applyNumberFormat="1" applyFont="1" applyFill="1" applyBorder="1" applyAlignment="1" applyProtection="1">
      <alignment horizontal="center" vertical="center"/>
      <protection locked="0"/>
    </xf>
    <xf numFmtId="49" fontId="15" fillId="0" borderId="0" xfId="0" applyNumberFormat="1" applyFont="1" applyFill="1" applyBorder="1" applyAlignment="1" applyProtection="1">
      <alignment horizontal="center" vertical="center"/>
      <protection locked="0"/>
    </xf>
    <xf numFmtId="49" fontId="15" fillId="0" borderId="0" xfId="0" quotePrefix="1" applyNumberFormat="1" applyFont="1" applyFill="1" applyBorder="1" applyAlignment="1" applyProtection="1">
      <alignment horizontal="center" vertical="center"/>
      <protection locked="0"/>
    </xf>
    <xf numFmtId="49" fontId="33" fillId="0" borderId="0" xfId="0" applyNumberFormat="1" applyFont="1" applyFill="1" applyBorder="1" applyAlignment="1" applyProtection="1">
      <alignment horizontal="center" vertical="center"/>
      <protection locked="0"/>
    </xf>
    <xf numFmtId="49" fontId="15" fillId="0" borderId="0" xfId="0" quotePrefix="1" applyNumberFormat="1" applyFont="1" applyFill="1" applyBorder="1" applyAlignment="1" applyProtection="1">
      <alignment horizontal="left" vertical="center" wrapText="1"/>
      <protection locked="0"/>
    </xf>
    <xf numFmtId="49" fontId="13" fillId="0" borderId="0" xfId="0" applyNumberFormat="1" applyFont="1" applyBorder="1" applyProtection="1">
      <protection locked="0"/>
    </xf>
    <xf numFmtId="49" fontId="13" fillId="0" borderId="0" xfId="0" applyNumberFormat="1" applyFont="1" applyBorder="1" applyAlignment="1" applyProtection="1">
      <alignment wrapText="1"/>
      <protection locked="0"/>
    </xf>
    <xf numFmtId="49" fontId="13" fillId="0" borderId="0" xfId="0" applyNumberFormat="1" applyFont="1" applyFill="1" applyBorder="1" applyAlignment="1" applyProtection="1">
      <alignment wrapText="1"/>
      <protection locked="0"/>
    </xf>
    <xf numFmtId="0" fontId="32" fillId="3" borderId="0" xfId="0" applyFont="1" applyFill="1" applyBorder="1" applyAlignment="1" applyProtection="1">
      <alignment vertical="center" wrapText="1"/>
    </xf>
    <xf numFmtId="14" fontId="15" fillId="16" borderId="24" xfId="0" quotePrefix="1" applyNumberFormat="1" applyFont="1" applyFill="1" applyBorder="1" applyAlignment="1" applyProtection="1">
      <alignment horizontal="center" vertical="center" wrapText="1"/>
    </xf>
    <xf numFmtId="0" fontId="18" fillId="0" borderId="0" xfId="0" applyNumberFormat="1" applyFont="1" applyAlignment="1">
      <alignment horizontal="center" vertical="center"/>
    </xf>
    <xf numFmtId="0" fontId="12" fillId="0" borderId="0" xfId="2" applyBorder="1" applyAlignment="1">
      <alignment horizontal="left" vertical="top"/>
    </xf>
    <xf numFmtId="0" fontId="12" fillId="0" borderId="0" xfId="2" applyBorder="1" applyAlignment="1" applyProtection="1">
      <alignment horizontal="left" vertical="top"/>
    </xf>
    <xf numFmtId="0" fontId="14" fillId="0" borderId="3" xfId="0" applyFont="1" applyFill="1" applyBorder="1" applyAlignment="1" applyProtection="1">
      <alignment horizontal="center" vertical="center" wrapText="1"/>
    </xf>
    <xf numFmtId="0" fontId="14" fillId="7" borderId="1" xfId="0" applyFont="1" applyFill="1" applyBorder="1" applyAlignment="1" applyProtection="1">
      <alignment horizontal="center" vertical="center" wrapText="1"/>
    </xf>
    <xf numFmtId="0" fontId="15" fillId="4" borderId="17" xfId="0" applyFont="1" applyFill="1" applyBorder="1" applyAlignment="1" applyProtection="1">
      <alignment horizontal="center" vertical="center"/>
      <protection locked="0"/>
    </xf>
    <xf numFmtId="0" fontId="15" fillId="4" borderId="17" xfId="0" applyFont="1" applyFill="1" applyBorder="1" applyAlignment="1" applyProtection="1">
      <alignment horizontal="center" vertical="center" wrapText="1"/>
      <protection locked="0"/>
    </xf>
    <xf numFmtId="0" fontId="18" fillId="0" borderId="3" xfId="0" applyFont="1" applyFill="1" applyBorder="1" applyAlignment="1" applyProtection="1">
      <alignment vertical="center" wrapText="1"/>
    </xf>
    <xf numFmtId="0" fontId="13" fillId="0" borderId="42" xfId="0" applyFont="1" applyFill="1" applyBorder="1" applyAlignment="1">
      <alignment horizontal="left" vertical="center"/>
    </xf>
    <xf numFmtId="0" fontId="14" fillId="7" borderId="1" xfId="0" applyFont="1" applyFill="1" applyBorder="1" applyAlignment="1" applyProtection="1">
      <alignment horizontal="center" vertical="center" wrapText="1"/>
      <protection locked="0"/>
    </xf>
    <xf numFmtId="0" fontId="14" fillId="7" borderId="2" xfId="0" applyFont="1" applyFill="1" applyBorder="1" applyAlignment="1" applyProtection="1">
      <alignment horizontal="center" vertical="center" wrapText="1"/>
      <protection locked="0"/>
    </xf>
    <xf numFmtId="0" fontId="14" fillId="7" borderId="45" xfId="0" applyFont="1" applyFill="1" applyBorder="1" applyAlignment="1" applyProtection="1">
      <alignment horizontal="center" vertical="center" wrapText="1"/>
      <protection locked="0"/>
    </xf>
    <xf numFmtId="0" fontId="13" fillId="0" borderId="11" xfId="0" applyFont="1" applyBorder="1" applyAlignment="1" applyProtection="1">
      <alignment wrapText="1"/>
    </xf>
    <xf numFmtId="0" fontId="13" fillId="0" borderId="12" xfId="0" applyFont="1" applyBorder="1" applyAlignment="1" applyProtection="1">
      <alignment wrapText="1"/>
    </xf>
    <xf numFmtId="0" fontId="13" fillId="0" borderId="0" xfId="0" applyFont="1" applyBorder="1" applyAlignment="1" applyProtection="1">
      <alignment wrapText="1"/>
    </xf>
    <xf numFmtId="0" fontId="13" fillId="0" borderId="13" xfId="0" applyFont="1" applyBorder="1" applyAlignment="1" applyProtection="1">
      <alignment wrapText="1"/>
    </xf>
    <xf numFmtId="0" fontId="13" fillId="0" borderId="0" xfId="0" applyFont="1" applyBorder="1" applyAlignment="1" applyProtection="1">
      <alignment horizontal="left" wrapText="1"/>
    </xf>
    <xf numFmtId="0" fontId="13" fillId="0" borderId="0" xfId="0" applyFont="1" applyFill="1" applyBorder="1" applyAlignment="1" applyProtection="1">
      <alignment horizontal="left" wrapText="1"/>
    </xf>
    <xf numFmtId="0" fontId="13" fillId="0" borderId="0" xfId="0" applyFont="1" applyFill="1" applyBorder="1" applyAlignment="1" applyProtection="1">
      <alignment horizontal="left" vertical="center" wrapText="1"/>
    </xf>
    <xf numFmtId="0" fontId="15" fillId="4" borderId="3" xfId="0" applyFont="1" applyFill="1" applyBorder="1" applyAlignment="1" applyProtection="1">
      <alignment horizontal="center" vertical="center" wrapText="1"/>
    </xf>
    <xf numFmtId="0" fontId="15" fillId="7" borderId="5" xfId="0" applyFont="1" applyFill="1" applyBorder="1" applyAlignment="1" applyProtection="1">
      <alignment horizontal="center" vertical="center" wrapText="1"/>
    </xf>
    <xf numFmtId="0" fontId="15" fillId="0" borderId="5" xfId="0" applyFont="1" applyFill="1" applyBorder="1" applyAlignment="1" applyProtection="1">
      <alignment horizontal="center" vertical="center" wrapText="1"/>
    </xf>
    <xf numFmtId="0" fontId="15" fillId="4" borderId="5" xfId="0" applyFont="1" applyFill="1" applyBorder="1" applyAlignment="1" applyProtection="1">
      <alignment horizontal="center" vertical="center" wrapText="1"/>
    </xf>
    <xf numFmtId="1" fontId="15" fillId="0" borderId="5" xfId="0" applyNumberFormat="1" applyFont="1" applyFill="1" applyBorder="1" applyAlignment="1" applyProtection="1">
      <alignment horizontal="center" vertical="center" wrapText="1"/>
    </xf>
    <xf numFmtId="1" fontId="15" fillId="0" borderId="0" xfId="0" applyNumberFormat="1" applyFont="1" applyFill="1" applyBorder="1" applyAlignment="1" applyProtection="1">
      <alignment horizontal="center" vertical="center" wrapText="1"/>
    </xf>
    <xf numFmtId="49" fontId="15" fillId="0" borderId="0" xfId="0" quotePrefix="1" applyNumberFormat="1" applyFont="1" applyFill="1" applyBorder="1" applyAlignment="1" applyProtection="1">
      <alignment horizontal="center" vertical="center" wrapText="1"/>
      <protection locked="0"/>
    </xf>
    <xf numFmtId="49" fontId="15" fillId="0" borderId="41" xfId="0" applyNumberFormat="1" applyFont="1" applyFill="1" applyBorder="1" applyAlignment="1" applyProtection="1">
      <alignment horizontal="center" vertical="center" wrapText="1"/>
      <protection locked="0"/>
    </xf>
    <xf numFmtId="49" fontId="15" fillId="0" borderId="0" xfId="0" applyNumberFormat="1" applyFont="1" applyFill="1" applyBorder="1" applyAlignment="1" applyProtection="1">
      <alignment horizontal="center" vertical="center" wrapText="1"/>
      <protection locked="0"/>
    </xf>
    <xf numFmtId="0" fontId="32" fillId="0" borderId="3" xfId="0" applyFont="1" applyFill="1" applyBorder="1" applyAlignment="1" applyProtection="1">
      <alignment horizontal="left" vertical="center" wrapText="1"/>
      <protection hidden="1"/>
    </xf>
    <xf numFmtId="0" fontId="23" fillId="0" borderId="0" xfId="0" applyFont="1" applyFill="1" applyAlignment="1">
      <alignment horizontal="left" vertical="center" wrapText="1"/>
    </xf>
    <xf numFmtId="0" fontId="16" fillId="0" borderId="0" xfId="0" applyFont="1" applyAlignment="1" applyProtection="1">
      <alignment horizontal="left" vertical="center" wrapText="1"/>
    </xf>
    <xf numFmtId="0" fontId="16" fillId="0" borderId="0" xfId="0" applyFont="1" applyFill="1" applyAlignment="1" applyProtection="1">
      <alignment horizontal="left" vertical="center" wrapText="1"/>
    </xf>
    <xf numFmtId="0" fontId="16" fillId="0" borderId="0" xfId="0" applyFont="1" applyAlignment="1">
      <alignment horizontal="left" vertical="center" wrapText="1"/>
    </xf>
    <xf numFmtId="0" fontId="23" fillId="0" borderId="0" xfId="0" applyFont="1" applyAlignment="1">
      <alignment horizontal="left" vertical="center" wrapText="1"/>
    </xf>
    <xf numFmtId="0" fontId="1" fillId="0" borderId="3" xfId="0" applyFont="1" applyFill="1" applyBorder="1" applyAlignment="1">
      <alignment horizontal="center" vertical="center" wrapText="1"/>
    </xf>
    <xf numFmtId="0" fontId="23" fillId="0" borderId="0" xfId="0" applyFont="1" applyFill="1" applyAlignment="1">
      <alignment horizontal="center" vertical="center" wrapText="1"/>
    </xf>
    <xf numFmtId="0" fontId="46" fillId="0" borderId="17" xfId="0" applyFont="1" applyBorder="1" applyAlignment="1">
      <alignment horizontal="center" vertical="center" wrapText="1"/>
    </xf>
    <xf numFmtId="0" fontId="46" fillId="0" borderId="17" xfId="0" applyFont="1" applyFill="1" applyBorder="1" applyAlignment="1">
      <alignment horizontal="center" vertical="center" wrapText="1"/>
    </xf>
    <xf numFmtId="0" fontId="0" fillId="0" borderId="3" xfId="0" applyFill="1" applyBorder="1" applyAlignment="1">
      <alignment horizontal="center" vertical="center" wrapText="1"/>
    </xf>
    <xf numFmtId="0" fontId="0" fillId="0" borderId="6" xfId="0" applyFill="1" applyBorder="1" applyAlignment="1">
      <alignment horizontal="center" vertical="center" wrapText="1"/>
    </xf>
    <xf numFmtId="0" fontId="0" fillId="0" borderId="3" xfId="0" applyFill="1" applyBorder="1" applyAlignment="1">
      <alignment horizontal="left" vertical="center" wrapText="1"/>
    </xf>
    <xf numFmtId="0" fontId="1" fillId="0" borderId="5" xfId="0" applyFont="1" applyFill="1" applyBorder="1" applyAlignment="1">
      <alignment horizontal="left" vertical="center" wrapText="1"/>
    </xf>
    <xf numFmtId="0" fontId="1" fillId="0" borderId="3" xfId="0" applyFont="1" applyFill="1" applyBorder="1" applyAlignment="1">
      <alignment horizontal="left" vertical="center" wrapText="1"/>
    </xf>
    <xf numFmtId="0" fontId="1" fillId="0" borderId="3" xfId="66" applyFill="1" applyBorder="1" applyAlignment="1">
      <alignment horizontal="left" vertical="center" wrapText="1"/>
    </xf>
    <xf numFmtId="0" fontId="0" fillId="0" borderId="15" xfId="0" applyFill="1" applyBorder="1" applyAlignment="1">
      <alignment horizontal="center" vertical="center" wrapText="1"/>
    </xf>
    <xf numFmtId="0" fontId="0" fillId="0" borderId="37" xfId="0" applyFill="1" applyBorder="1" applyAlignment="1">
      <alignment horizontal="center" vertical="center" wrapText="1"/>
    </xf>
    <xf numFmtId="0" fontId="1" fillId="0" borderId="6" xfId="0" applyFont="1" applyFill="1" applyBorder="1" applyAlignment="1">
      <alignment horizontal="center" vertical="center" wrapText="1"/>
    </xf>
    <xf numFmtId="0" fontId="1" fillId="0" borderId="1" xfId="66" applyFill="1" applyBorder="1" applyAlignment="1">
      <alignment horizontal="center" vertical="center" wrapText="1"/>
    </xf>
    <xf numFmtId="0" fontId="1" fillId="0" borderId="18" xfId="66" applyFill="1" applyBorder="1" applyAlignment="1">
      <alignment horizontal="center" vertical="center" wrapText="1"/>
    </xf>
    <xf numFmtId="0" fontId="1" fillId="0" borderId="1" xfId="0" applyFont="1" applyFill="1" applyBorder="1" applyAlignment="1">
      <alignment horizontal="center" vertical="center" wrapText="1"/>
    </xf>
    <xf numFmtId="0" fontId="1" fillId="0" borderId="18" xfId="0" applyFont="1" applyFill="1" applyBorder="1" applyAlignment="1">
      <alignment horizontal="center" vertical="center" wrapText="1"/>
    </xf>
    <xf numFmtId="0" fontId="1" fillId="0" borderId="3" xfId="66" applyFill="1" applyBorder="1" applyAlignment="1">
      <alignment horizontal="center" vertical="center" wrapText="1"/>
    </xf>
    <xf numFmtId="0" fontId="1" fillId="0" borderId="6" xfId="66" applyFill="1" applyBorder="1" applyAlignment="1">
      <alignment horizontal="center" vertical="center" wrapText="1"/>
    </xf>
    <xf numFmtId="0" fontId="0" fillId="0" borderId="1"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lignment horizontal="left" vertical="center" wrapText="1"/>
    </xf>
    <xf numFmtId="0" fontId="1" fillId="0" borderId="1" xfId="66" applyFill="1" applyBorder="1" applyAlignment="1">
      <alignment horizontal="left" vertical="center" wrapText="1"/>
    </xf>
    <xf numFmtId="0" fontId="1" fillId="0" borderId="2" xfId="66" applyFill="1" applyBorder="1" applyAlignment="1">
      <alignment horizontal="left" vertical="center" wrapText="1"/>
    </xf>
    <xf numFmtId="0" fontId="1" fillId="0" borderId="5" xfId="66" applyFill="1" applyBorder="1" applyAlignment="1">
      <alignment horizontal="left" vertical="center" wrapText="1"/>
    </xf>
    <xf numFmtId="0" fontId="1" fillId="0" borderId="1" xfId="0" applyFont="1" applyFill="1" applyBorder="1" applyAlignment="1">
      <alignment horizontal="left" vertical="center" wrapText="1"/>
    </xf>
    <xf numFmtId="0" fontId="1" fillId="0" borderId="2" xfId="0" applyFont="1" applyFill="1" applyBorder="1" applyAlignment="1">
      <alignment horizontal="left" vertical="center" wrapText="1"/>
    </xf>
    <xf numFmtId="0" fontId="1" fillId="0" borderId="0" xfId="66" applyFill="1" applyBorder="1" applyAlignment="1">
      <alignment horizontal="left" vertical="center" wrapText="1"/>
    </xf>
    <xf numFmtId="0" fontId="49" fillId="0" borderId="3" xfId="0" applyFont="1" applyFill="1" applyBorder="1" applyAlignment="1" applyProtection="1">
      <alignment horizontal="center" vertical="center" wrapText="1"/>
      <protection locked="0"/>
    </xf>
    <xf numFmtId="0" fontId="46" fillId="0" borderId="26" xfId="0" applyFont="1" applyBorder="1" applyAlignment="1">
      <alignment horizontal="center" vertical="center" wrapText="1"/>
    </xf>
    <xf numFmtId="0" fontId="46" fillId="0" borderId="26" xfId="0" applyFont="1" applyFill="1" applyBorder="1" applyAlignment="1">
      <alignment horizontal="center" vertical="center" wrapText="1"/>
    </xf>
    <xf numFmtId="0" fontId="49" fillId="0" borderId="1" xfId="0" applyFont="1" applyFill="1" applyBorder="1" applyAlignment="1">
      <alignment horizontal="center" vertical="center" wrapText="1"/>
    </xf>
    <xf numFmtId="0" fontId="49" fillId="0" borderId="6" xfId="0" applyFont="1" applyFill="1" applyBorder="1" applyAlignment="1" applyProtection="1">
      <alignment horizontal="center" vertical="center" wrapText="1"/>
      <protection locked="0"/>
    </xf>
    <xf numFmtId="0" fontId="49" fillId="0" borderId="6" xfId="0" quotePrefix="1" applyFont="1" applyFill="1" applyBorder="1" applyAlignment="1">
      <alignment horizontal="center" vertical="center"/>
    </xf>
    <xf numFmtId="0" fontId="49" fillId="0" borderId="3" xfId="0" applyFont="1" applyFill="1" applyBorder="1" applyAlignment="1">
      <alignment horizontal="center" vertical="center" wrapText="1"/>
    </xf>
    <xf numFmtId="0" fontId="49" fillId="0" borderId="6" xfId="0" quotePrefix="1" applyFont="1" applyFill="1" applyBorder="1" applyAlignment="1" applyProtection="1">
      <alignment horizontal="center" vertical="center"/>
      <protection locked="0"/>
    </xf>
    <xf numFmtId="0" fontId="49" fillId="0" borderId="1" xfId="0" applyFont="1" applyFill="1" applyBorder="1" applyAlignment="1" applyProtection="1">
      <alignment horizontal="center" vertical="center" wrapText="1"/>
      <protection locked="0"/>
    </xf>
    <xf numFmtId="0" fontId="49" fillId="0" borderId="1" xfId="0" applyFont="1" applyFill="1" applyBorder="1" applyAlignment="1">
      <alignment horizontal="left" vertical="center" wrapText="1"/>
    </xf>
    <xf numFmtId="0" fontId="49" fillId="0" borderId="3" xfId="0" applyFont="1" applyFill="1" applyBorder="1" applyAlignment="1">
      <alignment horizontal="left" vertical="center" wrapText="1"/>
    </xf>
    <xf numFmtId="0" fontId="49" fillId="0" borderId="3" xfId="0" applyFont="1" applyFill="1" applyBorder="1" applyAlignment="1">
      <alignment horizontal="center" vertical="center"/>
    </xf>
    <xf numFmtId="0" fontId="49" fillId="0" borderId="3" xfId="0" applyFont="1" applyFill="1" applyBorder="1" applyAlignment="1">
      <alignment vertical="center" wrapText="1"/>
    </xf>
    <xf numFmtId="0" fontId="49" fillId="0" borderId="6" xfId="0" applyFont="1" applyFill="1" applyBorder="1" applyAlignment="1">
      <alignment horizontal="center" vertical="center"/>
    </xf>
    <xf numFmtId="0" fontId="49" fillId="0" borderId="3" xfId="25" applyFont="1" applyFill="1" applyBorder="1" applyAlignment="1">
      <alignment horizontal="center" vertical="center" wrapText="1"/>
    </xf>
    <xf numFmtId="0" fontId="49" fillId="0" borderId="3" xfId="25" applyFont="1" applyFill="1" applyBorder="1" applyAlignment="1">
      <alignment horizontal="left" vertical="center" wrapText="1"/>
    </xf>
    <xf numFmtId="0" fontId="0" fillId="0" borderId="3" xfId="0" applyFill="1" applyBorder="1" applyAlignment="1">
      <alignment vertical="center" wrapText="1"/>
    </xf>
    <xf numFmtId="0" fontId="0" fillId="0" borderId="2" xfId="0" applyFill="1" applyBorder="1" applyAlignment="1">
      <alignment vertical="center" wrapText="1"/>
    </xf>
    <xf numFmtId="0" fontId="0" fillId="0" borderId="5" xfId="0" applyFill="1" applyBorder="1" applyAlignment="1">
      <alignment vertical="center" wrapText="1"/>
    </xf>
    <xf numFmtId="0" fontId="49" fillId="0" borderId="3" xfId="25" applyFont="1" applyFill="1" applyBorder="1" applyAlignment="1">
      <alignment vertical="center" wrapText="1"/>
    </xf>
    <xf numFmtId="0" fontId="49" fillId="0" borderId="3" xfId="89" applyFont="1" applyFill="1" applyBorder="1" applyAlignment="1" applyProtection="1">
      <alignment horizontal="center" vertical="center" wrapText="1"/>
      <protection locked="0"/>
    </xf>
    <xf numFmtId="0" fontId="49" fillId="0" borderId="3" xfId="0" applyFont="1" applyFill="1" applyBorder="1" applyAlignment="1" applyProtection="1">
      <alignment horizontal="center" vertical="center"/>
      <protection locked="0"/>
    </xf>
    <xf numFmtId="0" fontId="49" fillId="0" borderId="3" xfId="89" applyFont="1" applyFill="1" applyBorder="1" applyAlignment="1" applyProtection="1">
      <alignment horizontal="left" vertical="center" wrapText="1"/>
      <protection locked="0"/>
    </xf>
    <xf numFmtId="0" fontId="49" fillId="0" borderId="3" xfId="0" applyFont="1" applyFill="1" applyBorder="1" applyAlignment="1" applyProtection="1">
      <alignment horizontal="left" vertical="center" wrapText="1"/>
      <protection locked="0"/>
    </xf>
    <xf numFmtId="0" fontId="49" fillId="0" borderId="1" xfId="89" applyFont="1" applyFill="1" applyBorder="1" applyAlignment="1" applyProtection="1">
      <alignment horizontal="center" vertical="center" wrapText="1"/>
      <protection locked="0"/>
    </xf>
    <xf numFmtId="0" fontId="0" fillId="0" borderId="11" xfId="0" applyFill="1" applyBorder="1" applyAlignment="1">
      <alignment horizontal="center" vertical="center" wrapText="1"/>
    </xf>
    <xf numFmtId="0" fontId="46" fillId="0" borderId="12" xfId="0" applyFont="1" applyBorder="1" applyAlignment="1">
      <alignment horizontal="center" vertical="center" wrapText="1"/>
    </xf>
    <xf numFmtId="0" fontId="49" fillId="0" borderId="6" xfId="0" applyFont="1" applyFill="1" applyBorder="1" applyAlignment="1">
      <alignment horizontal="center" vertical="center" wrapText="1"/>
    </xf>
    <xf numFmtId="0" fontId="49" fillId="0" borderId="3" xfId="25" applyFont="1" applyFill="1" applyBorder="1" applyAlignment="1" applyProtection="1">
      <alignment horizontal="center" vertical="center"/>
      <protection locked="0"/>
    </xf>
    <xf numFmtId="0" fontId="0" fillId="0" borderId="27" xfId="0" applyFill="1" applyBorder="1" applyAlignment="1">
      <alignment horizontal="left" vertical="center" wrapText="1"/>
    </xf>
    <xf numFmtId="0" fontId="49" fillId="0" borderId="3" xfId="66" applyFont="1" applyFill="1" applyBorder="1" applyAlignment="1">
      <alignment horizontal="center" vertical="center" wrapText="1"/>
    </xf>
    <xf numFmtId="0" fontId="49" fillId="0" borderId="3" xfId="66" applyFont="1" applyFill="1" applyBorder="1" applyAlignment="1">
      <alignment horizontal="left" vertical="center" wrapText="1"/>
    </xf>
    <xf numFmtId="0" fontId="51" fillId="0" borderId="3" xfId="88" applyFont="1" applyFill="1" applyBorder="1" applyAlignment="1" applyProtection="1">
      <alignment horizontal="left" vertical="center" wrapText="1"/>
      <protection locked="0"/>
    </xf>
    <xf numFmtId="0" fontId="49" fillId="0" borderId="3" xfId="25" applyFont="1" applyFill="1" applyBorder="1" applyAlignment="1" applyProtection="1">
      <alignment horizontal="left" vertical="center" wrapText="1"/>
      <protection locked="0"/>
    </xf>
    <xf numFmtId="0" fontId="49" fillId="0" borderId="3" xfId="25" applyFont="1" applyFill="1" applyBorder="1" applyAlignment="1" applyProtection="1">
      <alignment horizontal="left" vertical="center"/>
      <protection locked="0"/>
    </xf>
    <xf numFmtId="0" fontId="1" fillId="0" borderId="39" xfId="0" applyFont="1" applyFill="1" applyBorder="1" applyAlignment="1">
      <alignment horizontal="left" vertical="center" wrapText="1"/>
    </xf>
    <xf numFmtId="0" fontId="1" fillId="0" borderId="27" xfId="0" applyFont="1" applyFill="1" applyBorder="1" applyAlignment="1">
      <alignment horizontal="left" vertical="center" wrapText="1"/>
    </xf>
    <xf numFmtId="0" fontId="49" fillId="0" borderId="3" xfId="89" applyFont="1" applyFill="1" applyBorder="1" applyAlignment="1">
      <alignment horizontal="center" vertical="center" wrapText="1"/>
    </xf>
    <xf numFmtId="0" fontId="49" fillId="0" borderId="3" xfId="89" applyFont="1" applyFill="1" applyBorder="1" applyAlignment="1">
      <alignment horizontal="left" vertical="center" wrapText="1"/>
    </xf>
    <xf numFmtId="0" fontId="49" fillId="0" borderId="3" xfId="0" quotePrefix="1" applyFont="1" applyFill="1" applyBorder="1" applyAlignment="1">
      <alignment horizontal="center" vertical="center"/>
    </xf>
    <xf numFmtId="0" fontId="49" fillId="0" borderId="3" xfId="0" applyFont="1" applyBorder="1" applyAlignment="1">
      <alignment horizontal="left" vertical="center" wrapText="1"/>
    </xf>
    <xf numFmtId="0" fontId="0" fillId="0" borderId="45" xfId="0" applyFill="1" applyBorder="1" applyAlignment="1">
      <alignment horizontal="left" vertical="center" wrapText="1"/>
    </xf>
    <xf numFmtId="0" fontId="1" fillId="0" borderId="48" xfId="66" applyFill="1" applyBorder="1" applyAlignment="1">
      <alignment horizontal="center" vertical="center" wrapText="1"/>
    </xf>
    <xf numFmtId="0" fontId="1" fillId="0" borderId="47" xfId="66" applyFill="1" applyBorder="1" applyAlignment="1">
      <alignment horizontal="center" vertical="center" wrapText="1"/>
    </xf>
    <xf numFmtId="0" fontId="0" fillId="0" borderId="0" xfId="0" applyFill="1" applyBorder="1" applyAlignment="1">
      <alignment horizontal="center" vertical="center" wrapText="1"/>
    </xf>
    <xf numFmtId="0" fontId="0" fillId="0" borderId="0" xfId="0" applyFill="1" applyBorder="1" applyAlignment="1">
      <alignment horizontal="left" vertical="center" wrapText="1"/>
    </xf>
    <xf numFmtId="0" fontId="49" fillId="0" borderId="18" xfId="0" quotePrefix="1" applyFont="1" applyFill="1" applyBorder="1" applyAlignment="1">
      <alignment horizontal="center" vertical="center" wrapText="1"/>
    </xf>
    <xf numFmtId="0" fontId="49" fillId="0" borderId="6" xfId="0" quotePrefix="1" applyFont="1" applyFill="1" applyBorder="1" applyAlignment="1">
      <alignment horizontal="center" vertical="center" wrapText="1"/>
    </xf>
    <xf numFmtId="0" fontId="50" fillId="0" borderId="3" xfId="0" applyFont="1" applyFill="1" applyBorder="1" applyAlignment="1">
      <alignment horizontal="center" vertical="center" wrapText="1"/>
    </xf>
    <xf numFmtId="0" fontId="50" fillId="0" borderId="3" xfId="0" applyFont="1" applyFill="1" applyBorder="1" applyAlignment="1">
      <alignment horizontal="left" vertical="center" wrapText="1"/>
    </xf>
    <xf numFmtId="0" fontId="49" fillId="0" borderId="3" xfId="90" applyFont="1" applyFill="1" applyBorder="1" applyAlignment="1">
      <alignment horizontal="center" vertical="center" wrapText="1"/>
    </xf>
    <xf numFmtId="0" fontId="23" fillId="0" borderId="0" xfId="0" applyFont="1" applyBorder="1" applyAlignment="1">
      <alignment horizontal="left" vertical="center" wrapText="1"/>
    </xf>
    <xf numFmtId="0" fontId="18" fillId="0" borderId="0" xfId="0" applyFont="1" applyFill="1" applyBorder="1" applyAlignment="1" applyProtection="1">
      <alignment horizontal="center" vertical="center"/>
    </xf>
    <xf numFmtId="0" fontId="17" fillId="0" borderId="0" xfId="0" applyFont="1" applyBorder="1" applyAlignment="1" applyProtection="1">
      <alignment horizontal="center" vertical="center"/>
    </xf>
    <xf numFmtId="0" fontId="18" fillId="0" borderId="0" xfId="0" applyFont="1" applyFill="1" applyAlignment="1"/>
    <xf numFmtId="0" fontId="15" fillId="13" borderId="17" xfId="0" applyFont="1" applyFill="1" applyBorder="1" applyAlignment="1" applyProtection="1">
      <alignment horizontal="center" vertical="center" wrapText="1"/>
    </xf>
    <xf numFmtId="0" fontId="15" fillId="4" borderId="17" xfId="0" applyFont="1" applyFill="1" applyBorder="1" applyAlignment="1" applyProtection="1">
      <alignment horizontal="center" vertical="center"/>
    </xf>
    <xf numFmtId="164" fontId="14" fillId="2" borderId="6" xfId="0" applyNumberFormat="1" applyFont="1" applyFill="1" applyBorder="1" applyAlignment="1" applyProtection="1">
      <alignment horizontal="center" vertical="center" wrapText="1"/>
    </xf>
    <xf numFmtId="1" fontId="18" fillId="0" borderId="3" xfId="0" applyNumberFormat="1" applyFont="1" applyFill="1" applyBorder="1" applyAlignment="1" applyProtection="1">
      <alignment horizontal="center" vertical="center"/>
      <protection hidden="1"/>
    </xf>
    <xf numFmtId="0" fontId="15" fillId="13" borderId="17" xfId="0" applyFont="1" applyFill="1" applyBorder="1" applyAlignment="1" applyProtection="1">
      <alignment horizontal="center" vertical="center" wrapText="1"/>
    </xf>
    <xf numFmtId="0" fontId="15" fillId="4" borderId="17" xfId="0" applyFont="1" applyFill="1" applyBorder="1" applyAlignment="1" applyProtection="1">
      <alignment horizontal="center" vertical="center"/>
    </xf>
    <xf numFmtId="0" fontId="14" fillId="14" borderId="3" xfId="0" applyFont="1" applyFill="1" applyBorder="1" applyAlignment="1" applyProtection="1">
      <alignment horizontal="center" vertical="center" wrapText="1"/>
    </xf>
    <xf numFmtId="0" fontId="17" fillId="0" borderId="0" xfId="0" applyFont="1" applyBorder="1" applyAlignment="1" applyProtection="1">
      <alignment vertical="center"/>
    </xf>
    <xf numFmtId="0" fontId="17" fillId="0" borderId="35" xfId="0" applyFont="1" applyBorder="1" applyAlignment="1" applyProtection="1">
      <alignment vertical="center"/>
    </xf>
    <xf numFmtId="0" fontId="15" fillId="13" borderId="17" xfId="0" applyFont="1" applyFill="1" applyBorder="1" applyAlignment="1" applyProtection="1">
      <alignment horizontal="center" vertical="center" wrapText="1"/>
    </xf>
    <xf numFmtId="0" fontId="15" fillId="4" borderId="17" xfId="0" applyFont="1" applyFill="1" applyBorder="1" applyAlignment="1" applyProtection="1">
      <alignment horizontal="center" vertical="center" wrapText="1"/>
    </xf>
    <xf numFmtId="0" fontId="18" fillId="0" borderId="0" xfId="0" applyFont="1" applyFill="1" applyBorder="1" applyAlignment="1" applyProtection="1"/>
    <xf numFmtId="1" fontId="14" fillId="3" borderId="0" xfId="0" applyNumberFormat="1" applyFont="1" applyFill="1" applyBorder="1" applyAlignment="1" applyProtection="1">
      <alignment horizontal="center" vertical="center"/>
    </xf>
    <xf numFmtId="0" fontId="52" fillId="0" borderId="0" xfId="0" applyFont="1" applyAlignment="1">
      <alignment horizontal="center" vertical="center"/>
    </xf>
    <xf numFmtId="0" fontId="52" fillId="0" borderId="0" xfId="0" applyNumberFormat="1" applyFont="1" applyAlignment="1">
      <alignment horizontal="center" vertical="center"/>
    </xf>
    <xf numFmtId="0" fontId="13" fillId="0" borderId="3" xfId="0" applyFont="1" applyFill="1" applyBorder="1" applyAlignment="1">
      <alignment horizontal="center" vertical="center"/>
    </xf>
    <xf numFmtId="0" fontId="13" fillId="0" borderId="0" xfId="0" applyFont="1" applyFill="1" applyAlignment="1">
      <alignment horizontal="center" vertical="center"/>
    </xf>
    <xf numFmtId="0" fontId="24" fillId="0" borderId="0" xfId="0" applyFont="1" applyAlignment="1">
      <alignment horizontal="center" vertical="center"/>
    </xf>
    <xf numFmtId="0" fontId="0" fillId="0" borderId="3" xfId="0" applyFill="1" applyBorder="1" applyAlignment="1">
      <alignment horizontal="center" vertical="center"/>
    </xf>
    <xf numFmtId="0" fontId="18" fillId="11" borderId="3" xfId="0" applyFont="1" applyFill="1" applyBorder="1" applyAlignment="1">
      <alignment horizontal="left" vertical="center" wrapText="1"/>
    </xf>
    <xf numFmtId="0" fontId="13" fillId="0" borderId="3" xfId="0" applyFont="1" applyFill="1" applyBorder="1" applyAlignment="1">
      <alignment horizontal="left" vertical="center" wrapText="1"/>
    </xf>
    <xf numFmtId="0" fontId="18" fillId="0" borderId="3" xfId="0" applyFont="1" applyFill="1" applyBorder="1" applyAlignment="1">
      <alignment horizontal="left" vertical="center" wrapText="1"/>
    </xf>
    <xf numFmtId="0" fontId="18" fillId="0" borderId="3" xfId="0" applyFont="1" applyFill="1" applyBorder="1" applyAlignment="1">
      <alignment horizontal="left" vertical="center" wrapText="1"/>
    </xf>
    <xf numFmtId="0" fontId="49" fillId="0" borderId="6" xfId="0" quotePrefix="1" applyFont="1" applyFill="1" applyBorder="1" applyAlignment="1" applyProtection="1">
      <alignment horizontal="center" vertical="center" wrapText="1"/>
      <protection locked="0"/>
    </xf>
    <xf numFmtId="0" fontId="49" fillId="0" borderId="3" xfId="25" applyFont="1" applyFill="1" applyBorder="1" applyAlignment="1" applyProtection="1">
      <alignment horizontal="center" vertical="center" wrapText="1"/>
      <protection locked="0"/>
    </xf>
    <xf numFmtId="0" fontId="18" fillId="0" borderId="3" xfId="0" applyFont="1" applyFill="1" applyBorder="1" applyAlignment="1" applyProtection="1">
      <alignment horizontal="left" vertical="center" wrapText="1"/>
    </xf>
    <xf numFmtId="0" fontId="18" fillId="0" borderId="3" xfId="0" applyFont="1" applyFill="1" applyBorder="1" applyAlignment="1">
      <alignment horizontal="left" vertical="center" wrapText="1"/>
    </xf>
    <xf numFmtId="0" fontId="49" fillId="47" borderId="6" xfId="0" quotePrefix="1" applyFont="1" applyFill="1" applyBorder="1" applyAlignment="1">
      <alignment horizontal="center" vertical="center"/>
    </xf>
    <xf numFmtId="0" fontId="13" fillId="47" borderId="0" xfId="0" applyFont="1" applyFill="1" applyAlignment="1">
      <alignment horizontal="left" vertical="center"/>
    </xf>
    <xf numFmtId="0" fontId="49" fillId="47" borderId="18" xfId="0" quotePrefix="1" applyFont="1" applyFill="1" applyBorder="1" applyAlignment="1">
      <alignment horizontal="center" vertical="center"/>
    </xf>
    <xf numFmtId="0" fontId="49" fillId="47" borderId="6" xfId="0" applyFont="1" applyFill="1" applyBorder="1" applyAlignment="1">
      <alignment horizontal="center" vertical="center" wrapText="1"/>
    </xf>
    <xf numFmtId="0" fontId="49" fillId="47" borderId="6" xfId="0" applyFont="1" applyFill="1" applyBorder="1" applyAlignment="1">
      <alignment horizontal="center" vertical="center"/>
    </xf>
    <xf numFmtId="0" fontId="18" fillId="0" borderId="7" xfId="0" applyFont="1" applyFill="1" applyBorder="1" applyAlignment="1" applyProtection="1">
      <alignment horizontal="center" vertical="center"/>
      <protection locked="0"/>
    </xf>
    <xf numFmtId="0" fontId="18" fillId="0" borderId="46" xfId="0" applyFont="1" applyFill="1" applyBorder="1" applyAlignment="1" applyProtection="1">
      <alignment horizontal="center" vertical="center"/>
      <protection locked="0"/>
    </xf>
    <xf numFmtId="0" fontId="18" fillId="0" borderId="8" xfId="0" applyFont="1" applyFill="1" applyBorder="1" applyAlignment="1" applyProtection="1">
      <alignment horizontal="center" vertical="center"/>
      <protection locked="0"/>
    </xf>
    <xf numFmtId="0" fontId="49" fillId="47" borderId="6" xfId="0" applyFont="1" applyFill="1" applyBorder="1" applyAlignment="1" applyProtection="1">
      <alignment horizontal="center" vertical="center" wrapText="1"/>
      <protection locked="0"/>
    </xf>
    <xf numFmtId="0" fontId="13" fillId="42" borderId="0" xfId="0" applyFont="1" applyFill="1" applyAlignment="1">
      <alignment horizontal="left" vertical="center"/>
    </xf>
    <xf numFmtId="0" fontId="49" fillId="42" borderId="6" xfId="0" quotePrefix="1" applyFont="1" applyFill="1" applyBorder="1" applyAlignment="1" applyProtection="1">
      <alignment horizontal="center" vertical="center"/>
      <protection locked="0"/>
    </xf>
    <xf numFmtId="0" fontId="49" fillId="42" borderId="6" xfId="0" quotePrefix="1" applyFont="1" applyFill="1" applyBorder="1" applyAlignment="1" applyProtection="1">
      <alignment horizontal="center" vertical="center" wrapText="1"/>
      <protection locked="0"/>
    </xf>
    <xf numFmtId="0" fontId="49" fillId="42" borderId="6" xfId="0" applyFont="1" applyFill="1" applyBorder="1" applyAlignment="1" applyProtection="1">
      <alignment horizontal="center" vertical="center" wrapText="1"/>
      <protection locked="0"/>
    </xf>
    <xf numFmtId="0" fontId="49" fillId="42" borderId="18" xfId="0" quotePrefix="1" applyFont="1" applyFill="1" applyBorder="1" applyAlignment="1" applyProtection="1">
      <alignment horizontal="center" vertical="center" wrapText="1"/>
      <protection locked="0"/>
    </xf>
    <xf numFmtId="0" fontId="13" fillId="16" borderId="0" xfId="0" applyFont="1" applyFill="1" applyAlignment="1">
      <alignment horizontal="left" vertical="center"/>
    </xf>
    <xf numFmtId="0" fontId="49" fillId="16" borderId="6" xfId="0" quotePrefix="1" applyFont="1" applyFill="1" applyBorder="1" applyAlignment="1">
      <alignment horizontal="center" vertical="center"/>
    </xf>
    <xf numFmtId="0" fontId="49" fillId="16" borderId="6" xfId="0" quotePrefix="1" applyFont="1" applyFill="1" applyBorder="1" applyAlignment="1" applyProtection="1">
      <alignment horizontal="center" vertical="center"/>
      <protection locked="0"/>
    </xf>
    <xf numFmtId="0" fontId="49" fillId="16" borderId="18" xfId="0" applyFont="1" applyFill="1" applyBorder="1" applyAlignment="1">
      <alignment horizontal="center" vertical="center" wrapText="1"/>
    </xf>
    <xf numFmtId="0" fontId="49" fillId="16" borderId="6" xfId="0" applyFont="1" applyFill="1" applyBorder="1" applyAlignment="1">
      <alignment horizontal="center" vertical="center"/>
    </xf>
    <xf numFmtId="0" fontId="49" fillId="16" borderId="6" xfId="0" applyFont="1" applyFill="1" applyBorder="1" applyAlignment="1">
      <alignment horizontal="center" vertical="center" wrapText="1"/>
    </xf>
    <xf numFmtId="0" fontId="13" fillId="48" borderId="0" xfId="0" applyFont="1" applyFill="1" applyAlignment="1">
      <alignment horizontal="left" vertical="center"/>
    </xf>
    <xf numFmtId="0" fontId="49" fillId="48" borderId="6" xfId="0" quotePrefix="1" applyFont="1" applyFill="1" applyBorder="1" applyAlignment="1" applyProtection="1">
      <alignment horizontal="center" vertical="center"/>
      <protection locked="0"/>
    </xf>
    <xf numFmtId="0" fontId="49" fillId="48" borderId="6" xfId="0" applyFont="1" applyFill="1" applyBorder="1" applyAlignment="1">
      <alignment horizontal="center" vertical="center"/>
    </xf>
    <xf numFmtId="0" fontId="49" fillId="48" borderId="6" xfId="66" quotePrefix="1" applyFont="1" applyFill="1" applyBorder="1" applyAlignment="1">
      <alignment horizontal="center" vertical="center"/>
    </xf>
    <xf numFmtId="0" fontId="49" fillId="48" borderId="6" xfId="66" applyFont="1" applyFill="1" applyBorder="1" applyAlignment="1">
      <alignment horizontal="center" vertical="center"/>
    </xf>
    <xf numFmtId="0" fontId="46" fillId="0" borderId="12" xfId="0" applyFont="1" applyFill="1" applyBorder="1" applyAlignment="1">
      <alignment horizontal="center" vertical="center" wrapText="1"/>
    </xf>
    <xf numFmtId="0" fontId="49" fillId="48" borderId="6" xfId="66" applyFont="1" applyFill="1" applyBorder="1" applyAlignment="1" applyProtection="1">
      <alignment horizontal="center" vertical="center"/>
      <protection locked="0"/>
    </xf>
    <xf numFmtId="0" fontId="13" fillId="22" borderId="0" xfId="0" applyFont="1" applyFill="1" applyAlignment="1">
      <alignment horizontal="left" vertical="center"/>
    </xf>
    <xf numFmtId="0" fontId="49" fillId="22" borderId="6" xfId="0" quotePrefix="1" applyFont="1" applyFill="1" applyBorder="1" applyAlignment="1" applyProtection="1">
      <alignment horizontal="center" vertical="center" wrapText="1"/>
      <protection locked="0"/>
    </xf>
    <xf numFmtId="0" fontId="49" fillId="22" borderId="6" xfId="0" applyFont="1" applyFill="1" applyBorder="1" applyAlignment="1">
      <alignment horizontal="center" vertical="center"/>
    </xf>
    <xf numFmtId="0" fontId="13" fillId="49" borderId="0" xfId="0" applyFont="1" applyFill="1" applyAlignment="1">
      <alignment horizontal="left" vertical="center"/>
    </xf>
    <xf numFmtId="0" fontId="49" fillId="49" borderId="6" xfId="0" applyFont="1" applyFill="1" applyBorder="1" applyAlignment="1">
      <alignment horizontal="center" vertical="center"/>
    </xf>
    <xf numFmtId="0" fontId="49" fillId="49" borderId="18" xfId="0" quotePrefix="1" applyFont="1" applyFill="1" applyBorder="1" applyAlignment="1">
      <alignment horizontal="center" vertical="center" wrapText="1"/>
    </xf>
    <xf numFmtId="0" fontId="49" fillId="49" borderId="6" xfId="0" quotePrefix="1" applyFont="1" applyFill="1" applyBorder="1" applyAlignment="1">
      <alignment horizontal="center" vertical="center" wrapText="1"/>
    </xf>
    <xf numFmtId="0" fontId="49" fillId="49" borderId="6" xfId="0" quotePrefix="1" applyFont="1" applyFill="1" applyBorder="1" applyAlignment="1" applyProtection="1">
      <alignment horizontal="center" vertical="center"/>
      <protection locked="0"/>
    </xf>
    <xf numFmtId="0" fontId="13" fillId="25" borderId="0" xfId="0" applyFont="1" applyFill="1" applyAlignment="1">
      <alignment horizontal="left" vertical="center"/>
    </xf>
    <xf numFmtId="0" fontId="49" fillId="25" borderId="6" xfId="0" applyFont="1" applyFill="1" applyBorder="1" applyAlignment="1">
      <alignment horizontal="center" vertical="center"/>
    </xf>
    <xf numFmtId="0" fontId="49" fillId="25" borderId="18" xfId="0" quotePrefix="1" applyFont="1" applyFill="1" applyBorder="1" applyAlignment="1">
      <alignment horizontal="center" vertical="center"/>
    </xf>
    <xf numFmtId="0" fontId="49" fillId="25" borderId="6" xfId="0" quotePrefix="1" applyFont="1" applyFill="1" applyBorder="1" applyAlignment="1">
      <alignment horizontal="center" vertical="center"/>
    </xf>
    <xf numFmtId="0" fontId="49" fillId="25" borderId="6" xfId="0" applyFont="1" applyFill="1" applyBorder="1" applyAlignment="1" applyProtection="1">
      <alignment horizontal="center" vertical="center"/>
      <protection locked="0"/>
    </xf>
    <xf numFmtId="0" fontId="13" fillId="26" borderId="0" xfId="0" applyFont="1" applyFill="1" applyBorder="1" applyAlignment="1">
      <alignment horizontal="left" vertical="center"/>
    </xf>
    <xf numFmtId="0" fontId="49" fillId="26" borderId="18" xfId="0" quotePrefix="1" applyFont="1" applyFill="1" applyBorder="1" applyAlignment="1" applyProtection="1">
      <alignment horizontal="center" vertical="center" wrapText="1"/>
      <protection locked="0"/>
    </xf>
    <xf numFmtId="0" fontId="49" fillId="26" borderId="6" xfId="0" quotePrefix="1" applyFont="1" applyFill="1" applyBorder="1" applyAlignment="1" applyProtection="1">
      <alignment horizontal="center" vertical="center" wrapText="1"/>
      <protection locked="0"/>
    </xf>
    <xf numFmtId="0" fontId="49" fillId="26" borderId="6" xfId="0" quotePrefix="1" applyFont="1" applyFill="1" applyBorder="1" applyAlignment="1" applyProtection="1">
      <alignment horizontal="center" vertical="center"/>
      <protection locked="0"/>
    </xf>
    <xf numFmtId="0" fontId="13" fillId="15" borderId="0" xfId="0" applyFont="1" applyFill="1" applyBorder="1" applyAlignment="1">
      <alignment horizontal="left" vertical="center"/>
    </xf>
    <xf numFmtId="0" fontId="13" fillId="50" borderId="0" xfId="0" applyFont="1" applyFill="1" applyBorder="1" applyAlignment="1">
      <alignment horizontal="left" vertical="center"/>
    </xf>
    <xf numFmtId="0" fontId="49" fillId="50" borderId="6" xfId="0" quotePrefix="1" applyFont="1" applyFill="1" applyBorder="1" applyAlignment="1" applyProtection="1">
      <alignment horizontal="center" vertical="center"/>
      <protection locked="0"/>
    </xf>
    <xf numFmtId="0" fontId="49" fillId="50" borderId="6" xfId="0" applyFont="1" applyFill="1" applyBorder="1" applyAlignment="1" applyProtection="1">
      <alignment horizontal="center" vertical="center" wrapText="1"/>
      <protection locked="0"/>
    </xf>
    <xf numFmtId="0" fontId="49" fillId="15" borderId="6" xfId="0" applyFont="1" applyFill="1" applyBorder="1" applyAlignment="1" applyProtection="1">
      <alignment horizontal="center" vertical="center" wrapText="1"/>
      <protection locked="0"/>
    </xf>
    <xf numFmtId="0" fontId="49" fillId="15" borderId="6" xfId="0" quotePrefix="1" applyFont="1" applyFill="1" applyBorder="1" applyAlignment="1">
      <alignment horizontal="center" vertical="center"/>
    </xf>
    <xf numFmtId="0" fontId="49" fillId="15" borderId="6" xfId="0" applyFont="1" applyFill="1" applyBorder="1" applyAlignment="1">
      <alignment horizontal="center" vertical="center"/>
    </xf>
    <xf numFmtId="0" fontId="0" fillId="15" borderId="6" xfId="0" applyFill="1" applyBorder="1" applyAlignment="1">
      <alignment horizontal="center" vertical="center" wrapText="1"/>
    </xf>
    <xf numFmtId="0" fontId="49" fillId="15" borderId="6" xfId="0" quotePrefix="1" applyFont="1" applyFill="1" applyBorder="1" applyAlignment="1" applyProtection="1">
      <alignment horizontal="center" vertical="center"/>
      <protection locked="0"/>
    </xf>
    <xf numFmtId="0" fontId="1" fillId="15" borderId="6" xfId="0" applyFont="1" applyFill="1" applyBorder="1" applyAlignment="1">
      <alignment horizontal="center" vertical="center" wrapText="1"/>
    </xf>
    <xf numFmtId="0" fontId="49" fillId="15" borderId="6" xfId="0" quotePrefix="1" applyFont="1" applyFill="1" applyBorder="1" applyAlignment="1" applyProtection="1">
      <alignment horizontal="center" vertical="center" wrapText="1"/>
      <protection locked="0"/>
    </xf>
    <xf numFmtId="49" fontId="49" fillId="48" borderId="18" xfId="66" quotePrefix="1" applyNumberFormat="1" applyFont="1" applyFill="1" applyBorder="1" applyAlignment="1">
      <alignment horizontal="center" vertical="center"/>
    </xf>
    <xf numFmtId="49" fontId="49" fillId="48" borderId="6" xfId="66" quotePrefix="1" applyNumberFormat="1" applyFont="1" applyFill="1" applyBorder="1" applyAlignment="1">
      <alignment horizontal="center" vertical="center"/>
    </xf>
    <xf numFmtId="0" fontId="13" fillId="0" borderId="6" xfId="0" applyFont="1" applyBorder="1" applyAlignment="1">
      <alignment horizontal="left" vertical="center"/>
    </xf>
    <xf numFmtId="0" fontId="13" fillId="0" borderId="3" xfId="0" applyFont="1" applyBorder="1" applyAlignment="1">
      <alignment horizontal="left" vertical="center"/>
    </xf>
    <xf numFmtId="0" fontId="23" fillId="0" borderId="6" xfId="0" applyFont="1" applyBorder="1" applyAlignment="1">
      <alignment horizontal="left" vertical="center" wrapText="1"/>
    </xf>
    <xf numFmtId="0" fontId="23" fillId="0" borderId="3" xfId="0" applyFont="1" applyBorder="1" applyAlignment="1">
      <alignment horizontal="left" vertical="center" wrapText="1"/>
    </xf>
    <xf numFmtId="0" fontId="23" fillId="0" borderId="6" xfId="0" applyFont="1" applyFill="1" applyBorder="1" applyAlignment="1">
      <alignment horizontal="left" vertical="center" wrapText="1"/>
    </xf>
    <xf numFmtId="0" fontId="49" fillId="48" borderId="6" xfId="66" applyFont="1" applyFill="1" applyBorder="1" applyAlignment="1" applyProtection="1">
      <alignment horizontal="center" vertical="center" wrapText="1"/>
      <protection locked="0"/>
    </xf>
    <xf numFmtId="0" fontId="0" fillId="0" borderId="0" xfId="0" applyFill="1" applyBorder="1" applyAlignment="1">
      <alignmen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horizontal="center" vertical="center" wrapText="1"/>
    </xf>
    <xf numFmtId="0" fontId="49" fillId="0" borderId="0" xfId="0" quotePrefix="1" applyFont="1" applyFill="1" applyBorder="1" applyAlignment="1" applyProtection="1">
      <alignment horizontal="center" vertical="center"/>
      <protection locked="0"/>
    </xf>
    <xf numFmtId="0" fontId="49" fillId="0" borderId="0" xfId="0" applyFont="1" applyFill="1" applyBorder="1" applyAlignment="1" applyProtection="1">
      <alignment horizontal="center" vertical="center" wrapText="1"/>
      <protection locked="0"/>
    </xf>
    <xf numFmtId="0" fontId="49" fillId="0" borderId="0" xfId="0" applyFont="1" applyFill="1" applyBorder="1" applyAlignment="1">
      <alignment horizontal="left" vertical="center" wrapText="1"/>
    </xf>
    <xf numFmtId="0" fontId="49" fillId="0" borderId="0" xfId="0" applyFont="1" applyFill="1" applyBorder="1" applyAlignment="1" applyProtection="1">
      <alignment horizontal="left" vertical="center" wrapText="1"/>
      <protection locked="0"/>
    </xf>
    <xf numFmtId="0" fontId="18" fillId="0" borderId="3" xfId="0" applyFont="1" applyFill="1" applyBorder="1" applyAlignment="1" applyProtection="1">
      <alignment horizontal="left" vertical="center" wrapText="1"/>
      <protection hidden="1"/>
    </xf>
    <xf numFmtId="0" fontId="49" fillId="22" borderId="18" xfId="0" quotePrefix="1" applyFont="1" applyFill="1" applyBorder="1" applyAlignment="1" applyProtection="1">
      <alignment horizontal="center" vertical="center" wrapText="1"/>
      <protection locked="0"/>
    </xf>
    <xf numFmtId="0" fontId="18" fillId="0" borderId="3" xfId="0" applyFont="1" applyFill="1" applyBorder="1" applyAlignment="1">
      <alignment horizontal="left" vertical="center" wrapText="1"/>
    </xf>
    <xf numFmtId="0" fontId="38" fillId="3" borderId="0" xfId="2" applyFont="1" applyFill="1" applyBorder="1" applyAlignment="1">
      <alignment horizontal="left" vertical="center" wrapText="1"/>
    </xf>
    <xf numFmtId="0" fontId="26" fillId="0" borderId="0" xfId="0" applyFont="1" applyFill="1" applyBorder="1" applyAlignment="1" applyProtection="1">
      <alignment horizontal="center" vertical="center"/>
    </xf>
    <xf numFmtId="0" fontId="26" fillId="0" borderId="0" xfId="0" applyFont="1" applyFill="1" applyBorder="1" applyAlignment="1" applyProtection="1">
      <alignment horizontal="center" vertical="center" wrapText="1"/>
    </xf>
    <xf numFmtId="0" fontId="26" fillId="3" borderId="0" xfId="0" applyFont="1" applyFill="1" applyBorder="1" applyAlignment="1">
      <alignment vertical="center" wrapText="1"/>
    </xf>
    <xf numFmtId="0" fontId="29" fillId="3" borderId="0" xfId="0" applyFont="1" applyFill="1" applyBorder="1" applyAlignment="1">
      <alignment vertical="center" wrapText="1"/>
    </xf>
    <xf numFmtId="0" fontId="53" fillId="3" borderId="0" xfId="0" applyFont="1" applyFill="1" applyBorder="1" applyAlignment="1">
      <alignment vertical="center" wrapText="1"/>
    </xf>
    <xf numFmtId="0" fontId="13" fillId="32" borderId="0" xfId="0" applyFont="1" applyFill="1" applyBorder="1" applyAlignment="1">
      <alignment horizontal="left" vertical="center"/>
    </xf>
    <xf numFmtId="0" fontId="49" fillId="16" borderId="18" xfId="0" quotePrefix="1" applyFont="1" applyFill="1" applyBorder="1" applyAlignment="1" applyProtection="1">
      <alignment horizontal="center" vertical="center"/>
      <protection locked="0"/>
    </xf>
    <xf numFmtId="0" fontId="16" fillId="0" borderId="6" xfId="0" applyFont="1" applyBorder="1" applyAlignment="1" applyProtection="1">
      <alignment horizontal="left" vertical="center" wrapText="1"/>
    </xf>
    <xf numFmtId="0" fontId="16" fillId="0" borderId="3" xfId="0" applyFont="1" applyBorder="1" applyAlignment="1" applyProtection="1">
      <alignment horizontal="left" vertical="center" wrapText="1"/>
    </xf>
    <xf numFmtId="0" fontId="29" fillId="51" borderId="0" xfId="0" applyFont="1" applyFill="1" applyAlignment="1">
      <alignment horizontal="left" vertical="center"/>
    </xf>
    <xf numFmtId="14" fontId="13" fillId="0" borderId="0" xfId="0" applyNumberFormat="1" applyFont="1" applyAlignment="1">
      <alignment horizontal="center" vertical="center"/>
    </xf>
    <xf numFmtId="17" fontId="13" fillId="0" borderId="0" xfId="0" applyNumberFormat="1" applyFont="1" applyAlignment="1">
      <alignment horizontal="left" vertical="center"/>
    </xf>
    <xf numFmtId="0" fontId="13" fillId="0" borderId="3" xfId="0" applyFont="1" applyBorder="1" applyAlignment="1">
      <alignment horizontal="center" vertical="center"/>
    </xf>
    <xf numFmtId="14" fontId="14" fillId="22" borderId="3" xfId="0" applyNumberFormat="1" applyFont="1" applyFill="1" applyBorder="1" applyAlignment="1">
      <alignment horizontal="center" vertical="center"/>
    </xf>
    <xf numFmtId="17" fontId="14" fillId="22" borderId="3" xfId="0" applyNumberFormat="1" applyFont="1" applyFill="1" applyBorder="1" applyAlignment="1">
      <alignment horizontal="left" vertical="center"/>
    </xf>
    <xf numFmtId="0" fontId="0" fillId="0" borderId="7" xfId="0" applyFill="1" applyBorder="1" applyAlignment="1">
      <alignment horizontal="center" vertical="center" wrapText="1"/>
    </xf>
    <xf numFmtId="0" fontId="0" fillId="0" borderId="46" xfId="0" applyFill="1" applyBorder="1" applyAlignment="1">
      <alignment horizontal="center" vertical="center" wrapText="1"/>
    </xf>
    <xf numFmtId="0" fontId="0" fillId="0" borderId="46" xfId="0" applyFill="1" applyBorder="1" applyAlignment="1">
      <alignment horizontal="left" vertical="center" wrapText="1"/>
    </xf>
    <xf numFmtId="0" fontId="1" fillId="0" borderId="8" xfId="66" applyFill="1" applyBorder="1" applyAlignment="1">
      <alignment horizontal="left" vertical="center" wrapText="1"/>
    </xf>
    <xf numFmtId="0" fontId="1" fillId="0" borderId="8" xfId="0" applyFont="1" applyFill="1" applyBorder="1" applyAlignment="1">
      <alignment horizontal="left" vertical="center" wrapText="1"/>
    </xf>
    <xf numFmtId="0" fontId="0" fillId="0" borderId="24" xfId="0" applyFill="1" applyBorder="1" applyAlignment="1">
      <alignment horizontal="center" vertical="center" wrapText="1"/>
    </xf>
    <xf numFmtId="0" fontId="0" fillId="0" borderId="8" xfId="0" applyFill="1" applyBorder="1" applyAlignment="1">
      <alignment horizontal="left" vertical="center" wrapText="1"/>
    </xf>
    <xf numFmtId="0" fontId="0" fillId="0" borderId="46" xfId="0" applyFill="1" applyBorder="1" applyAlignment="1">
      <alignment vertical="center" wrapText="1"/>
    </xf>
    <xf numFmtId="0" fontId="0" fillId="0" borderId="8" xfId="0" applyFill="1" applyBorder="1" applyAlignment="1">
      <alignment vertical="center" wrapText="1"/>
    </xf>
    <xf numFmtId="0" fontId="16" fillId="0" borderId="7" xfId="0" applyFont="1" applyBorder="1" applyAlignment="1" applyProtection="1">
      <alignment horizontal="left" vertical="center" wrapText="1"/>
    </xf>
    <xf numFmtId="0" fontId="16" fillId="0" borderId="46" xfId="0" applyFont="1" applyBorder="1" applyAlignment="1" applyProtection="1">
      <alignment horizontal="left" vertical="center" wrapText="1"/>
    </xf>
    <xf numFmtId="0" fontId="1" fillId="0" borderId="7" xfId="0" applyFont="1" applyFill="1" applyBorder="1" applyAlignment="1">
      <alignment horizontal="center" vertical="center" wrapText="1"/>
    </xf>
    <xf numFmtId="0" fontId="1" fillId="0" borderId="46" xfId="0" applyFont="1" applyFill="1" applyBorder="1" applyAlignment="1">
      <alignment horizontal="center" vertical="center" wrapText="1"/>
    </xf>
    <xf numFmtId="0" fontId="0" fillId="0" borderId="40" xfId="0" applyFill="1" applyBorder="1" applyAlignment="1">
      <alignment horizontal="left" vertical="center" wrapText="1"/>
    </xf>
    <xf numFmtId="0" fontId="49" fillId="0" borderId="7" xfId="0" applyFont="1" applyFill="1" applyBorder="1" applyAlignment="1" applyProtection="1">
      <alignment horizontal="center" vertical="center" wrapText="1"/>
      <protection locked="0"/>
    </xf>
    <xf numFmtId="0" fontId="49" fillId="0" borderId="46" xfId="25" applyFont="1" applyFill="1" applyBorder="1" applyAlignment="1" applyProtection="1">
      <alignment horizontal="center" vertical="center"/>
      <protection locked="0"/>
    </xf>
    <xf numFmtId="0" fontId="49" fillId="0" borderId="46" xfId="25" applyFont="1" applyFill="1" applyBorder="1" applyAlignment="1" applyProtection="1">
      <alignment horizontal="left" vertical="center"/>
      <protection locked="0"/>
    </xf>
    <xf numFmtId="0" fontId="1" fillId="0" borderId="46" xfId="0" applyFont="1" applyFill="1" applyBorder="1" applyAlignment="1">
      <alignment horizontal="left" vertical="center" wrapText="1"/>
    </xf>
    <xf numFmtId="0" fontId="1" fillId="0" borderId="40" xfId="0" applyFont="1" applyFill="1" applyBorder="1" applyAlignment="1">
      <alignment horizontal="left" vertical="center" wrapText="1"/>
    </xf>
    <xf numFmtId="0" fontId="16" fillId="0" borderId="0" xfId="0" applyFont="1" applyBorder="1" applyAlignment="1" applyProtection="1">
      <alignment horizontal="left" vertical="center" wrapText="1"/>
    </xf>
    <xf numFmtId="0" fontId="1" fillId="0" borderId="0" xfId="66" applyFill="1" applyBorder="1" applyAlignment="1">
      <alignment horizontal="center" vertical="center" wrapText="1"/>
    </xf>
    <xf numFmtId="0" fontId="49" fillId="0" borderId="0" xfId="25" applyFont="1" applyFill="1" applyBorder="1" applyAlignment="1" applyProtection="1">
      <alignment horizontal="center" vertical="center"/>
      <protection locked="0"/>
    </xf>
    <xf numFmtId="0" fontId="49" fillId="0" borderId="0" xfId="25" applyFont="1" applyFill="1" applyBorder="1" applyAlignment="1" applyProtection="1">
      <alignment horizontal="left" vertical="center"/>
      <protection locked="0"/>
    </xf>
    <xf numFmtId="0" fontId="13" fillId="26" borderId="0" xfId="0" applyFont="1" applyFill="1" applyBorder="1" applyAlignment="1">
      <alignment horizontal="center" vertical="center"/>
    </xf>
    <xf numFmtId="0" fontId="13" fillId="47" borderId="6" xfId="0" applyFont="1" applyFill="1" applyBorder="1" applyAlignment="1">
      <alignment horizontal="center" vertical="center"/>
    </xf>
    <xf numFmtId="0" fontId="46" fillId="0" borderId="52" xfId="0" applyFont="1" applyBorder="1" applyAlignment="1">
      <alignment horizontal="center" vertical="center" wrapText="1"/>
    </xf>
    <xf numFmtId="0" fontId="46" fillId="0" borderId="53" xfId="0" applyFont="1" applyBorder="1" applyAlignment="1">
      <alignment horizontal="center" vertical="center" wrapText="1"/>
    </xf>
    <xf numFmtId="0" fontId="46" fillId="0" borderId="53" xfId="0" applyFont="1" applyFill="1" applyBorder="1" applyAlignment="1">
      <alignment horizontal="center" vertical="center" wrapText="1"/>
    </xf>
    <xf numFmtId="0" fontId="46" fillId="0" borderId="54" xfId="0" applyFont="1" applyFill="1" applyBorder="1" applyAlignment="1">
      <alignment horizontal="center" vertical="center" wrapText="1"/>
    </xf>
    <xf numFmtId="0" fontId="13" fillId="0" borderId="18" xfId="0" applyFont="1" applyBorder="1" applyAlignment="1">
      <alignment horizontal="left" vertical="center"/>
    </xf>
    <xf numFmtId="0" fontId="13" fillId="0" borderId="1" xfId="0" applyFont="1" applyBorder="1" applyAlignment="1">
      <alignment horizontal="left" vertical="center"/>
    </xf>
    <xf numFmtId="0" fontId="46" fillId="0" borderId="9" xfId="0" applyFont="1" applyFill="1" applyBorder="1" applyAlignment="1">
      <alignment horizontal="center" vertical="center" wrapText="1"/>
    </xf>
    <xf numFmtId="0" fontId="1" fillId="0" borderId="50" xfId="0" applyFont="1" applyFill="1" applyBorder="1" applyAlignment="1">
      <alignment horizontal="left" vertical="center" wrapText="1"/>
    </xf>
    <xf numFmtId="0" fontId="13" fillId="16" borderId="6" xfId="0" applyFont="1" applyFill="1" applyBorder="1" applyAlignment="1">
      <alignment horizontal="center" vertical="center"/>
    </xf>
    <xf numFmtId="0" fontId="13" fillId="0" borderId="48" xfId="0" applyFont="1" applyBorder="1" applyAlignment="1">
      <alignment horizontal="left" vertical="center"/>
    </xf>
    <xf numFmtId="0" fontId="13" fillId="0" borderId="47" xfId="0" applyFont="1" applyBorder="1" applyAlignment="1">
      <alignment horizontal="left" vertical="center"/>
    </xf>
    <xf numFmtId="0" fontId="13" fillId="15" borderId="6" xfId="0" applyFont="1" applyFill="1" applyBorder="1" applyAlignment="1">
      <alignment horizontal="center" vertical="center"/>
    </xf>
    <xf numFmtId="0" fontId="49" fillId="16" borderId="0" xfId="0" applyFont="1" applyFill="1" applyBorder="1" applyAlignment="1">
      <alignment horizontal="center" vertical="center"/>
    </xf>
    <xf numFmtId="0" fontId="49" fillId="47" borderId="0" xfId="0" quotePrefix="1" applyFont="1" applyFill="1" applyBorder="1" applyAlignment="1">
      <alignment horizontal="center" vertical="center"/>
    </xf>
    <xf numFmtId="0" fontId="49" fillId="0" borderId="0" xfId="0" applyFont="1" applyFill="1" applyBorder="1" applyAlignment="1">
      <alignment horizontal="center" vertical="center"/>
    </xf>
    <xf numFmtId="0" fontId="13" fillId="49" borderId="6" xfId="0" applyFont="1" applyFill="1" applyBorder="1" applyAlignment="1">
      <alignment horizontal="center" vertical="center"/>
    </xf>
    <xf numFmtId="0" fontId="0" fillId="32" borderId="55" xfId="0" applyFill="1" applyBorder="1" applyAlignment="1">
      <alignment horizontal="center" vertical="center" wrapText="1"/>
    </xf>
    <xf numFmtId="0" fontId="13" fillId="49" borderId="55" xfId="0" applyFont="1" applyFill="1" applyBorder="1" applyAlignment="1">
      <alignment horizontal="center" vertical="center"/>
    </xf>
    <xf numFmtId="0" fontId="13" fillId="22" borderId="6" xfId="0" applyFont="1" applyFill="1" applyBorder="1" applyAlignment="1">
      <alignment horizontal="center" vertical="center"/>
    </xf>
    <xf numFmtId="0" fontId="49" fillId="49" borderId="0" xfId="0" applyFont="1" applyFill="1" applyBorder="1" applyAlignment="1">
      <alignment horizontal="center" vertical="center"/>
    </xf>
    <xf numFmtId="0" fontId="49" fillId="16" borderId="0" xfId="0" quotePrefix="1" applyFont="1" applyFill="1" applyBorder="1" applyAlignment="1" applyProtection="1">
      <alignment horizontal="center" vertical="center"/>
      <protection locked="0"/>
    </xf>
    <xf numFmtId="0" fontId="13" fillId="11" borderId="3" xfId="0" applyFont="1" applyFill="1" applyBorder="1" applyAlignment="1">
      <alignment horizontal="center" vertical="center"/>
    </xf>
    <xf numFmtId="0" fontId="0" fillId="40" borderId="3" xfId="0" applyFill="1" applyBorder="1" applyAlignment="1">
      <alignment horizontal="center" vertical="center" wrapText="1"/>
    </xf>
    <xf numFmtId="0" fontId="0" fillId="0" borderId="3" xfId="0" applyFill="1" applyBorder="1" applyAlignment="1" applyProtection="1">
      <alignment horizontal="center" vertical="center"/>
    </xf>
    <xf numFmtId="0" fontId="13" fillId="0" borderId="0" xfId="0" applyFont="1" applyFill="1" applyBorder="1" applyAlignment="1">
      <alignment vertical="top" wrapText="1"/>
    </xf>
    <xf numFmtId="0" fontId="13" fillId="0" borderId="0" xfId="0" applyFont="1" applyFill="1" applyBorder="1"/>
    <xf numFmtId="49" fontId="0" fillId="0" borderId="0" xfId="0" applyNumberFormat="1" applyFill="1" applyBorder="1" applyAlignment="1" applyProtection="1">
      <alignment horizontal="center" vertical="center"/>
      <protection locked="0"/>
    </xf>
    <xf numFmtId="49" fontId="13" fillId="0" borderId="0" xfId="0" applyNumberFormat="1" applyFont="1" applyFill="1" applyBorder="1" applyAlignment="1" applyProtection="1">
      <alignment vertical="top" wrapText="1"/>
      <protection locked="0"/>
    </xf>
    <xf numFmtId="0" fontId="29" fillId="0" borderId="0" xfId="0" applyNumberFormat="1" applyFont="1" applyFill="1" applyBorder="1" applyAlignment="1" applyProtection="1">
      <alignment horizontal="center" vertical="center"/>
      <protection locked="0"/>
    </xf>
    <xf numFmtId="0" fontId="13" fillId="47" borderId="0" xfId="0" applyFont="1" applyFill="1" applyBorder="1" applyAlignment="1">
      <alignment horizontal="center" vertical="center"/>
    </xf>
    <xf numFmtId="0" fontId="49" fillId="47" borderId="33" xfId="0" applyFont="1" applyFill="1" applyBorder="1" applyAlignment="1">
      <alignment horizontal="center" vertical="center"/>
    </xf>
    <xf numFmtId="0" fontId="19" fillId="0" borderId="3" xfId="0" applyFont="1" applyFill="1" applyBorder="1" applyAlignment="1">
      <alignment horizontal="center" vertical="center" wrapText="1"/>
    </xf>
    <xf numFmtId="0" fontId="23" fillId="0" borderId="0" xfId="0" applyFont="1" applyFill="1" applyAlignment="1">
      <alignment horizontal="center" vertical="center"/>
    </xf>
    <xf numFmtId="0" fontId="1" fillId="24" borderId="3" xfId="66" applyFill="1" applyBorder="1" applyAlignment="1">
      <alignment horizontal="left" vertical="center" wrapText="1"/>
    </xf>
    <xf numFmtId="0" fontId="1" fillId="0" borderId="0" xfId="24" applyFont="1" applyFill="1" applyAlignment="1">
      <alignment vertical="center"/>
    </xf>
    <xf numFmtId="0" fontId="54" fillId="0" borderId="0" xfId="24" applyFont="1" applyFill="1" applyBorder="1" applyAlignment="1">
      <alignment horizontal="center" vertical="center" wrapText="1"/>
    </xf>
    <xf numFmtId="0" fontId="54" fillId="0" borderId="0" xfId="24" applyFont="1" applyFill="1" applyBorder="1" applyAlignment="1">
      <alignment horizontal="center" vertical="center"/>
    </xf>
    <xf numFmtId="14" fontId="1" fillId="0" borderId="0" xfId="24" applyNumberFormat="1" applyFont="1" applyFill="1" applyAlignment="1">
      <alignment vertical="center"/>
    </xf>
    <xf numFmtId="0" fontId="37" fillId="0" borderId="0" xfId="24" applyFont="1"/>
    <xf numFmtId="0" fontId="39" fillId="52" borderId="3" xfId="24" applyFont="1" applyFill="1" applyBorder="1" applyAlignment="1">
      <alignment horizontal="center" vertical="center"/>
    </xf>
    <xf numFmtId="165" fontId="36" fillId="0" borderId="3" xfId="24" quotePrefix="1" applyNumberFormat="1" applyFont="1" applyBorder="1" applyAlignment="1">
      <alignment horizontal="center" vertical="center" wrapText="1"/>
    </xf>
    <xf numFmtId="14" fontId="57" fillId="0" borderId="3" xfId="24" applyNumberFormat="1" applyFont="1" applyFill="1" applyBorder="1" applyAlignment="1">
      <alignment horizontal="center" vertical="center" wrapText="1"/>
    </xf>
    <xf numFmtId="0" fontId="18" fillId="0" borderId="3" xfId="0" applyFont="1" applyFill="1" applyBorder="1" applyAlignment="1" applyProtection="1">
      <alignment horizontal="left" vertical="center" wrapText="1"/>
      <protection hidden="1"/>
    </xf>
    <xf numFmtId="0" fontId="0" fillId="0" borderId="0" xfId="0" applyProtection="1">
      <protection hidden="1"/>
    </xf>
    <xf numFmtId="0" fontId="13" fillId="24" borderId="17" xfId="0" applyFont="1" applyFill="1" applyBorder="1" applyAlignment="1" applyProtection="1">
      <alignment horizontal="center" vertical="top" wrapText="1"/>
      <protection hidden="1"/>
    </xf>
    <xf numFmtId="0" fontId="13" fillId="25" borderId="0" xfId="0" applyFont="1" applyFill="1" applyAlignment="1" applyProtection="1">
      <alignment horizontal="center" vertical="center" wrapText="1"/>
      <protection hidden="1"/>
    </xf>
    <xf numFmtId="0" fontId="13" fillId="24" borderId="26" xfId="0" applyFont="1" applyFill="1" applyBorder="1" applyAlignment="1" applyProtection="1">
      <alignment horizontal="center" vertical="center" wrapText="1"/>
      <protection hidden="1"/>
    </xf>
    <xf numFmtId="0" fontId="34" fillId="0" borderId="0" xfId="0" applyFont="1" applyProtection="1">
      <protection hidden="1"/>
    </xf>
    <xf numFmtId="0" fontId="19" fillId="0" borderId="0" xfId="0" applyFont="1" applyFill="1" applyProtection="1">
      <protection hidden="1"/>
    </xf>
    <xf numFmtId="0" fontId="13" fillId="24" borderId="16" xfId="0" applyFont="1" applyFill="1" applyBorder="1" applyAlignment="1" applyProtection="1">
      <alignment horizontal="center" vertical="center" wrapText="1"/>
      <protection hidden="1"/>
    </xf>
    <xf numFmtId="0" fontId="44" fillId="13" borderId="17" xfId="0" applyFont="1" applyFill="1" applyBorder="1" applyAlignment="1" applyProtection="1">
      <alignment horizontal="center" vertical="center" wrapText="1"/>
      <protection hidden="1"/>
    </xf>
    <xf numFmtId="14" fontId="34" fillId="0" borderId="0" xfId="0" applyNumberFormat="1" applyFont="1" applyFill="1" applyAlignment="1" applyProtection="1">
      <alignment horizontal="center" vertical="center"/>
      <protection hidden="1"/>
    </xf>
    <xf numFmtId="0" fontId="34" fillId="3" borderId="0" xfId="0" applyFont="1" applyFill="1" applyProtection="1">
      <protection hidden="1"/>
    </xf>
    <xf numFmtId="0" fontId="44" fillId="0" borderId="26" xfId="0" applyFont="1" applyFill="1" applyBorder="1" applyAlignment="1" applyProtection="1">
      <alignment vertical="center" textRotation="255" wrapText="1"/>
      <protection hidden="1"/>
    </xf>
    <xf numFmtId="0" fontId="0" fillId="0" borderId="13" xfId="0" applyBorder="1" applyProtection="1">
      <protection hidden="1"/>
    </xf>
    <xf numFmtId="0" fontId="35" fillId="15" borderId="3" xfId="0" applyFont="1" applyFill="1" applyBorder="1" applyAlignment="1" applyProtection="1">
      <alignment horizontal="center" vertical="center"/>
      <protection hidden="1"/>
    </xf>
    <xf numFmtId="0" fontId="13" fillId="0" borderId="0" xfId="0" applyFont="1" applyAlignment="1" applyProtection="1">
      <alignment horizontal="left" vertical="center"/>
      <protection hidden="1"/>
    </xf>
    <xf numFmtId="0" fontId="0" fillId="0" borderId="0" xfId="0" applyBorder="1" applyProtection="1">
      <protection hidden="1"/>
    </xf>
    <xf numFmtId="0" fontId="0" fillId="48" borderId="6" xfId="0" applyFill="1" applyBorder="1" applyAlignment="1">
      <alignment horizontal="center" vertical="center" wrapText="1"/>
    </xf>
    <xf numFmtId="0" fontId="46" fillId="0" borderId="52" xfId="0" applyFont="1" applyFill="1" applyBorder="1" applyAlignment="1">
      <alignment horizontal="center" vertical="center" wrapText="1"/>
    </xf>
    <xf numFmtId="0" fontId="50" fillId="47" borderId="3" xfId="0" applyFont="1" applyFill="1" applyBorder="1" applyAlignment="1">
      <alignment horizontal="center" vertical="center"/>
    </xf>
    <xf numFmtId="0" fontId="49" fillId="0" borderId="3" xfId="0" quotePrefix="1" applyFont="1" applyFill="1" applyBorder="1" applyAlignment="1" applyProtection="1">
      <alignment horizontal="center" vertical="center" wrapText="1"/>
      <protection locked="0"/>
    </xf>
    <xf numFmtId="0" fontId="49" fillId="0" borderId="3" xfId="0" quotePrefix="1" applyFont="1" applyFill="1" applyBorder="1" applyAlignment="1">
      <alignment horizontal="center" vertical="center" wrapText="1"/>
    </xf>
    <xf numFmtId="0" fontId="49" fillId="15" borderId="3" xfId="0" applyFont="1" applyFill="1" applyBorder="1" applyAlignment="1" applyProtection="1">
      <alignment horizontal="center" vertical="center" wrapText="1"/>
      <protection locked="0"/>
    </xf>
    <xf numFmtId="0" fontId="49" fillId="42" borderId="3" xfId="0" quotePrefix="1" applyFont="1" applyFill="1" applyBorder="1" applyAlignment="1" applyProtection="1">
      <alignment horizontal="center" vertical="center"/>
      <protection locked="0"/>
    </xf>
    <xf numFmtId="0" fontId="50" fillId="0" borderId="3" xfId="89" applyFont="1" applyFill="1" applyBorder="1" applyAlignment="1" applyProtection="1">
      <alignment horizontal="center" vertical="center" wrapText="1"/>
      <protection locked="0"/>
    </xf>
    <xf numFmtId="0" fontId="50" fillId="0" borderId="3" xfId="89" applyFont="1" applyFill="1" applyBorder="1" applyAlignment="1" applyProtection="1">
      <alignment horizontal="left" vertical="center" wrapText="1"/>
      <protection locked="0"/>
    </xf>
    <xf numFmtId="0" fontId="49" fillId="0" borderId="6" xfId="66" quotePrefix="1" applyFont="1" applyFill="1" applyBorder="1" applyAlignment="1">
      <alignment horizontal="center" vertical="center"/>
    </xf>
    <xf numFmtId="0" fontId="49" fillId="0" borderId="6" xfId="66" applyFont="1" applyFill="1" applyBorder="1" applyAlignment="1">
      <alignment horizontal="center" vertical="center"/>
    </xf>
    <xf numFmtId="1" fontId="49" fillId="48" borderId="18" xfId="66" quotePrefix="1" applyNumberFormat="1" applyFont="1" applyFill="1" applyBorder="1" applyAlignment="1">
      <alignment horizontal="center" vertical="center"/>
    </xf>
    <xf numFmtId="1" fontId="49" fillId="48" borderId="6" xfId="66" quotePrefix="1" applyNumberFormat="1" applyFont="1" applyFill="1" applyBorder="1" applyAlignment="1">
      <alignment horizontal="center" vertical="center"/>
    </xf>
    <xf numFmtId="1" fontId="49" fillId="48" borderId="6" xfId="66" applyNumberFormat="1" applyFont="1" applyFill="1" applyBorder="1" applyAlignment="1">
      <alignment horizontal="center" vertical="center"/>
    </xf>
    <xf numFmtId="1" fontId="49" fillId="48" borderId="6" xfId="66" applyNumberFormat="1" applyFont="1" applyFill="1" applyBorder="1" applyAlignment="1" applyProtection="1">
      <alignment horizontal="center" vertical="center"/>
      <protection locked="0"/>
    </xf>
    <xf numFmtId="1" fontId="29" fillId="51" borderId="6" xfId="0" applyNumberFormat="1" applyFont="1" applyFill="1" applyBorder="1" applyAlignment="1">
      <alignment horizontal="center" vertical="center"/>
    </xf>
    <xf numFmtId="0" fontId="50" fillId="0" borderId="3" xfId="66" applyFont="1" applyFill="1" applyBorder="1" applyAlignment="1">
      <alignment horizontal="center" vertical="center" wrapText="1"/>
    </xf>
    <xf numFmtId="1" fontId="49" fillId="15" borderId="6" xfId="0" quotePrefix="1" applyNumberFormat="1" applyFont="1" applyFill="1" applyBorder="1" applyAlignment="1" applyProtection="1">
      <alignment horizontal="center" vertical="center"/>
      <protection locked="0"/>
    </xf>
    <xf numFmtId="1" fontId="49" fillId="48" borderId="6" xfId="0" applyNumberFormat="1" applyFont="1" applyFill="1" applyBorder="1" applyAlignment="1">
      <alignment horizontal="center" vertical="center"/>
    </xf>
    <xf numFmtId="1" fontId="49" fillId="48" borderId="6" xfId="0" quotePrefix="1" applyNumberFormat="1" applyFont="1" applyFill="1" applyBorder="1" applyAlignment="1">
      <alignment horizontal="center" vertical="center"/>
    </xf>
    <xf numFmtId="0" fontId="49" fillId="0" borderId="3" xfId="90" applyFont="1" applyFill="1" applyBorder="1" applyAlignment="1">
      <alignment horizontal="left" vertical="center" wrapText="1"/>
    </xf>
    <xf numFmtId="1" fontId="49" fillId="47" borderId="18" xfId="0" quotePrefix="1" applyNumberFormat="1" applyFont="1" applyFill="1" applyBorder="1" applyAlignment="1">
      <alignment horizontal="center" vertical="center"/>
    </xf>
    <xf numFmtId="1" fontId="49" fillId="47" borderId="6" xfId="0" quotePrefix="1" applyNumberFormat="1" applyFont="1" applyFill="1" applyBorder="1" applyAlignment="1">
      <alignment horizontal="center" vertical="center"/>
    </xf>
    <xf numFmtId="0" fontId="49" fillId="0" borderId="3" xfId="71" applyFont="1" applyFill="1" applyBorder="1" applyAlignment="1">
      <alignment horizontal="center" vertical="center" wrapText="1"/>
    </xf>
    <xf numFmtId="0" fontId="49" fillId="0" borderId="3" xfId="71" applyFont="1" applyFill="1" applyBorder="1" applyAlignment="1">
      <alignment horizontal="left" vertical="center" wrapText="1"/>
    </xf>
    <xf numFmtId="0" fontId="0" fillId="0" borderId="39" xfId="0" applyFill="1" applyBorder="1" applyAlignment="1">
      <alignment vertical="center" wrapText="1"/>
    </xf>
    <xf numFmtId="0" fontId="49" fillId="0" borderId="3" xfId="0" quotePrefix="1" applyFont="1" applyFill="1" applyBorder="1" applyAlignment="1" applyProtection="1">
      <alignment horizontal="center" vertical="center"/>
      <protection locked="0"/>
    </xf>
    <xf numFmtId="1" fontId="49" fillId="47" borderId="0" xfId="0" quotePrefix="1" applyNumberFormat="1" applyFont="1" applyFill="1" applyBorder="1" applyAlignment="1">
      <alignment horizontal="center" vertical="center"/>
    </xf>
    <xf numFmtId="0" fontId="0" fillId="0" borderId="55" xfId="0" applyFill="1" applyBorder="1" applyAlignment="1">
      <alignment horizontal="center" vertical="center" wrapText="1"/>
    </xf>
    <xf numFmtId="0" fontId="13" fillId="0" borderId="55" xfId="0" applyFont="1" applyFill="1" applyBorder="1" applyAlignment="1">
      <alignment horizontal="center" vertical="center"/>
    </xf>
    <xf numFmtId="1" fontId="49" fillId="16" borderId="18" xfId="0" quotePrefix="1" applyNumberFormat="1" applyFont="1" applyFill="1" applyBorder="1" applyAlignment="1">
      <alignment horizontal="center" vertical="center"/>
    </xf>
    <xf numFmtId="1" fontId="49" fillId="16" borderId="6" xfId="0" quotePrefix="1" applyNumberFormat="1" applyFont="1" applyFill="1" applyBorder="1" applyAlignment="1">
      <alignment horizontal="center" vertical="center"/>
    </xf>
    <xf numFmtId="0" fontId="23" fillId="0" borderId="3" xfId="0" applyFont="1" applyFill="1" applyBorder="1" applyAlignment="1">
      <alignment horizontal="left" vertical="center" wrapText="1"/>
    </xf>
    <xf numFmtId="0" fontId="49" fillId="0" borderId="6" xfId="0" applyFont="1" applyFill="1" applyBorder="1" applyAlignment="1" applyProtection="1">
      <alignment horizontal="center" vertical="center"/>
      <protection locked="0"/>
    </xf>
    <xf numFmtId="0" fontId="20" fillId="13" borderId="17"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49" fontId="20" fillId="13" borderId="17" xfId="0" applyNumberFormat="1" applyFont="1" applyFill="1" applyBorder="1" applyAlignment="1" applyProtection="1">
      <alignment horizontal="center" vertical="center" wrapText="1"/>
      <protection locked="0"/>
    </xf>
    <xf numFmtId="0" fontId="20" fillId="13" borderId="17" xfId="0" applyNumberFormat="1" applyFont="1" applyFill="1" applyBorder="1" applyAlignment="1" applyProtection="1">
      <alignment horizontal="center" vertical="center" wrapText="1"/>
      <protection locked="0"/>
    </xf>
    <xf numFmtId="0" fontId="18" fillId="0" borderId="3" xfId="0" applyFont="1" applyFill="1" applyBorder="1" applyAlignment="1">
      <alignment horizontal="left" vertical="center" wrapText="1"/>
    </xf>
    <xf numFmtId="0" fontId="13" fillId="0" borderId="5" xfId="0" applyFont="1" applyFill="1" applyBorder="1" applyAlignment="1">
      <alignment horizontal="left" vertical="center" wrapText="1"/>
    </xf>
    <xf numFmtId="0" fontId="18" fillId="0" borderId="3" xfId="75" applyNumberFormat="1" applyFont="1" applyFill="1" applyBorder="1" applyAlignment="1">
      <alignment horizontal="left" vertical="center" wrapText="1"/>
    </xf>
    <xf numFmtId="0" fontId="18" fillId="0" borderId="3" xfId="76" applyNumberFormat="1" applyFont="1" applyFill="1" applyBorder="1" applyAlignment="1">
      <alignment horizontal="left" vertical="center" wrapText="1"/>
    </xf>
    <xf numFmtId="0" fontId="18" fillId="0" borderId="3" xfId="0" applyFont="1" applyFill="1" applyBorder="1" applyAlignment="1" applyProtection="1">
      <alignment horizontal="left" vertical="center" wrapText="1"/>
    </xf>
    <xf numFmtId="0" fontId="18" fillId="0" borderId="3" xfId="0" applyFont="1" applyFill="1" applyBorder="1" applyAlignment="1">
      <alignment horizontal="left" vertical="center" wrapText="1"/>
    </xf>
    <xf numFmtId="0" fontId="18" fillId="0" borderId="3" xfId="0" applyFont="1" applyFill="1" applyBorder="1" applyAlignment="1" applyProtection="1">
      <alignment horizontal="left" vertical="center" wrapText="1"/>
    </xf>
    <xf numFmtId="0" fontId="14" fillId="7" borderId="1" xfId="0" applyFont="1" applyFill="1" applyBorder="1" applyAlignment="1" applyProtection="1">
      <alignment horizontal="center" vertical="center" wrapText="1"/>
    </xf>
    <xf numFmtId="0" fontId="15" fillId="4" borderId="3" xfId="0" applyFont="1" applyFill="1" applyBorder="1" applyAlignment="1" applyProtection="1">
      <alignment horizontal="center" vertical="center"/>
    </xf>
    <xf numFmtId="0" fontId="15" fillId="4" borderId="4" xfId="0" applyFont="1" applyFill="1" applyBorder="1" applyAlignment="1" applyProtection="1">
      <alignment horizontal="center" vertical="center"/>
    </xf>
    <xf numFmtId="0" fontId="26" fillId="53" borderId="6" xfId="0" applyFont="1" applyFill="1" applyBorder="1" applyAlignment="1" applyProtection="1">
      <alignment horizontal="center" vertical="center" wrapText="1"/>
    </xf>
    <xf numFmtId="0" fontId="26" fillId="53" borderId="4" xfId="0" applyFont="1" applyFill="1" applyBorder="1" applyAlignment="1" applyProtection="1">
      <alignment horizontal="center" vertical="center" wrapText="1"/>
    </xf>
    <xf numFmtId="0" fontId="26" fillId="53" borderId="3" xfId="0" applyFont="1" applyFill="1" applyBorder="1" applyAlignment="1" applyProtection="1">
      <alignment horizontal="center" vertical="center" wrapText="1"/>
    </xf>
    <xf numFmtId="0" fontId="26" fillId="53" borderId="5" xfId="0" applyFont="1" applyFill="1" applyBorder="1" applyAlignment="1" applyProtection="1">
      <alignment horizontal="center" vertical="center" wrapText="1"/>
    </xf>
    <xf numFmtId="0" fontId="18" fillId="0" borderId="3" xfId="0" applyFont="1" applyFill="1" applyBorder="1" applyAlignment="1" applyProtection="1">
      <alignment horizontal="left" vertical="center" wrapText="1"/>
    </xf>
    <xf numFmtId="0" fontId="18" fillId="0" borderId="3" xfId="0" applyFont="1" applyFill="1" applyBorder="1" applyAlignment="1" applyProtection="1">
      <alignment horizontal="left" vertical="center" wrapText="1"/>
    </xf>
    <xf numFmtId="0" fontId="18" fillId="0" borderId="3" xfId="0" applyFont="1" applyFill="1" applyBorder="1" applyAlignment="1">
      <alignment horizontal="left" vertical="center" wrapText="1"/>
    </xf>
    <xf numFmtId="0" fontId="18" fillId="0" borderId="27" xfId="0" applyFont="1" applyBorder="1" applyAlignment="1" applyProtection="1">
      <alignment horizontal="left" vertical="center" wrapText="1"/>
      <protection hidden="1"/>
    </xf>
    <xf numFmtId="0" fontId="18" fillId="0" borderId="3" xfId="0" applyFont="1" applyFill="1" applyBorder="1" applyAlignment="1" applyProtection="1">
      <alignment horizontal="left" vertical="center" wrapText="1"/>
    </xf>
    <xf numFmtId="0" fontId="58" fillId="0" borderId="59" xfId="0" applyNumberFormat="1" applyFont="1" applyFill="1" applyBorder="1" applyAlignment="1" applyProtection="1">
      <alignment horizontal="center" vertical="center" wrapText="1"/>
    </xf>
    <xf numFmtId="0" fontId="58" fillId="0" borderId="59" xfId="0" applyFont="1" applyFill="1" applyBorder="1" applyAlignment="1" applyProtection="1">
      <alignment vertical="center" wrapText="1"/>
    </xf>
    <xf numFmtId="0" fontId="36" fillId="0" borderId="3" xfId="24" applyFont="1" applyBorder="1" applyAlignment="1">
      <alignment horizontal="left" vertical="center" wrapText="1"/>
    </xf>
    <xf numFmtId="0" fontId="36" fillId="0" borderId="3" xfId="24" applyFont="1" applyBorder="1" applyAlignment="1">
      <alignment horizontal="left" vertical="center"/>
    </xf>
    <xf numFmtId="0" fontId="1" fillId="0" borderId="3" xfId="24" applyFont="1" applyFill="1" applyBorder="1" applyAlignment="1">
      <alignment horizontal="center" vertical="center"/>
    </xf>
    <xf numFmtId="0" fontId="1" fillId="0" borderId="56" xfId="24" applyFont="1" applyFill="1" applyBorder="1" applyAlignment="1">
      <alignment horizontal="center" vertical="center" wrapText="1"/>
    </xf>
    <xf numFmtId="0" fontId="1" fillId="0" borderId="41" xfId="24" applyFont="1" applyFill="1" applyBorder="1" applyAlignment="1">
      <alignment horizontal="center" vertical="center" wrapText="1"/>
    </xf>
    <xf numFmtId="0" fontId="1" fillId="0" borderId="57" xfId="24" applyFont="1" applyFill="1" applyBorder="1" applyAlignment="1">
      <alignment horizontal="center" vertical="center" wrapText="1"/>
    </xf>
    <xf numFmtId="0" fontId="1" fillId="0" borderId="58" xfId="24" applyFont="1" applyFill="1" applyBorder="1" applyAlignment="1">
      <alignment horizontal="center" vertical="center" wrapText="1"/>
    </xf>
    <xf numFmtId="0" fontId="1" fillId="0" borderId="0" xfId="24" applyFont="1" applyFill="1" applyBorder="1" applyAlignment="1">
      <alignment horizontal="center" vertical="center" wrapText="1"/>
    </xf>
    <xf numFmtId="0" fontId="1" fillId="0" borderId="35" xfId="24" applyFont="1" applyFill="1" applyBorder="1" applyAlignment="1">
      <alignment horizontal="center" vertical="center" wrapText="1"/>
    </xf>
    <xf numFmtId="0" fontId="1" fillId="0" borderId="29" xfId="24" applyFont="1" applyFill="1" applyBorder="1" applyAlignment="1">
      <alignment horizontal="center" vertical="center" wrapText="1"/>
    </xf>
    <xf numFmtId="0" fontId="1" fillId="0" borderId="25" xfId="24" applyFont="1" applyFill="1" applyBorder="1" applyAlignment="1">
      <alignment horizontal="center" vertical="center" wrapText="1"/>
    </xf>
    <xf numFmtId="0" fontId="1" fillId="0" borderId="30" xfId="24" applyFont="1" applyFill="1" applyBorder="1" applyAlignment="1">
      <alignment horizontal="center" vertical="center" wrapText="1"/>
    </xf>
    <xf numFmtId="0" fontId="46" fillId="0" borderId="3" xfId="24" applyFont="1" applyFill="1" applyBorder="1" applyAlignment="1">
      <alignment horizontal="center" vertical="center" wrapText="1"/>
    </xf>
    <xf numFmtId="0" fontId="46" fillId="0" borderId="3" xfId="24" applyFont="1" applyFill="1" applyBorder="1" applyAlignment="1">
      <alignment horizontal="center" vertical="center"/>
    </xf>
    <xf numFmtId="0" fontId="54" fillId="0" borderId="3" xfId="24" applyFont="1" applyFill="1" applyBorder="1" applyAlignment="1">
      <alignment horizontal="center" vertical="center" wrapText="1"/>
    </xf>
    <xf numFmtId="0" fontId="55" fillId="0" borderId="3" xfId="24" applyFont="1" applyFill="1" applyBorder="1" applyAlignment="1">
      <alignment horizontal="center" vertical="center" wrapText="1"/>
    </xf>
    <xf numFmtId="0" fontId="54" fillId="0" borderId="3" xfId="24" applyFont="1" applyFill="1" applyBorder="1" applyAlignment="1">
      <alignment horizontal="center" vertical="center"/>
    </xf>
    <xf numFmtId="0" fontId="56" fillId="0" borderId="0" xfId="47" applyFont="1" applyAlignment="1">
      <alignment horizontal="center"/>
    </xf>
    <xf numFmtId="0" fontId="39" fillId="52" borderId="3" xfId="24" applyFont="1" applyFill="1" applyBorder="1" applyAlignment="1">
      <alignment horizontal="center" vertical="center"/>
    </xf>
    <xf numFmtId="0" fontId="1" fillId="3" borderId="0" xfId="0" applyFont="1" applyFill="1" applyBorder="1" applyAlignment="1">
      <alignment horizontal="left" vertical="center" wrapText="1"/>
    </xf>
    <xf numFmtId="0" fontId="13" fillId="3" borderId="0" xfId="0" applyFont="1" applyFill="1" applyBorder="1" applyAlignment="1">
      <alignment horizontal="justify" vertical="top" wrapText="1"/>
    </xf>
    <xf numFmtId="0" fontId="0" fillId="0" borderId="3" xfId="0" applyBorder="1" applyAlignment="1">
      <alignment vertical="center" wrapText="1"/>
    </xf>
    <xf numFmtId="0" fontId="26" fillId="14" borderId="0" xfId="0" applyFont="1" applyFill="1" applyBorder="1" applyAlignment="1">
      <alignment vertical="center" wrapText="1"/>
    </xf>
    <xf numFmtId="0" fontId="29" fillId="14" borderId="0" xfId="0" applyFont="1" applyFill="1" applyBorder="1" applyAlignment="1">
      <alignment vertical="center" wrapText="1"/>
    </xf>
    <xf numFmtId="0" fontId="26" fillId="18" borderId="0" xfId="0" applyFont="1" applyFill="1" applyBorder="1" applyAlignment="1">
      <alignment vertical="center" wrapText="1"/>
    </xf>
    <xf numFmtId="0" fontId="29" fillId="18" borderId="0" xfId="0" applyFont="1" applyFill="1" applyBorder="1" applyAlignment="1">
      <alignment vertical="center" wrapText="1"/>
    </xf>
    <xf numFmtId="0" fontId="26" fillId="19" borderId="0" xfId="0" applyFont="1" applyFill="1" applyBorder="1" applyAlignment="1">
      <alignment vertical="center" wrapText="1"/>
    </xf>
    <xf numFmtId="0" fontId="29" fillId="19" borderId="0" xfId="0" applyFont="1" applyFill="1" applyBorder="1" applyAlignment="1">
      <alignment vertical="center" wrapText="1"/>
    </xf>
    <xf numFmtId="0" fontId="26" fillId="20" borderId="0" xfId="0" applyFont="1" applyFill="1" applyBorder="1" applyAlignment="1">
      <alignment horizontal="left" vertical="center" wrapText="1"/>
    </xf>
    <xf numFmtId="0" fontId="26" fillId="21" borderId="0" xfId="0" applyFont="1" applyFill="1" applyAlignment="1">
      <alignment vertical="center"/>
    </xf>
    <xf numFmtId="0" fontId="40" fillId="15" borderId="21" xfId="0" applyFont="1" applyFill="1" applyBorder="1" applyAlignment="1" applyProtection="1">
      <alignment horizontal="center" vertical="center"/>
      <protection hidden="1"/>
    </xf>
    <xf numFmtId="0" fontId="40" fillId="15" borderId="12" xfId="0" applyFont="1" applyFill="1" applyBorder="1" applyAlignment="1" applyProtection="1">
      <alignment horizontal="center" vertical="center"/>
      <protection hidden="1"/>
    </xf>
    <xf numFmtId="0" fontId="40" fillId="15" borderId="20" xfId="0" applyFont="1" applyFill="1" applyBorder="1" applyAlignment="1" applyProtection="1">
      <alignment horizontal="center" vertical="center"/>
      <protection hidden="1"/>
    </xf>
    <xf numFmtId="0" fontId="40" fillId="15" borderId="19" xfId="0" applyFont="1" applyFill="1" applyBorder="1" applyAlignment="1" applyProtection="1">
      <alignment horizontal="center" vertical="center"/>
      <protection hidden="1"/>
    </xf>
    <xf numFmtId="0" fontId="45" fillId="15" borderId="26" xfId="0" applyFont="1" applyFill="1" applyBorder="1" applyAlignment="1" applyProtection="1">
      <alignment horizontal="center" vertical="center"/>
      <protection hidden="1"/>
    </xf>
    <xf numFmtId="0" fontId="45" fillId="15" borderId="16" xfId="0" applyFont="1" applyFill="1" applyBorder="1" applyAlignment="1" applyProtection="1">
      <alignment horizontal="center" vertical="center"/>
      <protection hidden="1"/>
    </xf>
    <xf numFmtId="0" fontId="44" fillId="9" borderId="26" xfId="0" applyFont="1" applyFill="1" applyBorder="1" applyAlignment="1" applyProtection="1">
      <alignment horizontal="center" vertical="center" wrapText="1"/>
      <protection hidden="1"/>
    </xf>
    <xf numFmtId="0" fontId="44" fillId="9" borderId="31" xfId="0" applyFont="1" applyFill="1" applyBorder="1" applyAlignment="1" applyProtection="1">
      <alignment horizontal="center" vertical="center" wrapText="1"/>
      <protection hidden="1"/>
    </xf>
    <xf numFmtId="0" fontId="44" fillId="9" borderId="16" xfId="0" applyFont="1" applyFill="1" applyBorder="1" applyAlignment="1" applyProtection="1">
      <alignment horizontal="center" vertical="center" wrapText="1"/>
      <protection hidden="1"/>
    </xf>
    <xf numFmtId="0" fontId="13" fillId="24" borderId="26" xfId="0" applyFont="1" applyFill="1" applyBorder="1" applyAlignment="1" applyProtection="1">
      <alignment horizontal="center" vertical="center" wrapText="1"/>
      <protection hidden="1"/>
    </xf>
    <xf numFmtId="0" fontId="13" fillId="24" borderId="31" xfId="0" applyFont="1" applyFill="1" applyBorder="1" applyAlignment="1" applyProtection="1">
      <alignment horizontal="center" vertical="center" wrapText="1"/>
      <protection hidden="1"/>
    </xf>
    <xf numFmtId="0" fontId="13" fillId="24" borderId="16" xfId="0" applyFont="1" applyFill="1" applyBorder="1" applyAlignment="1" applyProtection="1">
      <alignment horizontal="center" vertical="center" wrapText="1"/>
      <protection hidden="1"/>
    </xf>
    <xf numFmtId="0" fontId="20" fillId="4" borderId="17" xfId="0" applyFont="1" applyFill="1" applyBorder="1" applyAlignment="1" applyProtection="1">
      <alignment horizontal="center" vertical="center" wrapText="1"/>
    </xf>
    <xf numFmtId="0" fontId="15" fillId="13" borderId="17" xfId="0" applyFont="1" applyFill="1" applyBorder="1" applyAlignment="1" applyProtection="1">
      <alignment horizontal="center" vertical="center" wrapText="1"/>
    </xf>
    <xf numFmtId="0" fontId="15" fillId="4" borderId="17" xfId="0" applyFont="1" applyFill="1" applyBorder="1" applyAlignment="1" applyProtection="1">
      <alignment horizontal="center" vertical="center" wrapText="1"/>
    </xf>
    <xf numFmtId="0" fontId="15" fillId="4" borderId="17" xfId="0" applyFont="1" applyFill="1" applyBorder="1" applyAlignment="1" applyProtection="1">
      <alignment horizontal="center" vertical="center"/>
    </xf>
    <xf numFmtId="0" fontId="6" fillId="0" borderId="9" xfId="0" applyFont="1" applyBorder="1" applyAlignment="1" applyProtection="1">
      <alignment horizontal="left" vertical="center" wrapText="1"/>
      <protection hidden="1"/>
    </xf>
    <xf numFmtId="0" fontId="6" fillId="0" borderId="22" xfId="0" applyFont="1" applyBorder="1" applyAlignment="1" applyProtection="1">
      <alignment horizontal="left" vertical="center" wrapText="1"/>
      <protection hidden="1"/>
    </xf>
    <xf numFmtId="0" fontId="6" fillId="0" borderId="10" xfId="0" applyFont="1" applyBorder="1" applyAlignment="1" applyProtection="1">
      <alignment horizontal="left" vertical="center" wrapText="1"/>
      <protection hidden="1"/>
    </xf>
    <xf numFmtId="0" fontId="20" fillId="15" borderId="26" xfId="0" applyFont="1" applyFill="1" applyBorder="1" applyAlignment="1" applyProtection="1">
      <alignment horizontal="center" vertical="center" wrapText="1"/>
      <protection locked="0"/>
    </xf>
    <xf numFmtId="0" fontId="20" fillId="15" borderId="31" xfId="0" applyFont="1" applyFill="1" applyBorder="1" applyAlignment="1" applyProtection="1">
      <alignment horizontal="center" vertical="center" wrapText="1"/>
      <protection locked="0"/>
    </xf>
    <xf numFmtId="0" fontId="20" fillId="15" borderId="16" xfId="0" applyFont="1" applyFill="1" applyBorder="1" applyAlignment="1" applyProtection="1">
      <alignment horizontal="center" vertical="center" wrapText="1"/>
      <protection locked="0"/>
    </xf>
    <xf numFmtId="0" fontId="18" fillId="0" borderId="3" xfId="0" applyFont="1" applyFill="1" applyBorder="1" applyAlignment="1" applyProtection="1">
      <alignment horizontal="left" vertical="center" wrapText="1"/>
    </xf>
    <xf numFmtId="0" fontId="14" fillId="14" borderId="3" xfId="0" applyFont="1" applyFill="1" applyBorder="1" applyAlignment="1" applyProtection="1">
      <alignment horizontal="center" vertical="center" wrapText="1"/>
    </xf>
    <xf numFmtId="0" fontId="18" fillId="0" borderId="3" xfId="0" applyFont="1" applyFill="1" applyBorder="1" applyAlignment="1">
      <alignment horizontal="left" vertical="center" wrapText="1"/>
    </xf>
    <xf numFmtId="0" fontId="32" fillId="0" borderId="27" xfId="0" applyFont="1" applyBorder="1" applyAlignment="1" applyProtection="1">
      <alignment horizontal="left" vertical="center" wrapText="1"/>
      <protection hidden="1"/>
    </xf>
    <xf numFmtId="0" fontId="32" fillId="0" borderId="28" xfId="0" applyFont="1" applyBorder="1" applyAlignment="1" applyProtection="1">
      <alignment horizontal="left" vertical="center" wrapText="1"/>
      <protection hidden="1"/>
    </xf>
    <xf numFmtId="0" fontId="32" fillId="0" borderId="4" xfId="0" applyFont="1" applyBorder="1" applyAlignment="1" applyProtection="1">
      <alignment horizontal="left" vertical="center" wrapText="1"/>
      <protection hidden="1"/>
    </xf>
    <xf numFmtId="0" fontId="13" fillId="0" borderId="0" xfId="0" applyFont="1" applyBorder="1" applyAlignment="1" applyProtection="1">
      <alignment horizontal="left"/>
    </xf>
    <xf numFmtId="0" fontId="13" fillId="0" borderId="25" xfId="0" applyFont="1" applyBorder="1" applyAlignment="1" applyProtection="1">
      <alignment horizontal="left" vertical="top" wrapText="1"/>
    </xf>
    <xf numFmtId="0" fontId="13" fillId="0" borderId="0" xfId="0" applyFont="1" applyBorder="1" applyAlignment="1" applyProtection="1">
      <alignment horizontal="left" vertical="top" wrapText="1"/>
    </xf>
    <xf numFmtId="0" fontId="18" fillId="0" borderId="27" xfId="0" applyFont="1" applyBorder="1" applyAlignment="1" applyProtection="1">
      <alignment horizontal="left" vertical="center" wrapText="1"/>
      <protection hidden="1"/>
    </xf>
    <xf numFmtId="0" fontId="18" fillId="0" borderId="28" xfId="0" applyFont="1" applyBorder="1" applyAlignment="1" applyProtection="1">
      <alignment horizontal="left" vertical="center" wrapText="1"/>
      <protection hidden="1"/>
    </xf>
    <xf numFmtId="0" fontId="18" fillId="0" borderId="4" xfId="0" applyFont="1" applyBorder="1" applyAlignment="1" applyProtection="1">
      <alignment horizontal="left" vertical="center" wrapText="1"/>
      <protection hidden="1"/>
    </xf>
    <xf numFmtId="0" fontId="18" fillId="0" borderId="27" xfId="0" applyFont="1" applyBorder="1" applyAlignment="1" applyProtection="1">
      <alignment horizontal="center" vertical="center" wrapText="1"/>
      <protection hidden="1"/>
    </xf>
    <xf numFmtId="0" fontId="18" fillId="0" borderId="28" xfId="0" applyFont="1" applyBorder="1" applyAlignment="1" applyProtection="1">
      <alignment horizontal="center" vertical="center" wrapText="1"/>
      <protection hidden="1"/>
    </xf>
    <xf numFmtId="0" fontId="18" fillId="0" borderId="4" xfId="0" applyFont="1" applyBorder="1" applyAlignment="1" applyProtection="1">
      <alignment horizontal="center" vertical="center" wrapText="1"/>
      <protection hidden="1"/>
    </xf>
    <xf numFmtId="0" fontId="14" fillId="7" borderId="1" xfId="0" applyFont="1" applyFill="1" applyBorder="1" applyAlignment="1" applyProtection="1">
      <alignment horizontal="center" vertical="center" wrapText="1"/>
    </xf>
    <xf numFmtId="0" fontId="14" fillId="7" borderId="39" xfId="0" applyFont="1" applyFill="1" applyBorder="1" applyAlignment="1" applyProtection="1">
      <alignment horizontal="center" vertical="center" wrapText="1"/>
    </xf>
    <xf numFmtId="0" fontId="15" fillId="10" borderId="21" xfId="0" applyFont="1" applyFill="1" applyBorder="1" applyAlignment="1" applyProtection="1">
      <alignment horizontal="left" vertical="center" wrapText="1"/>
    </xf>
    <xf numFmtId="0" fontId="15" fillId="10" borderId="14" xfId="0" applyFont="1" applyFill="1" applyBorder="1" applyAlignment="1" applyProtection="1">
      <alignment horizontal="left" vertical="center" wrapText="1"/>
    </xf>
    <xf numFmtId="0" fontId="13" fillId="0" borderId="3" xfId="0" applyNumberFormat="1" applyFont="1" applyFill="1" applyBorder="1" applyAlignment="1" applyProtection="1">
      <alignment horizontal="center" vertical="center"/>
    </xf>
    <xf numFmtId="0" fontId="15" fillId="4" borderId="3" xfId="0" applyFont="1" applyFill="1" applyBorder="1" applyAlignment="1" applyProtection="1">
      <alignment horizontal="center" vertical="center"/>
    </xf>
    <xf numFmtId="0" fontId="15" fillId="4" borderId="27" xfId="0" applyFont="1" applyFill="1" applyBorder="1" applyAlignment="1" applyProtection="1">
      <alignment horizontal="center" vertical="center"/>
    </xf>
    <xf numFmtId="0" fontId="15" fillId="4" borderId="28" xfId="0" applyFont="1" applyFill="1" applyBorder="1" applyAlignment="1" applyProtection="1">
      <alignment horizontal="center" vertical="center"/>
    </xf>
    <xf numFmtId="0" fontId="15" fillId="4" borderId="4" xfId="0" applyFont="1" applyFill="1" applyBorder="1" applyAlignment="1" applyProtection="1">
      <alignment horizontal="center" vertical="center"/>
    </xf>
    <xf numFmtId="0" fontId="15" fillId="7" borderId="27" xfId="0" applyFont="1" applyFill="1" applyBorder="1" applyAlignment="1" applyProtection="1">
      <alignment horizontal="center" vertical="center" wrapText="1"/>
    </xf>
    <xf numFmtId="0" fontId="15" fillId="7" borderId="28" xfId="0" applyFont="1" applyFill="1" applyBorder="1" applyAlignment="1" applyProtection="1">
      <alignment horizontal="center" vertical="center" wrapText="1"/>
    </xf>
    <xf numFmtId="0" fontId="15" fillId="7" borderId="4" xfId="0" applyFont="1" applyFill="1" applyBorder="1" applyAlignment="1" applyProtection="1">
      <alignment horizontal="center" vertical="center" wrapText="1"/>
    </xf>
    <xf numFmtId="0" fontId="14" fillId="0" borderId="27" xfId="0" applyFont="1" applyFill="1" applyBorder="1" applyAlignment="1" applyProtection="1">
      <alignment horizontal="center" vertical="center"/>
    </xf>
    <xf numFmtId="0" fontId="14" fillId="0" borderId="28" xfId="0" applyFont="1" applyFill="1" applyBorder="1" applyAlignment="1" applyProtection="1">
      <alignment horizontal="center" vertical="center"/>
    </xf>
    <xf numFmtId="0" fontId="14" fillId="0" borderId="4" xfId="0" applyFont="1" applyFill="1" applyBorder="1" applyAlignment="1" applyProtection="1">
      <alignment horizontal="center" vertical="center"/>
    </xf>
    <xf numFmtId="0" fontId="15" fillId="0" borderId="27" xfId="0" applyNumberFormat="1" applyFont="1" applyFill="1" applyBorder="1" applyAlignment="1" applyProtection="1">
      <alignment horizontal="center" vertical="center"/>
    </xf>
    <xf numFmtId="0" fontId="15" fillId="0" borderId="28" xfId="0" applyNumberFormat="1" applyFont="1" applyFill="1" applyBorder="1" applyAlignment="1" applyProtection="1">
      <alignment horizontal="center" vertical="center"/>
    </xf>
    <xf numFmtId="0" fontId="15" fillId="0" borderId="4" xfId="0" applyNumberFormat="1" applyFont="1" applyFill="1" applyBorder="1" applyAlignment="1" applyProtection="1">
      <alignment horizontal="center" vertical="center"/>
    </xf>
    <xf numFmtId="0" fontId="15" fillId="10" borderId="14" xfId="0" applyFont="1" applyFill="1" applyBorder="1" applyAlignment="1" applyProtection="1">
      <alignment horizontal="center" vertical="center" wrapText="1"/>
    </xf>
    <xf numFmtId="0" fontId="15" fillId="10" borderId="36" xfId="0" applyFont="1" applyFill="1" applyBorder="1" applyAlignment="1" applyProtection="1">
      <alignment horizontal="center" vertical="center" wrapText="1"/>
    </xf>
    <xf numFmtId="0" fontId="46" fillId="46" borderId="17" xfId="0" applyFont="1" applyFill="1" applyBorder="1" applyAlignment="1">
      <alignment horizontal="center" vertical="center" wrapText="1"/>
    </xf>
    <xf numFmtId="0" fontId="46" fillId="10" borderId="17" xfId="0" applyFont="1" applyFill="1" applyBorder="1" applyAlignment="1">
      <alignment horizontal="center" vertical="center" wrapText="1"/>
    </xf>
    <xf numFmtId="0" fontId="46" fillId="44" borderId="17" xfId="0" applyFont="1" applyFill="1" applyBorder="1" applyAlignment="1">
      <alignment horizontal="center" vertical="center" wrapText="1"/>
    </xf>
    <xf numFmtId="0" fontId="46" fillId="43" borderId="17" xfId="0" applyFont="1" applyFill="1" applyBorder="1" applyAlignment="1">
      <alignment horizontal="center" vertical="center" wrapText="1"/>
    </xf>
    <xf numFmtId="0" fontId="46" fillId="22" borderId="17" xfId="0" applyFont="1" applyFill="1" applyBorder="1" applyAlignment="1">
      <alignment horizontal="center" vertical="center" wrapText="1"/>
    </xf>
    <xf numFmtId="0" fontId="46" fillId="30" borderId="17" xfId="0" applyFont="1" applyFill="1" applyBorder="1" applyAlignment="1">
      <alignment horizontal="center" vertical="center" wrapText="1"/>
    </xf>
    <xf numFmtId="0" fontId="46" fillId="28" borderId="17" xfId="0" applyFont="1" applyFill="1" applyBorder="1" applyAlignment="1">
      <alignment horizontal="center" vertical="center" wrapText="1"/>
    </xf>
    <xf numFmtId="0" fontId="46" fillId="26" borderId="17" xfId="0" applyFont="1" applyFill="1" applyBorder="1" applyAlignment="1">
      <alignment horizontal="center" vertical="center" wrapText="1"/>
    </xf>
    <xf numFmtId="0" fontId="46" fillId="5" borderId="17" xfId="0" applyFont="1" applyFill="1" applyBorder="1" applyAlignment="1">
      <alignment horizontal="center" vertical="center" wrapText="1"/>
    </xf>
    <xf numFmtId="0" fontId="47" fillId="41" borderId="17" xfId="0" applyFont="1" applyFill="1" applyBorder="1" applyAlignment="1">
      <alignment horizontal="center" vertical="center" wrapText="1"/>
    </xf>
    <xf numFmtId="0" fontId="47" fillId="17" borderId="17" xfId="0" applyFont="1" applyFill="1" applyBorder="1" applyAlignment="1">
      <alignment horizontal="center" vertical="center" wrapText="1"/>
    </xf>
    <xf numFmtId="0" fontId="46" fillId="15" borderId="17" xfId="0" applyFont="1" applyFill="1" applyBorder="1" applyAlignment="1">
      <alignment horizontal="center" vertical="center" wrapText="1"/>
    </xf>
    <xf numFmtId="0" fontId="46" fillId="42" borderId="17" xfId="0" applyFont="1" applyFill="1" applyBorder="1" applyAlignment="1">
      <alignment horizontal="center" vertical="center" wrapText="1"/>
    </xf>
    <xf numFmtId="0" fontId="46" fillId="39" borderId="17" xfId="0" applyFont="1" applyFill="1" applyBorder="1" applyAlignment="1">
      <alignment horizontal="center" vertical="center" wrapText="1"/>
    </xf>
    <xf numFmtId="0" fontId="46" fillId="40" borderId="17" xfId="0" applyFont="1" applyFill="1" applyBorder="1" applyAlignment="1">
      <alignment horizontal="center" vertical="center" wrapText="1"/>
    </xf>
    <xf numFmtId="0" fontId="46" fillId="25" borderId="17" xfId="0" applyFont="1" applyFill="1" applyBorder="1" applyAlignment="1">
      <alignment horizontal="center" vertical="center" wrapText="1"/>
    </xf>
    <xf numFmtId="0" fontId="46" fillId="13" borderId="17" xfId="0" applyFont="1" applyFill="1" applyBorder="1" applyAlignment="1">
      <alignment horizontal="center" vertical="center" wrapText="1"/>
    </xf>
    <xf numFmtId="0" fontId="46" fillId="23" borderId="17" xfId="0" applyFont="1" applyFill="1" applyBorder="1" applyAlignment="1">
      <alignment horizontal="center" vertical="center" wrapText="1"/>
    </xf>
    <xf numFmtId="0" fontId="46" fillId="16" borderId="17" xfId="0" applyFont="1" applyFill="1" applyBorder="1" applyAlignment="1">
      <alignment horizontal="center" vertical="center" wrapText="1"/>
    </xf>
    <xf numFmtId="0" fontId="47" fillId="36" borderId="17" xfId="0" applyFont="1" applyFill="1" applyBorder="1" applyAlignment="1">
      <alignment horizontal="center" vertical="center" wrapText="1"/>
    </xf>
    <xf numFmtId="0" fontId="46" fillId="37" borderId="17" xfId="0" applyFont="1" applyFill="1" applyBorder="1" applyAlignment="1">
      <alignment horizontal="center" vertical="center" wrapText="1"/>
    </xf>
    <xf numFmtId="0" fontId="46" fillId="38" borderId="17" xfId="0" applyFont="1" applyFill="1" applyBorder="1" applyAlignment="1">
      <alignment horizontal="center" vertical="center" wrapText="1"/>
    </xf>
    <xf numFmtId="0" fontId="46" fillId="35" borderId="17" xfId="0" applyFont="1" applyFill="1" applyBorder="1" applyAlignment="1">
      <alignment horizontal="center" vertical="center" wrapText="1"/>
    </xf>
    <xf numFmtId="0" fontId="46" fillId="29" borderId="17" xfId="0" applyFont="1" applyFill="1" applyBorder="1" applyAlignment="1">
      <alignment horizontal="center" vertical="center" wrapText="1"/>
    </xf>
    <xf numFmtId="0" fontId="46" fillId="27" borderId="17" xfId="0" applyFont="1" applyFill="1" applyBorder="1" applyAlignment="1">
      <alignment horizontal="center" vertical="center" wrapText="1"/>
    </xf>
    <xf numFmtId="0" fontId="46" fillId="24" borderId="17" xfId="0" applyFont="1" applyFill="1" applyBorder="1" applyAlignment="1">
      <alignment horizontal="center" vertical="center" wrapText="1"/>
    </xf>
    <xf numFmtId="0" fontId="46" fillId="9" borderId="17" xfId="0" applyFont="1" applyFill="1" applyBorder="1" applyAlignment="1">
      <alignment horizontal="center" vertical="center" wrapText="1"/>
    </xf>
    <xf numFmtId="0" fontId="14" fillId="22" borderId="49" xfId="0" applyFont="1" applyFill="1" applyBorder="1" applyAlignment="1">
      <alignment horizontal="center" vertical="center" textRotation="90" wrapText="1"/>
    </xf>
    <xf numFmtId="0" fontId="14" fillId="22" borderId="51" xfId="0" applyFont="1" applyFill="1" applyBorder="1" applyAlignment="1">
      <alignment horizontal="center" vertical="center" textRotation="90" wrapText="1"/>
    </xf>
    <xf numFmtId="0" fontId="14" fillId="22" borderId="47" xfId="0" applyFont="1" applyFill="1" applyBorder="1" applyAlignment="1">
      <alignment horizontal="center" vertical="center" textRotation="90" wrapText="1"/>
    </xf>
    <xf numFmtId="0" fontId="13" fillId="0" borderId="34" xfId="0" applyFont="1" applyFill="1" applyBorder="1" applyAlignment="1">
      <alignment horizontal="left" vertical="center" wrapText="1"/>
    </xf>
    <xf numFmtId="0" fontId="13" fillId="0" borderId="43" xfId="0" applyFont="1" applyFill="1" applyBorder="1" applyAlignment="1">
      <alignment horizontal="left" vertical="center" wrapText="1"/>
    </xf>
    <xf numFmtId="164" fontId="14" fillId="2" borderId="18" xfId="0" applyNumberFormat="1" applyFont="1" applyFill="1" applyBorder="1" applyAlignment="1" applyProtection="1">
      <alignment horizontal="center" vertical="center"/>
    </xf>
    <xf numFmtId="164" fontId="14" fillId="2" borderId="1" xfId="0" applyNumberFormat="1" applyFont="1" applyFill="1" applyBorder="1" applyAlignment="1" applyProtection="1">
      <alignment horizontal="center" vertical="center"/>
    </xf>
    <xf numFmtId="164" fontId="14" fillId="2" borderId="2" xfId="0" applyNumberFormat="1" applyFont="1" applyFill="1" applyBorder="1" applyAlignment="1" applyProtection="1">
      <alignment horizontal="center" vertical="center"/>
    </xf>
    <xf numFmtId="0" fontId="26" fillId="6" borderId="18" xfId="0" applyFont="1" applyFill="1" applyBorder="1" applyAlignment="1">
      <alignment horizontal="center" vertical="center"/>
    </xf>
    <xf numFmtId="0" fontId="26" fillId="6" borderId="2" xfId="0" applyFont="1" applyFill="1" applyBorder="1" applyAlignment="1">
      <alignment horizontal="center" vertical="center"/>
    </xf>
    <xf numFmtId="0" fontId="15" fillId="7" borderId="18" xfId="0" applyFont="1" applyFill="1" applyBorder="1" applyAlignment="1">
      <alignment horizontal="center" vertical="center" wrapText="1"/>
    </xf>
    <xf numFmtId="0" fontId="15" fillId="7" borderId="2" xfId="0" applyFont="1" applyFill="1" applyBorder="1" applyAlignment="1">
      <alignment horizontal="center" vertical="center" wrapText="1"/>
    </xf>
    <xf numFmtId="0" fontId="15" fillId="7" borderId="15" xfId="0" applyFont="1" applyFill="1" applyBorder="1" applyAlignment="1">
      <alignment horizontal="center" vertical="center"/>
    </xf>
    <xf numFmtId="0" fontId="15" fillId="7" borderId="44" xfId="0" applyFont="1" applyFill="1" applyBorder="1" applyAlignment="1">
      <alignment horizontal="center" vertical="center"/>
    </xf>
    <xf numFmtId="0" fontId="15" fillId="7" borderId="9" xfId="0" applyFont="1" applyFill="1" applyBorder="1" applyAlignment="1">
      <alignment horizontal="center" vertical="center" wrapText="1"/>
    </xf>
    <xf numFmtId="0" fontId="15" fillId="7" borderId="22" xfId="0" applyFont="1" applyFill="1" applyBorder="1" applyAlignment="1">
      <alignment horizontal="center" vertical="center" wrapText="1"/>
    </xf>
    <xf numFmtId="0" fontId="15" fillId="7" borderId="10" xfId="0" applyFont="1" applyFill="1" applyBorder="1" applyAlignment="1">
      <alignment horizontal="center" vertical="center" wrapText="1"/>
    </xf>
    <xf numFmtId="0" fontId="13" fillId="0" borderId="50" xfId="0" applyFont="1" applyFill="1" applyBorder="1" applyAlignment="1">
      <alignment horizontal="left" vertical="center" wrapText="1"/>
    </xf>
    <xf numFmtId="0" fontId="13" fillId="0" borderId="5" xfId="0" applyFont="1" applyFill="1" applyBorder="1" applyAlignment="1">
      <alignment horizontal="left" vertical="center" wrapText="1"/>
    </xf>
    <xf numFmtId="0" fontId="26" fillId="6" borderId="14" xfId="0" applyFont="1" applyFill="1" applyBorder="1" applyAlignment="1">
      <alignment horizontal="center" vertical="center"/>
    </xf>
    <xf numFmtId="0" fontId="26" fillId="6" borderId="0" xfId="0" applyFont="1" applyFill="1" applyBorder="1" applyAlignment="1">
      <alignment horizontal="center" vertical="center"/>
    </xf>
    <xf numFmtId="0" fontId="46" fillId="0" borderId="17" xfId="0" applyFont="1" applyBorder="1" applyAlignment="1">
      <alignment horizontal="center" vertical="center" wrapText="1"/>
    </xf>
    <xf numFmtId="0" fontId="46" fillId="0" borderId="9" xfId="0" applyFont="1" applyBorder="1" applyAlignment="1">
      <alignment horizontal="center" vertical="center" wrapText="1"/>
    </xf>
    <xf numFmtId="0" fontId="46" fillId="32" borderId="17" xfId="0" applyFont="1" applyFill="1" applyBorder="1" applyAlignment="1">
      <alignment horizontal="center" vertical="center" wrapText="1"/>
    </xf>
    <xf numFmtId="0" fontId="47" fillId="31" borderId="17" xfId="0" applyFont="1" applyFill="1" applyBorder="1" applyAlignment="1">
      <alignment horizontal="center" vertical="center" wrapText="1"/>
    </xf>
    <xf numFmtId="0" fontId="46" fillId="33" borderId="17" xfId="0" applyFont="1" applyFill="1" applyBorder="1" applyAlignment="1">
      <alignment horizontal="center" vertical="center" wrapText="1"/>
    </xf>
    <xf numFmtId="0" fontId="46" fillId="34" borderId="17" xfId="0" applyFont="1" applyFill="1" applyBorder="1" applyAlignment="1">
      <alignment horizontal="center" vertical="center" wrapText="1"/>
    </xf>
  </cellXfs>
  <cellStyles count="91">
    <cellStyle name="Currency 2" xfId="1" xr:uid="{00000000-0005-0000-0000-000000000000}"/>
    <cellStyle name="Hipervínculo" xfId="2" builtinId="8"/>
    <cellStyle name="Hyperlink 2" xfId="3" xr:uid="{00000000-0005-0000-0000-000002000000}"/>
    <cellStyle name="Incorrecto" xfId="88" builtinId="27"/>
    <cellStyle name="Moneda 2" xfId="4" xr:uid="{00000000-0005-0000-0000-000004000000}"/>
    <cellStyle name="Normal" xfId="0" builtinId="0"/>
    <cellStyle name="Normal 10" xfId="5" xr:uid="{00000000-0005-0000-0000-000006000000}"/>
    <cellStyle name="Normal 11" xfId="6" xr:uid="{00000000-0005-0000-0000-000007000000}"/>
    <cellStyle name="Normal 11 2" xfId="7" xr:uid="{00000000-0005-0000-0000-000008000000}"/>
    <cellStyle name="Normal 11 2 2" xfId="8" xr:uid="{00000000-0005-0000-0000-000009000000}"/>
    <cellStyle name="Normal 11 3" xfId="9" xr:uid="{00000000-0005-0000-0000-00000A000000}"/>
    <cellStyle name="Normal 12" xfId="10" xr:uid="{00000000-0005-0000-0000-00000B000000}"/>
    <cellStyle name="Normal 13" xfId="11" xr:uid="{00000000-0005-0000-0000-00000C000000}"/>
    <cellStyle name="Normal 13 2" xfId="12" xr:uid="{00000000-0005-0000-0000-00000D000000}"/>
    <cellStyle name="Normal 14" xfId="13" xr:uid="{00000000-0005-0000-0000-00000E000000}"/>
    <cellStyle name="Normal 14 2" xfId="14" xr:uid="{00000000-0005-0000-0000-00000F000000}"/>
    <cellStyle name="Normal 15" xfId="15" xr:uid="{00000000-0005-0000-0000-000010000000}"/>
    <cellStyle name="Normal 15 2" xfId="16" xr:uid="{00000000-0005-0000-0000-000011000000}"/>
    <cellStyle name="Normal 16" xfId="17" xr:uid="{00000000-0005-0000-0000-000012000000}"/>
    <cellStyle name="Normal 17" xfId="18" xr:uid="{00000000-0005-0000-0000-000013000000}"/>
    <cellStyle name="Normal 17 2" xfId="19" xr:uid="{00000000-0005-0000-0000-000014000000}"/>
    <cellStyle name="Normal 18" xfId="20" xr:uid="{00000000-0005-0000-0000-000015000000}"/>
    <cellStyle name="Normal 18 2" xfId="21" xr:uid="{00000000-0005-0000-0000-000016000000}"/>
    <cellStyle name="Normal 19" xfId="22" xr:uid="{00000000-0005-0000-0000-000017000000}"/>
    <cellStyle name="Normal 19 2" xfId="23" xr:uid="{00000000-0005-0000-0000-000018000000}"/>
    <cellStyle name="Normal 2" xfId="24" xr:uid="{00000000-0005-0000-0000-000019000000}"/>
    <cellStyle name="Normal 2 2" xfId="25" xr:uid="{00000000-0005-0000-0000-00001A000000}"/>
    <cellStyle name="Normal 20" xfId="26" xr:uid="{00000000-0005-0000-0000-00001B000000}"/>
    <cellStyle name="Normal 20 2" xfId="27" xr:uid="{00000000-0005-0000-0000-00001C000000}"/>
    <cellStyle name="Normal 21" xfId="28" xr:uid="{00000000-0005-0000-0000-00001D000000}"/>
    <cellStyle name="Normal 21 2" xfId="29" xr:uid="{00000000-0005-0000-0000-00001E000000}"/>
    <cellStyle name="Normal 22" xfId="30" xr:uid="{00000000-0005-0000-0000-00001F000000}"/>
    <cellStyle name="Normal 22 2" xfId="31" xr:uid="{00000000-0005-0000-0000-000020000000}"/>
    <cellStyle name="Normal 23" xfId="32" xr:uid="{00000000-0005-0000-0000-000021000000}"/>
    <cellStyle name="Normal 23 2" xfId="33" xr:uid="{00000000-0005-0000-0000-000022000000}"/>
    <cellStyle name="Normal 24" xfId="34" xr:uid="{00000000-0005-0000-0000-000023000000}"/>
    <cellStyle name="Normal 24 2" xfId="35" xr:uid="{00000000-0005-0000-0000-000024000000}"/>
    <cellStyle name="Normal 25" xfId="36" xr:uid="{00000000-0005-0000-0000-000025000000}"/>
    <cellStyle name="Normal 25 2" xfId="37" xr:uid="{00000000-0005-0000-0000-000026000000}"/>
    <cellStyle name="Normal 26" xfId="38" xr:uid="{00000000-0005-0000-0000-000027000000}"/>
    <cellStyle name="Normal 26 2" xfId="39" xr:uid="{00000000-0005-0000-0000-000028000000}"/>
    <cellStyle name="Normal 27" xfId="40" xr:uid="{00000000-0005-0000-0000-000029000000}"/>
    <cellStyle name="Normal 27 2" xfId="41" xr:uid="{00000000-0005-0000-0000-00002A000000}"/>
    <cellStyle name="Normal 28" xfId="42" xr:uid="{00000000-0005-0000-0000-00002B000000}"/>
    <cellStyle name="Normal 28 2" xfId="43" xr:uid="{00000000-0005-0000-0000-00002C000000}"/>
    <cellStyle name="Normal 28 3" xfId="44" xr:uid="{00000000-0005-0000-0000-00002D000000}"/>
    <cellStyle name="Normal 29" xfId="45" xr:uid="{00000000-0005-0000-0000-00002E000000}"/>
    <cellStyle name="Normal 29 2" xfId="46" xr:uid="{00000000-0005-0000-0000-00002F000000}"/>
    <cellStyle name="Normal 3" xfId="47" xr:uid="{00000000-0005-0000-0000-000030000000}"/>
    <cellStyle name="Normal 3 2" xfId="48" xr:uid="{00000000-0005-0000-0000-000031000000}"/>
    <cellStyle name="Normal 30" xfId="49" xr:uid="{00000000-0005-0000-0000-000032000000}"/>
    <cellStyle name="Normal 30 2" xfId="50" xr:uid="{00000000-0005-0000-0000-000033000000}"/>
    <cellStyle name="Normal 31" xfId="51" xr:uid="{00000000-0005-0000-0000-000034000000}"/>
    <cellStyle name="Normal 31 2" xfId="52" xr:uid="{00000000-0005-0000-0000-000035000000}"/>
    <cellStyle name="Normal 31 3" xfId="53" xr:uid="{00000000-0005-0000-0000-000036000000}"/>
    <cellStyle name="Normal 32" xfId="54" xr:uid="{00000000-0005-0000-0000-000037000000}"/>
    <cellStyle name="Normal 32 2" xfId="55" xr:uid="{00000000-0005-0000-0000-000038000000}"/>
    <cellStyle name="Normal 33" xfId="56" xr:uid="{00000000-0005-0000-0000-000039000000}"/>
    <cellStyle name="Normal 33 2" xfId="57" xr:uid="{00000000-0005-0000-0000-00003A000000}"/>
    <cellStyle name="Normal 34" xfId="58" xr:uid="{00000000-0005-0000-0000-00003B000000}"/>
    <cellStyle name="Normal 34 2" xfId="59" xr:uid="{00000000-0005-0000-0000-00003C000000}"/>
    <cellStyle name="Normal 35" xfId="60" xr:uid="{00000000-0005-0000-0000-00003D000000}"/>
    <cellStyle name="Normal 35 2" xfId="61" xr:uid="{00000000-0005-0000-0000-00003E000000}"/>
    <cellStyle name="Normal 36" xfId="62" xr:uid="{00000000-0005-0000-0000-00003F000000}"/>
    <cellStyle name="Normal 36 2" xfId="63" xr:uid="{00000000-0005-0000-0000-000040000000}"/>
    <cellStyle name="Normal 37" xfId="64" xr:uid="{00000000-0005-0000-0000-000041000000}"/>
    <cellStyle name="Normal 37 2" xfId="65" xr:uid="{00000000-0005-0000-0000-000042000000}"/>
    <cellStyle name="Normal 38" xfId="66" xr:uid="{00000000-0005-0000-0000-000043000000}"/>
    <cellStyle name="Normal 38 5" xfId="67" xr:uid="{00000000-0005-0000-0000-000044000000}"/>
    <cellStyle name="Normal 39" xfId="68" xr:uid="{00000000-0005-0000-0000-000045000000}"/>
    <cellStyle name="Normal 39 2" xfId="69" xr:uid="{00000000-0005-0000-0000-000046000000}"/>
    <cellStyle name="Normal 4" xfId="70" xr:uid="{00000000-0005-0000-0000-000047000000}"/>
    <cellStyle name="Normal 4 2" xfId="71" xr:uid="{00000000-0005-0000-0000-000048000000}"/>
    <cellStyle name="Normal 40" xfId="72" xr:uid="{00000000-0005-0000-0000-000049000000}"/>
    <cellStyle name="Normal 40 2" xfId="73" xr:uid="{00000000-0005-0000-0000-00004A000000}"/>
    <cellStyle name="Normal 41" xfId="74" xr:uid="{00000000-0005-0000-0000-00004B000000}"/>
    <cellStyle name="Normal 42" xfId="75" xr:uid="{00000000-0005-0000-0000-00004C000000}"/>
    <cellStyle name="Normal 42 2" xfId="76" xr:uid="{00000000-0005-0000-0000-00004D000000}"/>
    <cellStyle name="Normal 42 2 2" xfId="77" xr:uid="{00000000-0005-0000-0000-00004E000000}"/>
    <cellStyle name="Normal 5" xfId="78" xr:uid="{00000000-0005-0000-0000-00004F000000}"/>
    <cellStyle name="Normal 5 2" xfId="79" xr:uid="{00000000-0005-0000-0000-000050000000}"/>
    <cellStyle name="Normal 6" xfId="80" xr:uid="{00000000-0005-0000-0000-000051000000}"/>
    <cellStyle name="Normal 6 2" xfId="81" xr:uid="{00000000-0005-0000-0000-000052000000}"/>
    <cellStyle name="Normal 7" xfId="82" xr:uid="{00000000-0005-0000-0000-000053000000}"/>
    <cellStyle name="Normal 7 2" xfId="83" xr:uid="{00000000-0005-0000-0000-000054000000}"/>
    <cellStyle name="Normal 8" xfId="84" xr:uid="{00000000-0005-0000-0000-000055000000}"/>
    <cellStyle name="Normal 8 2" xfId="85" xr:uid="{00000000-0005-0000-0000-000056000000}"/>
    <cellStyle name="Normal 9" xfId="86" xr:uid="{00000000-0005-0000-0000-000057000000}"/>
    <cellStyle name="Normal 9 2" xfId="87" xr:uid="{00000000-0005-0000-0000-000058000000}"/>
    <cellStyle name="Normal_Hoja1" xfId="89" xr:uid="{00000000-0005-0000-0000-000059000000}"/>
    <cellStyle name="Normal_Sheet1" xfId="90" xr:uid="{00000000-0005-0000-0000-00005A000000}"/>
  </cellStyles>
  <dxfs count="0"/>
  <tableStyles count="0" defaultTableStyle="TableStyleMedium2" defaultPivotStyle="PivotStyleLight16"/>
  <colors>
    <mruColors>
      <color rgb="FFFFFF5B"/>
      <color rgb="FFFFCC66"/>
      <color rgb="FFFF3B3B"/>
      <color rgb="FFF78629"/>
      <color rgb="FF00E668"/>
      <color rgb="FFFF9E6D"/>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114300</xdr:colOff>
      <xdr:row>0</xdr:row>
      <xdr:rowOff>61993</xdr:rowOff>
    </xdr:from>
    <xdr:to>
      <xdr:col>2</xdr:col>
      <xdr:colOff>990600</xdr:colOff>
      <xdr:row>6</xdr:row>
      <xdr:rowOff>118981</xdr:rowOff>
    </xdr:to>
    <xdr:pic>
      <xdr:nvPicPr>
        <xdr:cNvPr id="2" name="Picture 1">
          <a:extLst>
            <a:ext uri="{FF2B5EF4-FFF2-40B4-BE49-F238E27FC236}">
              <a16:creationId xmlns:a16="http://schemas.microsoft.com/office/drawing/2014/main" id="{00000000-0008-0000-00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38175" y="61993"/>
          <a:ext cx="1981200" cy="1028538"/>
        </a:xfrm>
        <a:prstGeom prst="rect">
          <a:avLst/>
        </a:prstGeom>
        <a:noFill/>
        <a:ln w="9525">
          <a:noFill/>
          <a:miter lim="800000"/>
          <a:headEnd/>
          <a:tailEnd/>
        </a:ln>
      </xdr:spPr>
    </xdr:pic>
    <xdr:clientData/>
  </xdr:twoCellAnchor>
  <xdr:twoCellAnchor editAs="oneCell">
    <xdr:from>
      <xdr:col>8</xdr:col>
      <xdr:colOff>38100</xdr:colOff>
      <xdr:row>1</xdr:row>
      <xdr:rowOff>104775</xdr:rowOff>
    </xdr:from>
    <xdr:to>
      <xdr:col>10</xdr:col>
      <xdr:colOff>532806</xdr:colOff>
      <xdr:row>4</xdr:row>
      <xdr:rowOff>152400</xdr:rowOff>
    </xdr:to>
    <xdr:pic>
      <xdr:nvPicPr>
        <xdr:cNvPr id="3" name="2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43575" y="266700"/>
          <a:ext cx="2018706"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366991</xdr:colOff>
      <xdr:row>14</xdr:row>
      <xdr:rowOff>75639</xdr:rowOff>
    </xdr:from>
    <xdr:to>
      <xdr:col>3</xdr:col>
      <xdr:colOff>1776692</xdr:colOff>
      <xdr:row>15</xdr:row>
      <xdr:rowOff>224117</xdr:rowOff>
    </xdr:to>
    <xdr:sp macro="[0]!filtrado" textlink="">
      <xdr:nvSpPr>
        <xdr:cNvPr id="2" name="Bevel 1">
          <a:extLst>
            <a:ext uri="{FF2B5EF4-FFF2-40B4-BE49-F238E27FC236}">
              <a16:creationId xmlns:a16="http://schemas.microsoft.com/office/drawing/2014/main" id="{00000000-0008-0000-0200-000002000000}"/>
            </a:ext>
          </a:extLst>
        </xdr:cNvPr>
        <xdr:cNvSpPr/>
      </xdr:nvSpPr>
      <xdr:spPr>
        <a:xfrm>
          <a:off x="8917079" y="5465668"/>
          <a:ext cx="1409701" cy="395008"/>
        </a:xfrm>
        <a:prstGeom prst="bevel">
          <a:avLst/>
        </a:prstGeom>
        <a:gradFill>
          <a:gsLst>
            <a:gs pos="0">
              <a:srgbClr val="8488C4"/>
            </a:gs>
            <a:gs pos="53000">
              <a:srgbClr val="D4DEFF"/>
            </a:gs>
            <a:gs pos="83000">
              <a:srgbClr val="D4DEFF"/>
            </a:gs>
            <a:gs pos="100000">
              <a:srgbClr val="96AB94"/>
            </a:gs>
          </a:gsLst>
          <a:lin ang="5400000" scaled="0"/>
        </a:gradFill>
        <a:ln>
          <a:solidFill>
            <a:schemeClr val="bg1">
              <a:lumMod val="5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s-MX" sz="1100"/>
            <a:t>Limpiar  búsqueda</a:t>
          </a:r>
        </a:p>
      </xdr:txBody>
    </xdr:sp>
    <xdr:clientData/>
  </xdr:twoCellAnchor>
  <xdr:twoCellAnchor>
    <xdr:from>
      <xdr:col>3</xdr:col>
      <xdr:colOff>378197</xdr:colOff>
      <xdr:row>16</xdr:row>
      <xdr:rowOff>86845</xdr:rowOff>
    </xdr:from>
    <xdr:to>
      <xdr:col>3</xdr:col>
      <xdr:colOff>1787898</xdr:colOff>
      <xdr:row>17</xdr:row>
      <xdr:rowOff>235323</xdr:rowOff>
    </xdr:to>
    <xdr:sp macro="[0]!buscar" textlink="">
      <xdr:nvSpPr>
        <xdr:cNvPr id="3" name="Bevel 1">
          <a:extLst>
            <a:ext uri="{FF2B5EF4-FFF2-40B4-BE49-F238E27FC236}">
              <a16:creationId xmlns:a16="http://schemas.microsoft.com/office/drawing/2014/main" id="{00000000-0008-0000-0200-000003000000}"/>
            </a:ext>
          </a:extLst>
        </xdr:cNvPr>
        <xdr:cNvSpPr/>
      </xdr:nvSpPr>
      <xdr:spPr>
        <a:xfrm>
          <a:off x="8928285" y="5969933"/>
          <a:ext cx="1409701" cy="395008"/>
        </a:xfrm>
        <a:prstGeom prst="bevel">
          <a:avLst/>
        </a:prstGeom>
        <a:gradFill>
          <a:gsLst>
            <a:gs pos="0">
              <a:srgbClr val="8488C4"/>
            </a:gs>
            <a:gs pos="53000">
              <a:srgbClr val="D4DEFF"/>
            </a:gs>
            <a:gs pos="83000">
              <a:srgbClr val="D4DEFF"/>
            </a:gs>
            <a:gs pos="100000">
              <a:srgbClr val="96AB94"/>
            </a:gs>
          </a:gsLst>
          <a:lin ang="5400000" scaled="0"/>
        </a:gradFill>
        <a:ln>
          <a:solidFill>
            <a:schemeClr val="bg1">
              <a:lumMod val="5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s-MX" sz="1100"/>
            <a:t>Realizar  búsqueda</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49</xdr:col>
      <xdr:colOff>0</xdr:colOff>
      <xdr:row>8</xdr:row>
      <xdr:rowOff>0</xdr:rowOff>
    </xdr:from>
    <xdr:to>
      <xdr:col>49</xdr:col>
      <xdr:colOff>76200</xdr:colOff>
      <xdr:row>10</xdr:row>
      <xdr:rowOff>361389</xdr:rowOff>
    </xdr:to>
    <xdr:sp macro="" textlink="">
      <xdr:nvSpPr>
        <xdr:cNvPr id="2" name="Text Box 75">
          <a:extLst>
            <a:ext uri="{FF2B5EF4-FFF2-40B4-BE49-F238E27FC236}">
              <a16:creationId xmlns:a16="http://schemas.microsoft.com/office/drawing/2014/main" id="{00000000-0008-0000-0700-000002000000}"/>
            </a:ext>
          </a:extLst>
        </xdr:cNvPr>
        <xdr:cNvSpPr txBox="1">
          <a:spLocks noChangeArrowheads="1"/>
        </xdr:cNvSpPr>
      </xdr:nvSpPr>
      <xdr:spPr bwMode="auto">
        <a:xfrm>
          <a:off x="7581900" y="69780150"/>
          <a:ext cx="76200" cy="19642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77</xdr:row>
      <xdr:rowOff>3295650</xdr:rowOff>
    </xdr:from>
    <xdr:to>
      <xdr:col>51</xdr:col>
      <xdr:colOff>85725</xdr:colOff>
      <xdr:row>78</xdr:row>
      <xdr:rowOff>187055</xdr:rowOff>
    </xdr:to>
    <xdr:sp macro="" textlink="">
      <xdr:nvSpPr>
        <xdr:cNvPr id="5" name="Text Box 75">
          <a:extLst>
            <a:ext uri="{FF2B5EF4-FFF2-40B4-BE49-F238E27FC236}">
              <a16:creationId xmlns:a16="http://schemas.microsoft.com/office/drawing/2014/main" id="{00000000-0008-0000-0700-000005000000}"/>
            </a:ext>
          </a:extLst>
        </xdr:cNvPr>
        <xdr:cNvSpPr txBox="1">
          <a:spLocks noChangeArrowheads="1"/>
        </xdr:cNvSpPr>
      </xdr:nvSpPr>
      <xdr:spPr bwMode="auto">
        <a:xfrm>
          <a:off x="7543800" y="72170925"/>
          <a:ext cx="857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193145</xdr:rowOff>
    </xdr:to>
    <xdr:sp macro="" textlink="">
      <xdr:nvSpPr>
        <xdr:cNvPr id="12" name="Text Box 75">
          <a:extLst>
            <a:ext uri="{FF2B5EF4-FFF2-40B4-BE49-F238E27FC236}">
              <a16:creationId xmlns:a16="http://schemas.microsoft.com/office/drawing/2014/main" id="{00000000-0008-0000-0700-00000C000000}"/>
            </a:ext>
          </a:extLst>
        </xdr:cNvPr>
        <xdr:cNvSpPr txBox="1">
          <a:spLocks noChangeArrowheads="1"/>
        </xdr:cNvSpPr>
      </xdr:nvSpPr>
      <xdr:spPr bwMode="auto">
        <a:xfrm>
          <a:off x="7543800" y="75857100"/>
          <a:ext cx="85725" cy="3349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193145</xdr:rowOff>
    </xdr:to>
    <xdr:sp macro="" textlink="">
      <xdr:nvSpPr>
        <xdr:cNvPr id="13" name="Text Box 75">
          <a:extLst>
            <a:ext uri="{FF2B5EF4-FFF2-40B4-BE49-F238E27FC236}">
              <a16:creationId xmlns:a16="http://schemas.microsoft.com/office/drawing/2014/main" id="{00000000-0008-0000-0700-00000D000000}"/>
            </a:ext>
          </a:extLst>
        </xdr:cNvPr>
        <xdr:cNvSpPr txBox="1">
          <a:spLocks noChangeArrowheads="1"/>
        </xdr:cNvSpPr>
      </xdr:nvSpPr>
      <xdr:spPr bwMode="auto">
        <a:xfrm>
          <a:off x="7543800" y="75857100"/>
          <a:ext cx="85725" cy="3349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14" name="Text Box 75">
          <a:extLst>
            <a:ext uri="{FF2B5EF4-FFF2-40B4-BE49-F238E27FC236}">
              <a16:creationId xmlns:a16="http://schemas.microsoft.com/office/drawing/2014/main" id="{00000000-0008-0000-0700-00000E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15" name="Text Box 75">
          <a:extLst>
            <a:ext uri="{FF2B5EF4-FFF2-40B4-BE49-F238E27FC236}">
              <a16:creationId xmlns:a16="http://schemas.microsoft.com/office/drawing/2014/main" id="{00000000-0008-0000-0700-00000F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16" name="Text Box 75">
          <a:extLst>
            <a:ext uri="{FF2B5EF4-FFF2-40B4-BE49-F238E27FC236}">
              <a16:creationId xmlns:a16="http://schemas.microsoft.com/office/drawing/2014/main" id="{00000000-0008-0000-0700-000010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17" name="Text Box 75">
          <a:extLst>
            <a:ext uri="{FF2B5EF4-FFF2-40B4-BE49-F238E27FC236}">
              <a16:creationId xmlns:a16="http://schemas.microsoft.com/office/drawing/2014/main" id="{00000000-0008-0000-0700-000011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18" name="Text Box 75">
          <a:extLst>
            <a:ext uri="{FF2B5EF4-FFF2-40B4-BE49-F238E27FC236}">
              <a16:creationId xmlns:a16="http://schemas.microsoft.com/office/drawing/2014/main" id="{00000000-0008-0000-0700-000012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19" name="Text Box 75">
          <a:extLst>
            <a:ext uri="{FF2B5EF4-FFF2-40B4-BE49-F238E27FC236}">
              <a16:creationId xmlns:a16="http://schemas.microsoft.com/office/drawing/2014/main" id="{00000000-0008-0000-0700-000013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20" name="Text Box 75">
          <a:extLst>
            <a:ext uri="{FF2B5EF4-FFF2-40B4-BE49-F238E27FC236}">
              <a16:creationId xmlns:a16="http://schemas.microsoft.com/office/drawing/2014/main" id="{00000000-0008-0000-0700-000014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21" name="Text Box 75">
          <a:extLst>
            <a:ext uri="{FF2B5EF4-FFF2-40B4-BE49-F238E27FC236}">
              <a16:creationId xmlns:a16="http://schemas.microsoft.com/office/drawing/2014/main" id="{00000000-0008-0000-0700-000015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22" name="Text Box 75">
          <a:extLst>
            <a:ext uri="{FF2B5EF4-FFF2-40B4-BE49-F238E27FC236}">
              <a16:creationId xmlns:a16="http://schemas.microsoft.com/office/drawing/2014/main" id="{00000000-0008-0000-0700-000016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23" name="Text Box 75">
          <a:extLst>
            <a:ext uri="{FF2B5EF4-FFF2-40B4-BE49-F238E27FC236}">
              <a16:creationId xmlns:a16="http://schemas.microsoft.com/office/drawing/2014/main" id="{00000000-0008-0000-0700-000017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24" name="Text Box 75">
          <a:extLst>
            <a:ext uri="{FF2B5EF4-FFF2-40B4-BE49-F238E27FC236}">
              <a16:creationId xmlns:a16="http://schemas.microsoft.com/office/drawing/2014/main" id="{00000000-0008-0000-0700-000018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25" name="Text Box 75">
          <a:extLst>
            <a:ext uri="{FF2B5EF4-FFF2-40B4-BE49-F238E27FC236}">
              <a16:creationId xmlns:a16="http://schemas.microsoft.com/office/drawing/2014/main" id="{00000000-0008-0000-0700-000019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26" name="Text Box 75">
          <a:extLst>
            <a:ext uri="{FF2B5EF4-FFF2-40B4-BE49-F238E27FC236}">
              <a16:creationId xmlns:a16="http://schemas.microsoft.com/office/drawing/2014/main" id="{00000000-0008-0000-0700-00001A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27" name="Text Box 75">
          <a:extLst>
            <a:ext uri="{FF2B5EF4-FFF2-40B4-BE49-F238E27FC236}">
              <a16:creationId xmlns:a16="http://schemas.microsoft.com/office/drawing/2014/main" id="{00000000-0008-0000-0700-00001B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8" name="Text Box 75">
          <a:extLst>
            <a:ext uri="{FF2B5EF4-FFF2-40B4-BE49-F238E27FC236}">
              <a16:creationId xmlns:a16="http://schemas.microsoft.com/office/drawing/2014/main" id="{00000000-0008-0000-0700-00001C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 name="Text Box 75">
          <a:extLst>
            <a:ext uri="{FF2B5EF4-FFF2-40B4-BE49-F238E27FC236}">
              <a16:creationId xmlns:a16="http://schemas.microsoft.com/office/drawing/2014/main" id="{00000000-0008-0000-0700-00001D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30" name="Text Box 75">
          <a:extLst>
            <a:ext uri="{FF2B5EF4-FFF2-40B4-BE49-F238E27FC236}">
              <a16:creationId xmlns:a16="http://schemas.microsoft.com/office/drawing/2014/main" id="{00000000-0008-0000-0700-00001E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31" name="Text Box 75">
          <a:extLst>
            <a:ext uri="{FF2B5EF4-FFF2-40B4-BE49-F238E27FC236}">
              <a16:creationId xmlns:a16="http://schemas.microsoft.com/office/drawing/2014/main" id="{00000000-0008-0000-0700-00001F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32" name="Text Box 75">
          <a:extLst>
            <a:ext uri="{FF2B5EF4-FFF2-40B4-BE49-F238E27FC236}">
              <a16:creationId xmlns:a16="http://schemas.microsoft.com/office/drawing/2014/main" id="{00000000-0008-0000-0700-000020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33" name="Text Box 75">
          <a:extLst>
            <a:ext uri="{FF2B5EF4-FFF2-40B4-BE49-F238E27FC236}">
              <a16:creationId xmlns:a16="http://schemas.microsoft.com/office/drawing/2014/main" id="{00000000-0008-0000-0700-000021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4" name="Text Box 75">
          <a:extLst>
            <a:ext uri="{FF2B5EF4-FFF2-40B4-BE49-F238E27FC236}">
              <a16:creationId xmlns:a16="http://schemas.microsoft.com/office/drawing/2014/main" id="{00000000-0008-0000-0700-000022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5" name="Text Box 75">
          <a:extLst>
            <a:ext uri="{FF2B5EF4-FFF2-40B4-BE49-F238E27FC236}">
              <a16:creationId xmlns:a16="http://schemas.microsoft.com/office/drawing/2014/main" id="{00000000-0008-0000-0700-000023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6" name="Text Box 75">
          <a:extLst>
            <a:ext uri="{FF2B5EF4-FFF2-40B4-BE49-F238E27FC236}">
              <a16:creationId xmlns:a16="http://schemas.microsoft.com/office/drawing/2014/main" id="{00000000-0008-0000-0700-000024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7" name="Text Box 75">
          <a:extLst>
            <a:ext uri="{FF2B5EF4-FFF2-40B4-BE49-F238E27FC236}">
              <a16:creationId xmlns:a16="http://schemas.microsoft.com/office/drawing/2014/main" id="{00000000-0008-0000-0700-000025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8" name="Text Box 75">
          <a:extLst>
            <a:ext uri="{FF2B5EF4-FFF2-40B4-BE49-F238E27FC236}">
              <a16:creationId xmlns:a16="http://schemas.microsoft.com/office/drawing/2014/main" id="{00000000-0008-0000-0700-000026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9" name="Text Box 75">
          <a:extLst>
            <a:ext uri="{FF2B5EF4-FFF2-40B4-BE49-F238E27FC236}">
              <a16:creationId xmlns:a16="http://schemas.microsoft.com/office/drawing/2014/main" id="{00000000-0008-0000-0700-000027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40" name="Text Box 75">
          <a:extLst>
            <a:ext uri="{FF2B5EF4-FFF2-40B4-BE49-F238E27FC236}">
              <a16:creationId xmlns:a16="http://schemas.microsoft.com/office/drawing/2014/main" id="{00000000-0008-0000-0700-000028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41" name="Text Box 75">
          <a:extLst>
            <a:ext uri="{FF2B5EF4-FFF2-40B4-BE49-F238E27FC236}">
              <a16:creationId xmlns:a16="http://schemas.microsoft.com/office/drawing/2014/main" id="{00000000-0008-0000-0700-000029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42" name="Text Box 75">
          <a:extLst>
            <a:ext uri="{FF2B5EF4-FFF2-40B4-BE49-F238E27FC236}">
              <a16:creationId xmlns:a16="http://schemas.microsoft.com/office/drawing/2014/main" id="{00000000-0008-0000-0700-00002A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43" name="Text Box 75">
          <a:extLst>
            <a:ext uri="{FF2B5EF4-FFF2-40B4-BE49-F238E27FC236}">
              <a16:creationId xmlns:a16="http://schemas.microsoft.com/office/drawing/2014/main" id="{00000000-0008-0000-0700-00002B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44" name="Text Box 75">
          <a:extLst>
            <a:ext uri="{FF2B5EF4-FFF2-40B4-BE49-F238E27FC236}">
              <a16:creationId xmlns:a16="http://schemas.microsoft.com/office/drawing/2014/main" id="{00000000-0008-0000-0700-00002C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45" name="Text Box 75">
          <a:extLst>
            <a:ext uri="{FF2B5EF4-FFF2-40B4-BE49-F238E27FC236}">
              <a16:creationId xmlns:a16="http://schemas.microsoft.com/office/drawing/2014/main" id="{00000000-0008-0000-0700-00002D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46" name="Text Box 75">
          <a:extLst>
            <a:ext uri="{FF2B5EF4-FFF2-40B4-BE49-F238E27FC236}">
              <a16:creationId xmlns:a16="http://schemas.microsoft.com/office/drawing/2014/main" id="{00000000-0008-0000-0700-00002E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47" name="Text Box 75">
          <a:extLst>
            <a:ext uri="{FF2B5EF4-FFF2-40B4-BE49-F238E27FC236}">
              <a16:creationId xmlns:a16="http://schemas.microsoft.com/office/drawing/2014/main" id="{00000000-0008-0000-0700-00002F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48" name="Text Box 75">
          <a:extLst>
            <a:ext uri="{FF2B5EF4-FFF2-40B4-BE49-F238E27FC236}">
              <a16:creationId xmlns:a16="http://schemas.microsoft.com/office/drawing/2014/main" id="{00000000-0008-0000-0700-000030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49" name="Text Box 75">
          <a:extLst>
            <a:ext uri="{FF2B5EF4-FFF2-40B4-BE49-F238E27FC236}">
              <a16:creationId xmlns:a16="http://schemas.microsoft.com/office/drawing/2014/main" id="{00000000-0008-0000-0700-000031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50" name="Text Box 75">
          <a:extLst>
            <a:ext uri="{FF2B5EF4-FFF2-40B4-BE49-F238E27FC236}">
              <a16:creationId xmlns:a16="http://schemas.microsoft.com/office/drawing/2014/main" id="{00000000-0008-0000-0700-000032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0</xdr:colOff>
      <xdr:row>4</xdr:row>
      <xdr:rowOff>0</xdr:rowOff>
    </xdr:from>
    <xdr:to>
      <xdr:col>49</xdr:col>
      <xdr:colOff>85725</xdr:colOff>
      <xdr:row>4</xdr:row>
      <xdr:rowOff>324970</xdr:rowOff>
    </xdr:to>
    <xdr:sp macro="" textlink="">
      <xdr:nvSpPr>
        <xdr:cNvPr id="51" name="Text Box 75">
          <a:extLst>
            <a:ext uri="{FF2B5EF4-FFF2-40B4-BE49-F238E27FC236}">
              <a16:creationId xmlns:a16="http://schemas.microsoft.com/office/drawing/2014/main" id="{00000000-0008-0000-0700-000033000000}"/>
            </a:ext>
          </a:extLst>
        </xdr:cNvPr>
        <xdr:cNvSpPr txBox="1">
          <a:spLocks noChangeArrowheads="1"/>
        </xdr:cNvSpPr>
      </xdr:nvSpPr>
      <xdr:spPr bwMode="auto">
        <a:xfrm>
          <a:off x="7543800" y="77142975"/>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52" name="Text Box 75">
          <a:extLst>
            <a:ext uri="{FF2B5EF4-FFF2-40B4-BE49-F238E27FC236}">
              <a16:creationId xmlns:a16="http://schemas.microsoft.com/office/drawing/2014/main" id="{00000000-0008-0000-0700-000034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53" name="Text Box 75">
          <a:extLst>
            <a:ext uri="{FF2B5EF4-FFF2-40B4-BE49-F238E27FC236}">
              <a16:creationId xmlns:a16="http://schemas.microsoft.com/office/drawing/2014/main" id="{00000000-0008-0000-0700-000035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54" name="Text Box 75">
          <a:extLst>
            <a:ext uri="{FF2B5EF4-FFF2-40B4-BE49-F238E27FC236}">
              <a16:creationId xmlns:a16="http://schemas.microsoft.com/office/drawing/2014/main" id="{00000000-0008-0000-0700-000036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55" name="Text Box 75">
          <a:extLst>
            <a:ext uri="{FF2B5EF4-FFF2-40B4-BE49-F238E27FC236}">
              <a16:creationId xmlns:a16="http://schemas.microsoft.com/office/drawing/2014/main" id="{00000000-0008-0000-0700-000037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56" name="Text Box 75">
          <a:extLst>
            <a:ext uri="{FF2B5EF4-FFF2-40B4-BE49-F238E27FC236}">
              <a16:creationId xmlns:a16="http://schemas.microsoft.com/office/drawing/2014/main" id="{00000000-0008-0000-0700-000038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57" name="Text Box 75">
          <a:extLst>
            <a:ext uri="{FF2B5EF4-FFF2-40B4-BE49-F238E27FC236}">
              <a16:creationId xmlns:a16="http://schemas.microsoft.com/office/drawing/2014/main" id="{00000000-0008-0000-0700-000039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58" name="Text Box 75">
          <a:extLst>
            <a:ext uri="{FF2B5EF4-FFF2-40B4-BE49-F238E27FC236}">
              <a16:creationId xmlns:a16="http://schemas.microsoft.com/office/drawing/2014/main" id="{00000000-0008-0000-0700-00003A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59" name="Text Box 75">
          <a:extLst>
            <a:ext uri="{FF2B5EF4-FFF2-40B4-BE49-F238E27FC236}">
              <a16:creationId xmlns:a16="http://schemas.microsoft.com/office/drawing/2014/main" id="{00000000-0008-0000-0700-00003B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0" name="Text Box 75">
          <a:extLst>
            <a:ext uri="{FF2B5EF4-FFF2-40B4-BE49-F238E27FC236}">
              <a16:creationId xmlns:a16="http://schemas.microsoft.com/office/drawing/2014/main" id="{00000000-0008-0000-0700-00003C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1" name="Text Box 75">
          <a:extLst>
            <a:ext uri="{FF2B5EF4-FFF2-40B4-BE49-F238E27FC236}">
              <a16:creationId xmlns:a16="http://schemas.microsoft.com/office/drawing/2014/main" id="{00000000-0008-0000-0700-00003D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2" name="Text Box 75">
          <a:extLst>
            <a:ext uri="{FF2B5EF4-FFF2-40B4-BE49-F238E27FC236}">
              <a16:creationId xmlns:a16="http://schemas.microsoft.com/office/drawing/2014/main" id="{00000000-0008-0000-0700-00003E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3" name="Text Box 75">
          <a:extLst>
            <a:ext uri="{FF2B5EF4-FFF2-40B4-BE49-F238E27FC236}">
              <a16:creationId xmlns:a16="http://schemas.microsoft.com/office/drawing/2014/main" id="{00000000-0008-0000-0700-00003F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4" name="Text Box 75">
          <a:extLst>
            <a:ext uri="{FF2B5EF4-FFF2-40B4-BE49-F238E27FC236}">
              <a16:creationId xmlns:a16="http://schemas.microsoft.com/office/drawing/2014/main" id="{00000000-0008-0000-0700-000040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5" name="Text Box 75">
          <a:extLst>
            <a:ext uri="{FF2B5EF4-FFF2-40B4-BE49-F238E27FC236}">
              <a16:creationId xmlns:a16="http://schemas.microsoft.com/office/drawing/2014/main" id="{00000000-0008-0000-0700-000041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6" name="Text Box 75">
          <a:extLst>
            <a:ext uri="{FF2B5EF4-FFF2-40B4-BE49-F238E27FC236}">
              <a16:creationId xmlns:a16="http://schemas.microsoft.com/office/drawing/2014/main" id="{00000000-0008-0000-0700-000042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7" name="Text Box 75">
          <a:extLst>
            <a:ext uri="{FF2B5EF4-FFF2-40B4-BE49-F238E27FC236}">
              <a16:creationId xmlns:a16="http://schemas.microsoft.com/office/drawing/2014/main" id="{00000000-0008-0000-0700-000043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8" name="Text Box 75">
          <a:extLst>
            <a:ext uri="{FF2B5EF4-FFF2-40B4-BE49-F238E27FC236}">
              <a16:creationId xmlns:a16="http://schemas.microsoft.com/office/drawing/2014/main" id="{00000000-0008-0000-0700-000044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69" name="Text Box 75">
          <a:extLst>
            <a:ext uri="{FF2B5EF4-FFF2-40B4-BE49-F238E27FC236}">
              <a16:creationId xmlns:a16="http://schemas.microsoft.com/office/drawing/2014/main" id="{00000000-0008-0000-0700-000045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0" name="Text Box 75">
          <a:extLst>
            <a:ext uri="{FF2B5EF4-FFF2-40B4-BE49-F238E27FC236}">
              <a16:creationId xmlns:a16="http://schemas.microsoft.com/office/drawing/2014/main" id="{00000000-0008-0000-0700-000046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1" name="Text Box 75">
          <a:extLst>
            <a:ext uri="{FF2B5EF4-FFF2-40B4-BE49-F238E27FC236}">
              <a16:creationId xmlns:a16="http://schemas.microsoft.com/office/drawing/2014/main" id="{00000000-0008-0000-0700-000047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2" name="Text Box 75">
          <a:extLst>
            <a:ext uri="{FF2B5EF4-FFF2-40B4-BE49-F238E27FC236}">
              <a16:creationId xmlns:a16="http://schemas.microsoft.com/office/drawing/2014/main" id="{00000000-0008-0000-0700-000048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3" name="Text Box 75">
          <a:extLst>
            <a:ext uri="{FF2B5EF4-FFF2-40B4-BE49-F238E27FC236}">
              <a16:creationId xmlns:a16="http://schemas.microsoft.com/office/drawing/2014/main" id="{00000000-0008-0000-0700-000049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4" name="Text Box 75">
          <a:extLst>
            <a:ext uri="{FF2B5EF4-FFF2-40B4-BE49-F238E27FC236}">
              <a16:creationId xmlns:a16="http://schemas.microsoft.com/office/drawing/2014/main" id="{00000000-0008-0000-0700-00004A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5" name="Text Box 75">
          <a:extLst>
            <a:ext uri="{FF2B5EF4-FFF2-40B4-BE49-F238E27FC236}">
              <a16:creationId xmlns:a16="http://schemas.microsoft.com/office/drawing/2014/main" id="{00000000-0008-0000-0700-00004B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6" name="Text Box 75">
          <a:extLst>
            <a:ext uri="{FF2B5EF4-FFF2-40B4-BE49-F238E27FC236}">
              <a16:creationId xmlns:a16="http://schemas.microsoft.com/office/drawing/2014/main" id="{00000000-0008-0000-0700-00004C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7" name="Text Box 75">
          <a:extLst>
            <a:ext uri="{FF2B5EF4-FFF2-40B4-BE49-F238E27FC236}">
              <a16:creationId xmlns:a16="http://schemas.microsoft.com/office/drawing/2014/main" id="{00000000-0008-0000-0700-00004D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8" name="Text Box 75">
          <a:extLst>
            <a:ext uri="{FF2B5EF4-FFF2-40B4-BE49-F238E27FC236}">
              <a16:creationId xmlns:a16="http://schemas.microsoft.com/office/drawing/2014/main" id="{00000000-0008-0000-0700-00004E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79" name="Text Box 75">
          <a:extLst>
            <a:ext uri="{FF2B5EF4-FFF2-40B4-BE49-F238E27FC236}">
              <a16:creationId xmlns:a16="http://schemas.microsoft.com/office/drawing/2014/main" id="{00000000-0008-0000-0700-00004F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80" name="Text Box 75">
          <a:extLst>
            <a:ext uri="{FF2B5EF4-FFF2-40B4-BE49-F238E27FC236}">
              <a16:creationId xmlns:a16="http://schemas.microsoft.com/office/drawing/2014/main" id="{00000000-0008-0000-0700-000050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81" name="Text Box 75">
          <a:extLst>
            <a:ext uri="{FF2B5EF4-FFF2-40B4-BE49-F238E27FC236}">
              <a16:creationId xmlns:a16="http://schemas.microsoft.com/office/drawing/2014/main" id="{00000000-0008-0000-0700-000051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84" name="Text Box 75">
          <a:extLst>
            <a:ext uri="{FF2B5EF4-FFF2-40B4-BE49-F238E27FC236}">
              <a16:creationId xmlns:a16="http://schemas.microsoft.com/office/drawing/2014/main" id="{00000000-0008-0000-0700-000054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85" name="Text Box 75">
          <a:extLst>
            <a:ext uri="{FF2B5EF4-FFF2-40B4-BE49-F238E27FC236}">
              <a16:creationId xmlns:a16="http://schemas.microsoft.com/office/drawing/2014/main" id="{00000000-0008-0000-0700-000055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86" name="Text Box 75">
          <a:extLst>
            <a:ext uri="{FF2B5EF4-FFF2-40B4-BE49-F238E27FC236}">
              <a16:creationId xmlns:a16="http://schemas.microsoft.com/office/drawing/2014/main" id="{00000000-0008-0000-0700-000056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87" name="Text Box 75">
          <a:extLst>
            <a:ext uri="{FF2B5EF4-FFF2-40B4-BE49-F238E27FC236}">
              <a16:creationId xmlns:a16="http://schemas.microsoft.com/office/drawing/2014/main" id="{00000000-0008-0000-0700-000057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94" name="Text Box 75">
          <a:extLst>
            <a:ext uri="{FF2B5EF4-FFF2-40B4-BE49-F238E27FC236}">
              <a16:creationId xmlns:a16="http://schemas.microsoft.com/office/drawing/2014/main" id="{00000000-0008-0000-0700-00005E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95" name="Text Box 75">
          <a:extLst>
            <a:ext uri="{FF2B5EF4-FFF2-40B4-BE49-F238E27FC236}">
              <a16:creationId xmlns:a16="http://schemas.microsoft.com/office/drawing/2014/main" id="{00000000-0008-0000-0700-00005F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96" name="Text Box 75">
          <a:extLst>
            <a:ext uri="{FF2B5EF4-FFF2-40B4-BE49-F238E27FC236}">
              <a16:creationId xmlns:a16="http://schemas.microsoft.com/office/drawing/2014/main" id="{00000000-0008-0000-0700-000060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97" name="Text Box 75">
          <a:extLst>
            <a:ext uri="{FF2B5EF4-FFF2-40B4-BE49-F238E27FC236}">
              <a16:creationId xmlns:a16="http://schemas.microsoft.com/office/drawing/2014/main" id="{00000000-0008-0000-0700-000061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98" name="Text Box 75">
          <a:extLst>
            <a:ext uri="{FF2B5EF4-FFF2-40B4-BE49-F238E27FC236}">
              <a16:creationId xmlns:a16="http://schemas.microsoft.com/office/drawing/2014/main" id="{00000000-0008-0000-0700-000062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99" name="Text Box 75">
          <a:extLst>
            <a:ext uri="{FF2B5EF4-FFF2-40B4-BE49-F238E27FC236}">
              <a16:creationId xmlns:a16="http://schemas.microsoft.com/office/drawing/2014/main" id="{00000000-0008-0000-0700-000063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102" name="Text Box 75">
          <a:extLst>
            <a:ext uri="{FF2B5EF4-FFF2-40B4-BE49-F238E27FC236}">
              <a16:creationId xmlns:a16="http://schemas.microsoft.com/office/drawing/2014/main" id="{00000000-0008-0000-0700-000066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103" name="Text Box 75">
          <a:extLst>
            <a:ext uri="{FF2B5EF4-FFF2-40B4-BE49-F238E27FC236}">
              <a16:creationId xmlns:a16="http://schemas.microsoft.com/office/drawing/2014/main" id="{00000000-0008-0000-0700-000067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104" name="Text Box 75">
          <a:extLst>
            <a:ext uri="{FF2B5EF4-FFF2-40B4-BE49-F238E27FC236}">
              <a16:creationId xmlns:a16="http://schemas.microsoft.com/office/drawing/2014/main" id="{00000000-0008-0000-0700-000068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105" name="Text Box 75">
          <a:extLst>
            <a:ext uri="{FF2B5EF4-FFF2-40B4-BE49-F238E27FC236}">
              <a16:creationId xmlns:a16="http://schemas.microsoft.com/office/drawing/2014/main" id="{00000000-0008-0000-0700-00006900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08" name="Text Box 75">
          <a:extLst>
            <a:ext uri="{FF2B5EF4-FFF2-40B4-BE49-F238E27FC236}">
              <a16:creationId xmlns:a16="http://schemas.microsoft.com/office/drawing/2014/main" id="{00000000-0008-0000-0700-00006C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09" name="Text Box 75">
          <a:extLst>
            <a:ext uri="{FF2B5EF4-FFF2-40B4-BE49-F238E27FC236}">
              <a16:creationId xmlns:a16="http://schemas.microsoft.com/office/drawing/2014/main" id="{00000000-0008-0000-0700-00006D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0" name="Text Box 75">
          <a:extLst>
            <a:ext uri="{FF2B5EF4-FFF2-40B4-BE49-F238E27FC236}">
              <a16:creationId xmlns:a16="http://schemas.microsoft.com/office/drawing/2014/main" id="{00000000-0008-0000-0700-00006E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1" name="Text Box 75">
          <a:extLst>
            <a:ext uri="{FF2B5EF4-FFF2-40B4-BE49-F238E27FC236}">
              <a16:creationId xmlns:a16="http://schemas.microsoft.com/office/drawing/2014/main" id="{00000000-0008-0000-0700-00006F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2" name="Text Box 75">
          <a:extLst>
            <a:ext uri="{FF2B5EF4-FFF2-40B4-BE49-F238E27FC236}">
              <a16:creationId xmlns:a16="http://schemas.microsoft.com/office/drawing/2014/main" id="{00000000-0008-0000-0700-000070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3" name="Text Box 75">
          <a:extLst>
            <a:ext uri="{FF2B5EF4-FFF2-40B4-BE49-F238E27FC236}">
              <a16:creationId xmlns:a16="http://schemas.microsoft.com/office/drawing/2014/main" id="{00000000-0008-0000-0700-000071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4" name="Text Box 75">
          <a:extLst>
            <a:ext uri="{FF2B5EF4-FFF2-40B4-BE49-F238E27FC236}">
              <a16:creationId xmlns:a16="http://schemas.microsoft.com/office/drawing/2014/main" id="{00000000-0008-0000-0700-000072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5" name="Text Box 75">
          <a:extLst>
            <a:ext uri="{FF2B5EF4-FFF2-40B4-BE49-F238E27FC236}">
              <a16:creationId xmlns:a16="http://schemas.microsoft.com/office/drawing/2014/main" id="{00000000-0008-0000-0700-000073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6" name="Text Box 75">
          <a:extLst>
            <a:ext uri="{FF2B5EF4-FFF2-40B4-BE49-F238E27FC236}">
              <a16:creationId xmlns:a16="http://schemas.microsoft.com/office/drawing/2014/main" id="{00000000-0008-0000-0700-000074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7" name="Text Box 75">
          <a:extLst>
            <a:ext uri="{FF2B5EF4-FFF2-40B4-BE49-F238E27FC236}">
              <a16:creationId xmlns:a16="http://schemas.microsoft.com/office/drawing/2014/main" id="{00000000-0008-0000-0700-000075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8" name="Text Box 75">
          <a:extLst>
            <a:ext uri="{FF2B5EF4-FFF2-40B4-BE49-F238E27FC236}">
              <a16:creationId xmlns:a16="http://schemas.microsoft.com/office/drawing/2014/main" id="{00000000-0008-0000-0700-000076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19" name="Text Box 75">
          <a:extLst>
            <a:ext uri="{FF2B5EF4-FFF2-40B4-BE49-F238E27FC236}">
              <a16:creationId xmlns:a16="http://schemas.microsoft.com/office/drawing/2014/main" id="{00000000-0008-0000-0700-000077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0" name="Text Box 75">
          <a:extLst>
            <a:ext uri="{FF2B5EF4-FFF2-40B4-BE49-F238E27FC236}">
              <a16:creationId xmlns:a16="http://schemas.microsoft.com/office/drawing/2014/main" id="{00000000-0008-0000-0700-000078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1" name="Text Box 75">
          <a:extLst>
            <a:ext uri="{FF2B5EF4-FFF2-40B4-BE49-F238E27FC236}">
              <a16:creationId xmlns:a16="http://schemas.microsoft.com/office/drawing/2014/main" id="{00000000-0008-0000-0700-000079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2" name="Text Box 75">
          <a:extLst>
            <a:ext uri="{FF2B5EF4-FFF2-40B4-BE49-F238E27FC236}">
              <a16:creationId xmlns:a16="http://schemas.microsoft.com/office/drawing/2014/main" id="{00000000-0008-0000-0700-00007A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3" name="Text Box 75">
          <a:extLst>
            <a:ext uri="{FF2B5EF4-FFF2-40B4-BE49-F238E27FC236}">
              <a16:creationId xmlns:a16="http://schemas.microsoft.com/office/drawing/2014/main" id="{00000000-0008-0000-0700-00007B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4" name="Text Box 75">
          <a:extLst>
            <a:ext uri="{FF2B5EF4-FFF2-40B4-BE49-F238E27FC236}">
              <a16:creationId xmlns:a16="http://schemas.microsoft.com/office/drawing/2014/main" id="{00000000-0008-0000-0700-00007C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5" name="Text Box 75">
          <a:extLst>
            <a:ext uri="{FF2B5EF4-FFF2-40B4-BE49-F238E27FC236}">
              <a16:creationId xmlns:a16="http://schemas.microsoft.com/office/drawing/2014/main" id="{00000000-0008-0000-0700-00007D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6" name="Text Box 75">
          <a:extLst>
            <a:ext uri="{FF2B5EF4-FFF2-40B4-BE49-F238E27FC236}">
              <a16:creationId xmlns:a16="http://schemas.microsoft.com/office/drawing/2014/main" id="{00000000-0008-0000-0700-00007E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7" name="Text Box 75">
          <a:extLst>
            <a:ext uri="{FF2B5EF4-FFF2-40B4-BE49-F238E27FC236}">
              <a16:creationId xmlns:a16="http://schemas.microsoft.com/office/drawing/2014/main" id="{00000000-0008-0000-0700-00007F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8" name="Text Box 75">
          <a:extLst>
            <a:ext uri="{FF2B5EF4-FFF2-40B4-BE49-F238E27FC236}">
              <a16:creationId xmlns:a16="http://schemas.microsoft.com/office/drawing/2014/main" id="{00000000-0008-0000-0700-000080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29" name="Text Box 75">
          <a:extLst>
            <a:ext uri="{FF2B5EF4-FFF2-40B4-BE49-F238E27FC236}">
              <a16:creationId xmlns:a16="http://schemas.microsoft.com/office/drawing/2014/main" id="{00000000-0008-0000-0700-000081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30" name="Text Box 75">
          <a:extLst>
            <a:ext uri="{FF2B5EF4-FFF2-40B4-BE49-F238E27FC236}">
              <a16:creationId xmlns:a16="http://schemas.microsoft.com/office/drawing/2014/main" id="{00000000-0008-0000-0700-000082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31" name="Text Box 75">
          <a:extLst>
            <a:ext uri="{FF2B5EF4-FFF2-40B4-BE49-F238E27FC236}">
              <a16:creationId xmlns:a16="http://schemas.microsoft.com/office/drawing/2014/main" id="{00000000-0008-0000-0700-000083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32" name="Text Box 75">
          <a:extLst>
            <a:ext uri="{FF2B5EF4-FFF2-40B4-BE49-F238E27FC236}">
              <a16:creationId xmlns:a16="http://schemas.microsoft.com/office/drawing/2014/main" id="{00000000-0008-0000-0700-000084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33" name="Text Box 75">
          <a:extLst>
            <a:ext uri="{FF2B5EF4-FFF2-40B4-BE49-F238E27FC236}">
              <a16:creationId xmlns:a16="http://schemas.microsoft.com/office/drawing/2014/main" id="{00000000-0008-0000-0700-000085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34" name="Text Box 75">
          <a:extLst>
            <a:ext uri="{FF2B5EF4-FFF2-40B4-BE49-F238E27FC236}">
              <a16:creationId xmlns:a16="http://schemas.microsoft.com/office/drawing/2014/main" id="{00000000-0008-0000-0700-000086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35" name="Text Box 75">
          <a:extLst>
            <a:ext uri="{FF2B5EF4-FFF2-40B4-BE49-F238E27FC236}">
              <a16:creationId xmlns:a16="http://schemas.microsoft.com/office/drawing/2014/main" id="{00000000-0008-0000-0700-000087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37" name="Text Box 75">
          <a:extLst>
            <a:ext uri="{FF2B5EF4-FFF2-40B4-BE49-F238E27FC236}">
              <a16:creationId xmlns:a16="http://schemas.microsoft.com/office/drawing/2014/main" id="{00000000-0008-0000-0700-000089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38" name="Text Box 75">
          <a:extLst>
            <a:ext uri="{FF2B5EF4-FFF2-40B4-BE49-F238E27FC236}">
              <a16:creationId xmlns:a16="http://schemas.microsoft.com/office/drawing/2014/main" id="{00000000-0008-0000-0700-00008A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39" name="Text Box 75">
          <a:extLst>
            <a:ext uri="{FF2B5EF4-FFF2-40B4-BE49-F238E27FC236}">
              <a16:creationId xmlns:a16="http://schemas.microsoft.com/office/drawing/2014/main" id="{00000000-0008-0000-0700-00008B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40" name="Text Box 75">
          <a:extLst>
            <a:ext uri="{FF2B5EF4-FFF2-40B4-BE49-F238E27FC236}">
              <a16:creationId xmlns:a16="http://schemas.microsoft.com/office/drawing/2014/main" id="{00000000-0008-0000-0700-00008C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41" name="Text Box 75">
          <a:extLst>
            <a:ext uri="{FF2B5EF4-FFF2-40B4-BE49-F238E27FC236}">
              <a16:creationId xmlns:a16="http://schemas.microsoft.com/office/drawing/2014/main" id="{00000000-0008-0000-0700-00008D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42" name="Text Box 75">
          <a:extLst>
            <a:ext uri="{FF2B5EF4-FFF2-40B4-BE49-F238E27FC236}">
              <a16:creationId xmlns:a16="http://schemas.microsoft.com/office/drawing/2014/main" id="{00000000-0008-0000-0700-00008E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43" name="Text Box 75">
          <a:extLst>
            <a:ext uri="{FF2B5EF4-FFF2-40B4-BE49-F238E27FC236}">
              <a16:creationId xmlns:a16="http://schemas.microsoft.com/office/drawing/2014/main" id="{00000000-0008-0000-0700-00008F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44" name="Text Box 75">
          <a:extLst>
            <a:ext uri="{FF2B5EF4-FFF2-40B4-BE49-F238E27FC236}">
              <a16:creationId xmlns:a16="http://schemas.microsoft.com/office/drawing/2014/main" id="{00000000-0008-0000-0700-000090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45" name="Text Box 75">
          <a:extLst>
            <a:ext uri="{FF2B5EF4-FFF2-40B4-BE49-F238E27FC236}">
              <a16:creationId xmlns:a16="http://schemas.microsoft.com/office/drawing/2014/main" id="{00000000-0008-0000-0700-000091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46" name="Text Box 75">
          <a:extLst>
            <a:ext uri="{FF2B5EF4-FFF2-40B4-BE49-F238E27FC236}">
              <a16:creationId xmlns:a16="http://schemas.microsoft.com/office/drawing/2014/main" id="{00000000-0008-0000-0700-000092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47" name="Text Box 75">
          <a:extLst>
            <a:ext uri="{FF2B5EF4-FFF2-40B4-BE49-F238E27FC236}">
              <a16:creationId xmlns:a16="http://schemas.microsoft.com/office/drawing/2014/main" id="{00000000-0008-0000-0700-000093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48" name="Text Box 75">
          <a:extLst>
            <a:ext uri="{FF2B5EF4-FFF2-40B4-BE49-F238E27FC236}">
              <a16:creationId xmlns:a16="http://schemas.microsoft.com/office/drawing/2014/main" id="{00000000-0008-0000-0700-000094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49" name="Text Box 75">
          <a:extLst>
            <a:ext uri="{FF2B5EF4-FFF2-40B4-BE49-F238E27FC236}">
              <a16:creationId xmlns:a16="http://schemas.microsoft.com/office/drawing/2014/main" id="{00000000-0008-0000-0700-000095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50" name="Text Box 75">
          <a:extLst>
            <a:ext uri="{FF2B5EF4-FFF2-40B4-BE49-F238E27FC236}">
              <a16:creationId xmlns:a16="http://schemas.microsoft.com/office/drawing/2014/main" id="{00000000-0008-0000-0700-000096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51" name="Text Box 75">
          <a:extLst>
            <a:ext uri="{FF2B5EF4-FFF2-40B4-BE49-F238E27FC236}">
              <a16:creationId xmlns:a16="http://schemas.microsoft.com/office/drawing/2014/main" id="{00000000-0008-0000-0700-000097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52" name="Text Box 75">
          <a:extLst>
            <a:ext uri="{FF2B5EF4-FFF2-40B4-BE49-F238E27FC236}">
              <a16:creationId xmlns:a16="http://schemas.microsoft.com/office/drawing/2014/main" id="{00000000-0008-0000-0700-000098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53" name="Text Box 75">
          <a:extLst>
            <a:ext uri="{FF2B5EF4-FFF2-40B4-BE49-F238E27FC236}">
              <a16:creationId xmlns:a16="http://schemas.microsoft.com/office/drawing/2014/main" id="{00000000-0008-0000-0700-000099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54" name="Text Box 75">
          <a:extLst>
            <a:ext uri="{FF2B5EF4-FFF2-40B4-BE49-F238E27FC236}">
              <a16:creationId xmlns:a16="http://schemas.microsoft.com/office/drawing/2014/main" id="{00000000-0008-0000-0700-00009A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55" name="Text Box 75">
          <a:extLst>
            <a:ext uri="{FF2B5EF4-FFF2-40B4-BE49-F238E27FC236}">
              <a16:creationId xmlns:a16="http://schemas.microsoft.com/office/drawing/2014/main" id="{00000000-0008-0000-0700-00009B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56" name="Text Box 75">
          <a:extLst>
            <a:ext uri="{FF2B5EF4-FFF2-40B4-BE49-F238E27FC236}">
              <a16:creationId xmlns:a16="http://schemas.microsoft.com/office/drawing/2014/main" id="{00000000-0008-0000-0700-00009C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57" name="Text Box 75">
          <a:extLst>
            <a:ext uri="{FF2B5EF4-FFF2-40B4-BE49-F238E27FC236}">
              <a16:creationId xmlns:a16="http://schemas.microsoft.com/office/drawing/2014/main" id="{00000000-0008-0000-0700-00009D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1400175</xdr:colOff>
      <xdr:row>4</xdr:row>
      <xdr:rowOff>3295650</xdr:rowOff>
    </xdr:from>
    <xdr:to>
      <xdr:col>51</xdr:col>
      <xdr:colOff>85725</xdr:colOff>
      <xdr:row>5</xdr:row>
      <xdr:rowOff>189380</xdr:rowOff>
    </xdr:to>
    <xdr:sp macro="" textlink="">
      <xdr:nvSpPr>
        <xdr:cNvPr id="158" name="Text Box 75">
          <a:extLst>
            <a:ext uri="{FF2B5EF4-FFF2-40B4-BE49-F238E27FC236}">
              <a16:creationId xmlns:a16="http://schemas.microsoft.com/office/drawing/2014/main" id="{00000000-0008-0000-0700-00009E00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0" name="Text Box 75">
          <a:extLst>
            <a:ext uri="{FF2B5EF4-FFF2-40B4-BE49-F238E27FC236}">
              <a16:creationId xmlns:a16="http://schemas.microsoft.com/office/drawing/2014/main" id="{00000000-0008-0000-0700-0000A0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1" name="Text Box 75">
          <a:extLst>
            <a:ext uri="{FF2B5EF4-FFF2-40B4-BE49-F238E27FC236}">
              <a16:creationId xmlns:a16="http://schemas.microsoft.com/office/drawing/2014/main" id="{00000000-0008-0000-0700-0000A1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2" name="Text Box 75">
          <a:extLst>
            <a:ext uri="{FF2B5EF4-FFF2-40B4-BE49-F238E27FC236}">
              <a16:creationId xmlns:a16="http://schemas.microsoft.com/office/drawing/2014/main" id="{00000000-0008-0000-0700-0000A2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3" name="Text Box 75">
          <a:extLst>
            <a:ext uri="{FF2B5EF4-FFF2-40B4-BE49-F238E27FC236}">
              <a16:creationId xmlns:a16="http://schemas.microsoft.com/office/drawing/2014/main" id="{00000000-0008-0000-0700-0000A3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4" name="Text Box 75">
          <a:extLst>
            <a:ext uri="{FF2B5EF4-FFF2-40B4-BE49-F238E27FC236}">
              <a16:creationId xmlns:a16="http://schemas.microsoft.com/office/drawing/2014/main" id="{00000000-0008-0000-0700-0000A4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5" name="Text Box 75">
          <a:extLst>
            <a:ext uri="{FF2B5EF4-FFF2-40B4-BE49-F238E27FC236}">
              <a16:creationId xmlns:a16="http://schemas.microsoft.com/office/drawing/2014/main" id="{00000000-0008-0000-0700-0000A5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6" name="Text Box 75">
          <a:extLst>
            <a:ext uri="{FF2B5EF4-FFF2-40B4-BE49-F238E27FC236}">
              <a16:creationId xmlns:a16="http://schemas.microsoft.com/office/drawing/2014/main" id="{00000000-0008-0000-0700-0000A6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7" name="Text Box 75">
          <a:extLst>
            <a:ext uri="{FF2B5EF4-FFF2-40B4-BE49-F238E27FC236}">
              <a16:creationId xmlns:a16="http://schemas.microsoft.com/office/drawing/2014/main" id="{00000000-0008-0000-0700-0000A7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8" name="Text Box 75">
          <a:extLst>
            <a:ext uri="{FF2B5EF4-FFF2-40B4-BE49-F238E27FC236}">
              <a16:creationId xmlns:a16="http://schemas.microsoft.com/office/drawing/2014/main" id="{00000000-0008-0000-0700-0000A8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69" name="Text Box 75">
          <a:extLst>
            <a:ext uri="{FF2B5EF4-FFF2-40B4-BE49-F238E27FC236}">
              <a16:creationId xmlns:a16="http://schemas.microsoft.com/office/drawing/2014/main" id="{00000000-0008-0000-0700-0000A9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0" name="Text Box 75">
          <a:extLst>
            <a:ext uri="{FF2B5EF4-FFF2-40B4-BE49-F238E27FC236}">
              <a16:creationId xmlns:a16="http://schemas.microsoft.com/office/drawing/2014/main" id="{00000000-0008-0000-0700-0000AA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1" name="Text Box 75">
          <a:extLst>
            <a:ext uri="{FF2B5EF4-FFF2-40B4-BE49-F238E27FC236}">
              <a16:creationId xmlns:a16="http://schemas.microsoft.com/office/drawing/2014/main" id="{00000000-0008-0000-0700-0000AB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2" name="Text Box 75">
          <a:extLst>
            <a:ext uri="{FF2B5EF4-FFF2-40B4-BE49-F238E27FC236}">
              <a16:creationId xmlns:a16="http://schemas.microsoft.com/office/drawing/2014/main" id="{00000000-0008-0000-0700-0000AC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3" name="Text Box 75">
          <a:extLst>
            <a:ext uri="{FF2B5EF4-FFF2-40B4-BE49-F238E27FC236}">
              <a16:creationId xmlns:a16="http://schemas.microsoft.com/office/drawing/2014/main" id="{00000000-0008-0000-0700-0000AD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4" name="Text Box 75">
          <a:extLst>
            <a:ext uri="{FF2B5EF4-FFF2-40B4-BE49-F238E27FC236}">
              <a16:creationId xmlns:a16="http://schemas.microsoft.com/office/drawing/2014/main" id="{00000000-0008-0000-0700-0000AE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5" name="Text Box 75">
          <a:extLst>
            <a:ext uri="{FF2B5EF4-FFF2-40B4-BE49-F238E27FC236}">
              <a16:creationId xmlns:a16="http://schemas.microsoft.com/office/drawing/2014/main" id="{00000000-0008-0000-0700-0000AF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6" name="Text Box 75">
          <a:extLst>
            <a:ext uri="{FF2B5EF4-FFF2-40B4-BE49-F238E27FC236}">
              <a16:creationId xmlns:a16="http://schemas.microsoft.com/office/drawing/2014/main" id="{00000000-0008-0000-0700-0000B0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7" name="Text Box 75">
          <a:extLst>
            <a:ext uri="{FF2B5EF4-FFF2-40B4-BE49-F238E27FC236}">
              <a16:creationId xmlns:a16="http://schemas.microsoft.com/office/drawing/2014/main" id="{00000000-0008-0000-0700-0000B1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8" name="Text Box 75">
          <a:extLst>
            <a:ext uri="{FF2B5EF4-FFF2-40B4-BE49-F238E27FC236}">
              <a16:creationId xmlns:a16="http://schemas.microsoft.com/office/drawing/2014/main" id="{00000000-0008-0000-0700-0000B2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79" name="Text Box 75">
          <a:extLst>
            <a:ext uri="{FF2B5EF4-FFF2-40B4-BE49-F238E27FC236}">
              <a16:creationId xmlns:a16="http://schemas.microsoft.com/office/drawing/2014/main" id="{00000000-0008-0000-0700-0000B3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0" name="Text Box 75">
          <a:extLst>
            <a:ext uri="{FF2B5EF4-FFF2-40B4-BE49-F238E27FC236}">
              <a16:creationId xmlns:a16="http://schemas.microsoft.com/office/drawing/2014/main" id="{00000000-0008-0000-0700-0000B4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1" name="Text Box 75">
          <a:extLst>
            <a:ext uri="{FF2B5EF4-FFF2-40B4-BE49-F238E27FC236}">
              <a16:creationId xmlns:a16="http://schemas.microsoft.com/office/drawing/2014/main" id="{00000000-0008-0000-0700-0000B5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2" name="Text Box 75">
          <a:extLst>
            <a:ext uri="{FF2B5EF4-FFF2-40B4-BE49-F238E27FC236}">
              <a16:creationId xmlns:a16="http://schemas.microsoft.com/office/drawing/2014/main" id="{00000000-0008-0000-0700-0000B6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3" name="Text Box 75">
          <a:extLst>
            <a:ext uri="{FF2B5EF4-FFF2-40B4-BE49-F238E27FC236}">
              <a16:creationId xmlns:a16="http://schemas.microsoft.com/office/drawing/2014/main" id="{00000000-0008-0000-0700-0000B7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4" name="Text Box 75">
          <a:extLst>
            <a:ext uri="{FF2B5EF4-FFF2-40B4-BE49-F238E27FC236}">
              <a16:creationId xmlns:a16="http://schemas.microsoft.com/office/drawing/2014/main" id="{00000000-0008-0000-0700-0000B8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5" name="Text Box 75">
          <a:extLst>
            <a:ext uri="{FF2B5EF4-FFF2-40B4-BE49-F238E27FC236}">
              <a16:creationId xmlns:a16="http://schemas.microsoft.com/office/drawing/2014/main" id="{00000000-0008-0000-0700-0000B9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6" name="Text Box 75">
          <a:extLst>
            <a:ext uri="{FF2B5EF4-FFF2-40B4-BE49-F238E27FC236}">
              <a16:creationId xmlns:a16="http://schemas.microsoft.com/office/drawing/2014/main" id="{00000000-0008-0000-0700-0000BA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7" name="Text Box 75">
          <a:extLst>
            <a:ext uri="{FF2B5EF4-FFF2-40B4-BE49-F238E27FC236}">
              <a16:creationId xmlns:a16="http://schemas.microsoft.com/office/drawing/2014/main" id="{00000000-0008-0000-0700-0000BB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8" name="Text Box 75">
          <a:extLst>
            <a:ext uri="{FF2B5EF4-FFF2-40B4-BE49-F238E27FC236}">
              <a16:creationId xmlns:a16="http://schemas.microsoft.com/office/drawing/2014/main" id="{00000000-0008-0000-0700-0000BC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89" name="Text Box 75">
          <a:extLst>
            <a:ext uri="{FF2B5EF4-FFF2-40B4-BE49-F238E27FC236}">
              <a16:creationId xmlns:a16="http://schemas.microsoft.com/office/drawing/2014/main" id="{00000000-0008-0000-0700-0000BD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0" name="Text Box 75">
          <a:extLst>
            <a:ext uri="{FF2B5EF4-FFF2-40B4-BE49-F238E27FC236}">
              <a16:creationId xmlns:a16="http://schemas.microsoft.com/office/drawing/2014/main" id="{00000000-0008-0000-0700-0000BE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1" name="Text Box 75">
          <a:extLst>
            <a:ext uri="{FF2B5EF4-FFF2-40B4-BE49-F238E27FC236}">
              <a16:creationId xmlns:a16="http://schemas.microsoft.com/office/drawing/2014/main" id="{00000000-0008-0000-0700-0000BF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2" name="Text Box 75">
          <a:extLst>
            <a:ext uri="{FF2B5EF4-FFF2-40B4-BE49-F238E27FC236}">
              <a16:creationId xmlns:a16="http://schemas.microsoft.com/office/drawing/2014/main" id="{00000000-0008-0000-0700-0000C0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3" name="Text Box 75">
          <a:extLst>
            <a:ext uri="{FF2B5EF4-FFF2-40B4-BE49-F238E27FC236}">
              <a16:creationId xmlns:a16="http://schemas.microsoft.com/office/drawing/2014/main" id="{00000000-0008-0000-0700-0000C1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4" name="Text Box 75">
          <a:extLst>
            <a:ext uri="{FF2B5EF4-FFF2-40B4-BE49-F238E27FC236}">
              <a16:creationId xmlns:a16="http://schemas.microsoft.com/office/drawing/2014/main" id="{00000000-0008-0000-0700-0000C2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5" name="Text Box 75">
          <a:extLst>
            <a:ext uri="{FF2B5EF4-FFF2-40B4-BE49-F238E27FC236}">
              <a16:creationId xmlns:a16="http://schemas.microsoft.com/office/drawing/2014/main" id="{00000000-0008-0000-0700-0000C3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6" name="Text Box 75">
          <a:extLst>
            <a:ext uri="{FF2B5EF4-FFF2-40B4-BE49-F238E27FC236}">
              <a16:creationId xmlns:a16="http://schemas.microsoft.com/office/drawing/2014/main" id="{00000000-0008-0000-0700-0000C4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7" name="Text Box 75">
          <a:extLst>
            <a:ext uri="{FF2B5EF4-FFF2-40B4-BE49-F238E27FC236}">
              <a16:creationId xmlns:a16="http://schemas.microsoft.com/office/drawing/2014/main" id="{00000000-0008-0000-0700-0000C5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8" name="Text Box 75">
          <a:extLst>
            <a:ext uri="{FF2B5EF4-FFF2-40B4-BE49-F238E27FC236}">
              <a16:creationId xmlns:a16="http://schemas.microsoft.com/office/drawing/2014/main" id="{00000000-0008-0000-0700-0000C6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199" name="Text Box 75">
          <a:extLst>
            <a:ext uri="{FF2B5EF4-FFF2-40B4-BE49-F238E27FC236}">
              <a16:creationId xmlns:a16="http://schemas.microsoft.com/office/drawing/2014/main" id="{00000000-0008-0000-0700-0000C7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0" name="Text Box 75">
          <a:extLst>
            <a:ext uri="{FF2B5EF4-FFF2-40B4-BE49-F238E27FC236}">
              <a16:creationId xmlns:a16="http://schemas.microsoft.com/office/drawing/2014/main" id="{00000000-0008-0000-0700-0000C8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1" name="Text Box 75">
          <a:extLst>
            <a:ext uri="{FF2B5EF4-FFF2-40B4-BE49-F238E27FC236}">
              <a16:creationId xmlns:a16="http://schemas.microsoft.com/office/drawing/2014/main" id="{00000000-0008-0000-0700-0000C9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2" name="Text Box 75">
          <a:extLst>
            <a:ext uri="{FF2B5EF4-FFF2-40B4-BE49-F238E27FC236}">
              <a16:creationId xmlns:a16="http://schemas.microsoft.com/office/drawing/2014/main" id="{00000000-0008-0000-0700-0000CA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3" name="Text Box 75">
          <a:extLst>
            <a:ext uri="{FF2B5EF4-FFF2-40B4-BE49-F238E27FC236}">
              <a16:creationId xmlns:a16="http://schemas.microsoft.com/office/drawing/2014/main" id="{00000000-0008-0000-0700-0000CB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4" name="Text Box 75">
          <a:extLst>
            <a:ext uri="{FF2B5EF4-FFF2-40B4-BE49-F238E27FC236}">
              <a16:creationId xmlns:a16="http://schemas.microsoft.com/office/drawing/2014/main" id="{00000000-0008-0000-0700-0000CC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5" name="Text Box 75">
          <a:extLst>
            <a:ext uri="{FF2B5EF4-FFF2-40B4-BE49-F238E27FC236}">
              <a16:creationId xmlns:a16="http://schemas.microsoft.com/office/drawing/2014/main" id="{00000000-0008-0000-0700-0000CD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6" name="Text Box 75">
          <a:extLst>
            <a:ext uri="{FF2B5EF4-FFF2-40B4-BE49-F238E27FC236}">
              <a16:creationId xmlns:a16="http://schemas.microsoft.com/office/drawing/2014/main" id="{00000000-0008-0000-0700-0000CE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7" name="Text Box 75">
          <a:extLst>
            <a:ext uri="{FF2B5EF4-FFF2-40B4-BE49-F238E27FC236}">
              <a16:creationId xmlns:a16="http://schemas.microsoft.com/office/drawing/2014/main" id="{00000000-0008-0000-0700-0000CF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8" name="Text Box 75">
          <a:extLst>
            <a:ext uri="{FF2B5EF4-FFF2-40B4-BE49-F238E27FC236}">
              <a16:creationId xmlns:a16="http://schemas.microsoft.com/office/drawing/2014/main" id="{00000000-0008-0000-0700-0000D0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09" name="Text Box 75">
          <a:extLst>
            <a:ext uri="{FF2B5EF4-FFF2-40B4-BE49-F238E27FC236}">
              <a16:creationId xmlns:a16="http://schemas.microsoft.com/office/drawing/2014/main" id="{00000000-0008-0000-0700-0000D1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10" name="Text Box 75">
          <a:extLst>
            <a:ext uri="{FF2B5EF4-FFF2-40B4-BE49-F238E27FC236}">
              <a16:creationId xmlns:a16="http://schemas.microsoft.com/office/drawing/2014/main" id="{00000000-0008-0000-0700-0000D2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11" name="Text Box 75">
          <a:extLst>
            <a:ext uri="{FF2B5EF4-FFF2-40B4-BE49-F238E27FC236}">
              <a16:creationId xmlns:a16="http://schemas.microsoft.com/office/drawing/2014/main" id="{00000000-0008-0000-0700-0000D3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12" name="Text Box 75">
          <a:extLst>
            <a:ext uri="{FF2B5EF4-FFF2-40B4-BE49-F238E27FC236}">
              <a16:creationId xmlns:a16="http://schemas.microsoft.com/office/drawing/2014/main" id="{00000000-0008-0000-0700-0000D4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13" name="Text Box 75">
          <a:extLst>
            <a:ext uri="{FF2B5EF4-FFF2-40B4-BE49-F238E27FC236}">
              <a16:creationId xmlns:a16="http://schemas.microsoft.com/office/drawing/2014/main" id="{00000000-0008-0000-0700-0000D5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14" name="Text Box 75">
          <a:extLst>
            <a:ext uri="{FF2B5EF4-FFF2-40B4-BE49-F238E27FC236}">
              <a16:creationId xmlns:a16="http://schemas.microsoft.com/office/drawing/2014/main" id="{00000000-0008-0000-0700-0000D6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15" name="Text Box 75">
          <a:extLst>
            <a:ext uri="{FF2B5EF4-FFF2-40B4-BE49-F238E27FC236}">
              <a16:creationId xmlns:a16="http://schemas.microsoft.com/office/drawing/2014/main" id="{00000000-0008-0000-0700-0000D7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16" name="Text Box 75">
          <a:extLst>
            <a:ext uri="{FF2B5EF4-FFF2-40B4-BE49-F238E27FC236}">
              <a16:creationId xmlns:a16="http://schemas.microsoft.com/office/drawing/2014/main" id="{00000000-0008-0000-0700-0000D8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17" name="Text Box 75">
          <a:extLst>
            <a:ext uri="{FF2B5EF4-FFF2-40B4-BE49-F238E27FC236}">
              <a16:creationId xmlns:a16="http://schemas.microsoft.com/office/drawing/2014/main" id="{00000000-0008-0000-0700-0000D9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20" name="Text Box 75">
          <a:extLst>
            <a:ext uri="{FF2B5EF4-FFF2-40B4-BE49-F238E27FC236}">
              <a16:creationId xmlns:a16="http://schemas.microsoft.com/office/drawing/2014/main" id="{00000000-0008-0000-0700-0000DC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21" name="Text Box 75">
          <a:extLst>
            <a:ext uri="{FF2B5EF4-FFF2-40B4-BE49-F238E27FC236}">
              <a16:creationId xmlns:a16="http://schemas.microsoft.com/office/drawing/2014/main" id="{00000000-0008-0000-0700-0000DD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22" name="Text Box 75">
          <a:extLst>
            <a:ext uri="{FF2B5EF4-FFF2-40B4-BE49-F238E27FC236}">
              <a16:creationId xmlns:a16="http://schemas.microsoft.com/office/drawing/2014/main" id="{00000000-0008-0000-0700-0000DE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23" name="Text Box 75">
          <a:extLst>
            <a:ext uri="{FF2B5EF4-FFF2-40B4-BE49-F238E27FC236}">
              <a16:creationId xmlns:a16="http://schemas.microsoft.com/office/drawing/2014/main" id="{00000000-0008-0000-0700-0000DF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30" name="Text Box 75">
          <a:extLst>
            <a:ext uri="{FF2B5EF4-FFF2-40B4-BE49-F238E27FC236}">
              <a16:creationId xmlns:a16="http://schemas.microsoft.com/office/drawing/2014/main" id="{00000000-0008-0000-0700-0000E6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31" name="Text Box 75">
          <a:extLst>
            <a:ext uri="{FF2B5EF4-FFF2-40B4-BE49-F238E27FC236}">
              <a16:creationId xmlns:a16="http://schemas.microsoft.com/office/drawing/2014/main" id="{00000000-0008-0000-0700-0000E7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32" name="Text Box 75">
          <a:extLst>
            <a:ext uri="{FF2B5EF4-FFF2-40B4-BE49-F238E27FC236}">
              <a16:creationId xmlns:a16="http://schemas.microsoft.com/office/drawing/2014/main" id="{00000000-0008-0000-0700-0000E8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33" name="Text Box 75">
          <a:extLst>
            <a:ext uri="{FF2B5EF4-FFF2-40B4-BE49-F238E27FC236}">
              <a16:creationId xmlns:a16="http://schemas.microsoft.com/office/drawing/2014/main" id="{00000000-0008-0000-0700-0000E9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34" name="Text Box 75">
          <a:extLst>
            <a:ext uri="{FF2B5EF4-FFF2-40B4-BE49-F238E27FC236}">
              <a16:creationId xmlns:a16="http://schemas.microsoft.com/office/drawing/2014/main" id="{00000000-0008-0000-0700-0000EA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35" name="Text Box 75">
          <a:extLst>
            <a:ext uri="{FF2B5EF4-FFF2-40B4-BE49-F238E27FC236}">
              <a16:creationId xmlns:a16="http://schemas.microsoft.com/office/drawing/2014/main" id="{00000000-0008-0000-0700-0000EB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38" name="Text Box 75">
          <a:extLst>
            <a:ext uri="{FF2B5EF4-FFF2-40B4-BE49-F238E27FC236}">
              <a16:creationId xmlns:a16="http://schemas.microsoft.com/office/drawing/2014/main" id="{00000000-0008-0000-0700-0000EE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39" name="Text Box 75">
          <a:extLst>
            <a:ext uri="{FF2B5EF4-FFF2-40B4-BE49-F238E27FC236}">
              <a16:creationId xmlns:a16="http://schemas.microsoft.com/office/drawing/2014/main" id="{00000000-0008-0000-0700-0000EF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40" name="Text Box 75">
          <a:extLst>
            <a:ext uri="{FF2B5EF4-FFF2-40B4-BE49-F238E27FC236}">
              <a16:creationId xmlns:a16="http://schemas.microsoft.com/office/drawing/2014/main" id="{00000000-0008-0000-0700-0000F0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241" name="Text Box 75">
          <a:extLst>
            <a:ext uri="{FF2B5EF4-FFF2-40B4-BE49-F238E27FC236}">
              <a16:creationId xmlns:a16="http://schemas.microsoft.com/office/drawing/2014/main" id="{00000000-0008-0000-0700-0000F100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86" name="Text Box 75">
          <a:extLst>
            <a:ext uri="{FF2B5EF4-FFF2-40B4-BE49-F238E27FC236}">
              <a16:creationId xmlns:a16="http://schemas.microsoft.com/office/drawing/2014/main" id="{00000000-0008-0000-0700-00001E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87" name="Text Box 75">
          <a:extLst>
            <a:ext uri="{FF2B5EF4-FFF2-40B4-BE49-F238E27FC236}">
              <a16:creationId xmlns:a16="http://schemas.microsoft.com/office/drawing/2014/main" id="{00000000-0008-0000-0700-00001F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88" name="Text Box 75">
          <a:extLst>
            <a:ext uri="{FF2B5EF4-FFF2-40B4-BE49-F238E27FC236}">
              <a16:creationId xmlns:a16="http://schemas.microsoft.com/office/drawing/2014/main" id="{00000000-0008-0000-0700-000020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89" name="Text Box 75">
          <a:extLst>
            <a:ext uri="{FF2B5EF4-FFF2-40B4-BE49-F238E27FC236}">
              <a16:creationId xmlns:a16="http://schemas.microsoft.com/office/drawing/2014/main" id="{00000000-0008-0000-0700-000021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0" name="Text Box 75">
          <a:extLst>
            <a:ext uri="{FF2B5EF4-FFF2-40B4-BE49-F238E27FC236}">
              <a16:creationId xmlns:a16="http://schemas.microsoft.com/office/drawing/2014/main" id="{00000000-0008-0000-0700-000022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1" name="Text Box 75">
          <a:extLst>
            <a:ext uri="{FF2B5EF4-FFF2-40B4-BE49-F238E27FC236}">
              <a16:creationId xmlns:a16="http://schemas.microsoft.com/office/drawing/2014/main" id="{00000000-0008-0000-0700-000023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2" name="Text Box 75">
          <a:extLst>
            <a:ext uri="{FF2B5EF4-FFF2-40B4-BE49-F238E27FC236}">
              <a16:creationId xmlns:a16="http://schemas.microsoft.com/office/drawing/2014/main" id="{00000000-0008-0000-0700-000024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3" name="Text Box 75">
          <a:extLst>
            <a:ext uri="{FF2B5EF4-FFF2-40B4-BE49-F238E27FC236}">
              <a16:creationId xmlns:a16="http://schemas.microsoft.com/office/drawing/2014/main" id="{00000000-0008-0000-0700-000025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4" name="Text Box 75">
          <a:extLst>
            <a:ext uri="{FF2B5EF4-FFF2-40B4-BE49-F238E27FC236}">
              <a16:creationId xmlns:a16="http://schemas.microsoft.com/office/drawing/2014/main" id="{00000000-0008-0000-0700-000026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5" name="Text Box 75">
          <a:extLst>
            <a:ext uri="{FF2B5EF4-FFF2-40B4-BE49-F238E27FC236}">
              <a16:creationId xmlns:a16="http://schemas.microsoft.com/office/drawing/2014/main" id="{00000000-0008-0000-0700-000027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6" name="Text Box 75">
          <a:extLst>
            <a:ext uri="{FF2B5EF4-FFF2-40B4-BE49-F238E27FC236}">
              <a16:creationId xmlns:a16="http://schemas.microsoft.com/office/drawing/2014/main" id="{00000000-0008-0000-0700-000028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7" name="Text Box 75">
          <a:extLst>
            <a:ext uri="{FF2B5EF4-FFF2-40B4-BE49-F238E27FC236}">
              <a16:creationId xmlns:a16="http://schemas.microsoft.com/office/drawing/2014/main" id="{00000000-0008-0000-0700-000029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8" name="Text Box 75">
          <a:extLst>
            <a:ext uri="{FF2B5EF4-FFF2-40B4-BE49-F238E27FC236}">
              <a16:creationId xmlns:a16="http://schemas.microsoft.com/office/drawing/2014/main" id="{00000000-0008-0000-0700-00002A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299" name="Text Box 75">
          <a:extLst>
            <a:ext uri="{FF2B5EF4-FFF2-40B4-BE49-F238E27FC236}">
              <a16:creationId xmlns:a16="http://schemas.microsoft.com/office/drawing/2014/main" id="{00000000-0008-0000-0700-00002B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02" name="Text Box 75">
          <a:extLst>
            <a:ext uri="{FF2B5EF4-FFF2-40B4-BE49-F238E27FC236}">
              <a16:creationId xmlns:a16="http://schemas.microsoft.com/office/drawing/2014/main" id="{00000000-0008-0000-0700-00002E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03" name="Text Box 75">
          <a:extLst>
            <a:ext uri="{FF2B5EF4-FFF2-40B4-BE49-F238E27FC236}">
              <a16:creationId xmlns:a16="http://schemas.microsoft.com/office/drawing/2014/main" id="{00000000-0008-0000-0700-00002F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04" name="Text Box 75">
          <a:extLst>
            <a:ext uri="{FF2B5EF4-FFF2-40B4-BE49-F238E27FC236}">
              <a16:creationId xmlns:a16="http://schemas.microsoft.com/office/drawing/2014/main" id="{00000000-0008-0000-0700-000030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05" name="Text Box 75">
          <a:extLst>
            <a:ext uri="{FF2B5EF4-FFF2-40B4-BE49-F238E27FC236}">
              <a16:creationId xmlns:a16="http://schemas.microsoft.com/office/drawing/2014/main" id="{00000000-0008-0000-0700-000031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12" name="Text Box 75">
          <a:extLst>
            <a:ext uri="{FF2B5EF4-FFF2-40B4-BE49-F238E27FC236}">
              <a16:creationId xmlns:a16="http://schemas.microsoft.com/office/drawing/2014/main" id="{00000000-0008-0000-0700-000038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13" name="Text Box 75">
          <a:extLst>
            <a:ext uri="{FF2B5EF4-FFF2-40B4-BE49-F238E27FC236}">
              <a16:creationId xmlns:a16="http://schemas.microsoft.com/office/drawing/2014/main" id="{00000000-0008-0000-0700-000039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14" name="Text Box 75">
          <a:extLst>
            <a:ext uri="{FF2B5EF4-FFF2-40B4-BE49-F238E27FC236}">
              <a16:creationId xmlns:a16="http://schemas.microsoft.com/office/drawing/2014/main" id="{00000000-0008-0000-0700-00003A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15" name="Text Box 75">
          <a:extLst>
            <a:ext uri="{FF2B5EF4-FFF2-40B4-BE49-F238E27FC236}">
              <a16:creationId xmlns:a16="http://schemas.microsoft.com/office/drawing/2014/main" id="{00000000-0008-0000-0700-00003B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16" name="Text Box 75">
          <a:extLst>
            <a:ext uri="{FF2B5EF4-FFF2-40B4-BE49-F238E27FC236}">
              <a16:creationId xmlns:a16="http://schemas.microsoft.com/office/drawing/2014/main" id="{00000000-0008-0000-0700-00003C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17" name="Text Box 75">
          <a:extLst>
            <a:ext uri="{FF2B5EF4-FFF2-40B4-BE49-F238E27FC236}">
              <a16:creationId xmlns:a16="http://schemas.microsoft.com/office/drawing/2014/main" id="{00000000-0008-0000-0700-00003D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20" name="Text Box 75">
          <a:extLst>
            <a:ext uri="{FF2B5EF4-FFF2-40B4-BE49-F238E27FC236}">
              <a16:creationId xmlns:a16="http://schemas.microsoft.com/office/drawing/2014/main" id="{00000000-0008-0000-0700-000040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21" name="Text Box 75">
          <a:extLst>
            <a:ext uri="{FF2B5EF4-FFF2-40B4-BE49-F238E27FC236}">
              <a16:creationId xmlns:a16="http://schemas.microsoft.com/office/drawing/2014/main" id="{00000000-0008-0000-0700-000041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22" name="Text Box 75">
          <a:extLst>
            <a:ext uri="{FF2B5EF4-FFF2-40B4-BE49-F238E27FC236}">
              <a16:creationId xmlns:a16="http://schemas.microsoft.com/office/drawing/2014/main" id="{00000000-0008-0000-0700-000042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58</xdr:col>
      <xdr:colOff>1400175</xdr:colOff>
      <xdr:row>5</xdr:row>
      <xdr:rowOff>3295650</xdr:rowOff>
    </xdr:from>
    <xdr:to>
      <xdr:col>59</xdr:col>
      <xdr:colOff>85725</xdr:colOff>
      <xdr:row>6</xdr:row>
      <xdr:rowOff>302559</xdr:rowOff>
    </xdr:to>
    <xdr:sp macro="" textlink="">
      <xdr:nvSpPr>
        <xdr:cNvPr id="323" name="Text Box 75">
          <a:extLst>
            <a:ext uri="{FF2B5EF4-FFF2-40B4-BE49-F238E27FC236}">
              <a16:creationId xmlns:a16="http://schemas.microsoft.com/office/drawing/2014/main" id="{00000000-0008-0000-0700-000043010000}"/>
            </a:ext>
          </a:extLst>
        </xdr:cNvPr>
        <xdr:cNvSpPr txBox="1">
          <a:spLocks noChangeArrowheads="1"/>
        </xdr:cNvSpPr>
      </xdr:nvSpPr>
      <xdr:spPr bwMode="auto">
        <a:xfrm>
          <a:off x="7543800" y="77142975"/>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382" name="Text Box 75">
          <a:extLst>
            <a:ext uri="{FF2B5EF4-FFF2-40B4-BE49-F238E27FC236}">
              <a16:creationId xmlns:a16="http://schemas.microsoft.com/office/drawing/2014/main" id="{00000000-0008-0000-0700-00007E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383" name="Text Box 75">
          <a:extLst>
            <a:ext uri="{FF2B5EF4-FFF2-40B4-BE49-F238E27FC236}">
              <a16:creationId xmlns:a16="http://schemas.microsoft.com/office/drawing/2014/main" id="{00000000-0008-0000-0700-00007F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388" name="Text Box 75">
          <a:extLst>
            <a:ext uri="{FF2B5EF4-FFF2-40B4-BE49-F238E27FC236}">
              <a16:creationId xmlns:a16="http://schemas.microsoft.com/office/drawing/2014/main" id="{00000000-0008-0000-0700-000084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389" name="Text Box 75">
          <a:extLst>
            <a:ext uri="{FF2B5EF4-FFF2-40B4-BE49-F238E27FC236}">
              <a16:creationId xmlns:a16="http://schemas.microsoft.com/office/drawing/2014/main" id="{00000000-0008-0000-0700-000085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390" name="Text Box 75">
          <a:extLst>
            <a:ext uri="{FF2B5EF4-FFF2-40B4-BE49-F238E27FC236}">
              <a16:creationId xmlns:a16="http://schemas.microsoft.com/office/drawing/2014/main" id="{00000000-0008-0000-0700-000086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391" name="Text Box 75">
          <a:extLst>
            <a:ext uri="{FF2B5EF4-FFF2-40B4-BE49-F238E27FC236}">
              <a16:creationId xmlns:a16="http://schemas.microsoft.com/office/drawing/2014/main" id="{00000000-0008-0000-0700-000087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392" name="Text Box 75">
          <a:extLst>
            <a:ext uri="{FF2B5EF4-FFF2-40B4-BE49-F238E27FC236}">
              <a16:creationId xmlns:a16="http://schemas.microsoft.com/office/drawing/2014/main" id="{00000000-0008-0000-0700-000088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393" name="Text Box 75">
          <a:extLst>
            <a:ext uri="{FF2B5EF4-FFF2-40B4-BE49-F238E27FC236}">
              <a16:creationId xmlns:a16="http://schemas.microsoft.com/office/drawing/2014/main" id="{00000000-0008-0000-0700-000089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00" name="Text Box 75">
          <a:extLst>
            <a:ext uri="{FF2B5EF4-FFF2-40B4-BE49-F238E27FC236}">
              <a16:creationId xmlns:a16="http://schemas.microsoft.com/office/drawing/2014/main" id="{00000000-0008-0000-0700-000090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01" name="Text Box 75">
          <a:extLst>
            <a:ext uri="{FF2B5EF4-FFF2-40B4-BE49-F238E27FC236}">
              <a16:creationId xmlns:a16="http://schemas.microsoft.com/office/drawing/2014/main" id="{00000000-0008-0000-0700-000091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06" name="Text Box 75">
          <a:extLst>
            <a:ext uri="{FF2B5EF4-FFF2-40B4-BE49-F238E27FC236}">
              <a16:creationId xmlns:a16="http://schemas.microsoft.com/office/drawing/2014/main" id="{00000000-0008-0000-0700-000096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07" name="Text Box 75">
          <a:extLst>
            <a:ext uri="{FF2B5EF4-FFF2-40B4-BE49-F238E27FC236}">
              <a16:creationId xmlns:a16="http://schemas.microsoft.com/office/drawing/2014/main" id="{00000000-0008-0000-0700-000097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08" name="Text Box 75">
          <a:extLst>
            <a:ext uri="{FF2B5EF4-FFF2-40B4-BE49-F238E27FC236}">
              <a16:creationId xmlns:a16="http://schemas.microsoft.com/office/drawing/2014/main" id="{00000000-0008-0000-0700-000098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09" name="Text Box 75">
          <a:extLst>
            <a:ext uri="{FF2B5EF4-FFF2-40B4-BE49-F238E27FC236}">
              <a16:creationId xmlns:a16="http://schemas.microsoft.com/office/drawing/2014/main" id="{00000000-0008-0000-0700-000099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0" name="Text Box 75">
          <a:extLst>
            <a:ext uri="{FF2B5EF4-FFF2-40B4-BE49-F238E27FC236}">
              <a16:creationId xmlns:a16="http://schemas.microsoft.com/office/drawing/2014/main" id="{00000000-0008-0000-0700-00009A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1" name="Text Box 75">
          <a:extLst>
            <a:ext uri="{FF2B5EF4-FFF2-40B4-BE49-F238E27FC236}">
              <a16:creationId xmlns:a16="http://schemas.microsoft.com/office/drawing/2014/main" id="{00000000-0008-0000-0700-00009B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2" name="Text Box 75">
          <a:extLst>
            <a:ext uri="{FF2B5EF4-FFF2-40B4-BE49-F238E27FC236}">
              <a16:creationId xmlns:a16="http://schemas.microsoft.com/office/drawing/2014/main" id="{00000000-0008-0000-0700-00009C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3" name="Text Box 75">
          <a:extLst>
            <a:ext uri="{FF2B5EF4-FFF2-40B4-BE49-F238E27FC236}">
              <a16:creationId xmlns:a16="http://schemas.microsoft.com/office/drawing/2014/main" id="{00000000-0008-0000-0700-00009D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4" name="Text Box 75">
          <a:extLst>
            <a:ext uri="{FF2B5EF4-FFF2-40B4-BE49-F238E27FC236}">
              <a16:creationId xmlns:a16="http://schemas.microsoft.com/office/drawing/2014/main" id="{00000000-0008-0000-0700-00009E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5" name="Text Box 75">
          <a:extLst>
            <a:ext uri="{FF2B5EF4-FFF2-40B4-BE49-F238E27FC236}">
              <a16:creationId xmlns:a16="http://schemas.microsoft.com/office/drawing/2014/main" id="{00000000-0008-0000-0700-00009F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6" name="Text Box 75">
          <a:extLst>
            <a:ext uri="{FF2B5EF4-FFF2-40B4-BE49-F238E27FC236}">
              <a16:creationId xmlns:a16="http://schemas.microsoft.com/office/drawing/2014/main" id="{00000000-0008-0000-0700-0000A0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7" name="Text Box 75">
          <a:extLst>
            <a:ext uri="{FF2B5EF4-FFF2-40B4-BE49-F238E27FC236}">
              <a16:creationId xmlns:a16="http://schemas.microsoft.com/office/drawing/2014/main" id="{00000000-0008-0000-0700-0000A1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8" name="Text Box 75">
          <a:extLst>
            <a:ext uri="{FF2B5EF4-FFF2-40B4-BE49-F238E27FC236}">
              <a16:creationId xmlns:a16="http://schemas.microsoft.com/office/drawing/2014/main" id="{00000000-0008-0000-0700-0000A2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19" name="Text Box 75">
          <a:extLst>
            <a:ext uri="{FF2B5EF4-FFF2-40B4-BE49-F238E27FC236}">
              <a16:creationId xmlns:a16="http://schemas.microsoft.com/office/drawing/2014/main" id="{00000000-0008-0000-0700-0000A3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0" name="Text Box 75">
          <a:extLst>
            <a:ext uri="{FF2B5EF4-FFF2-40B4-BE49-F238E27FC236}">
              <a16:creationId xmlns:a16="http://schemas.microsoft.com/office/drawing/2014/main" id="{00000000-0008-0000-0700-0000A4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1" name="Text Box 75">
          <a:extLst>
            <a:ext uri="{FF2B5EF4-FFF2-40B4-BE49-F238E27FC236}">
              <a16:creationId xmlns:a16="http://schemas.microsoft.com/office/drawing/2014/main" id="{00000000-0008-0000-0700-0000A5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2" name="Text Box 75">
          <a:extLst>
            <a:ext uri="{FF2B5EF4-FFF2-40B4-BE49-F238E27FC236}">
              <a16:creationId xmlns:a16="http://schemas.microsoft.com/office/drawing/2014/main" id="{00000000-0008-0000-0700-0000A6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3" name="Text Box 75">
          <a:extLst>
            <a:ext uri="{FF2B5EF4-FFF2-40B4-BE49-F238E27FC236}">
              <a16:creationId xmlns:a16="http://schemas.microsoft.com/office/drawing/2014/main" id="{00000000-0008-0000-0700-0000A7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4" name="Text Box 75">
          <a:extLst>
            <a:ext uri="{FF2B5EF4-FFF2-40B4-BE49-F238E27FC236}">
              <a16:creationId xmlns:a16="http://schemas.microsoft.com/office/drawing/2014/main" id="{00000000-0008-0000-0700-0000A8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5" name="Text Box 75">
          <a:extLst>
            <a:ext uri="{FF2B5EF4-FFF2-40B4-BE49-F238E27FC236}">
              <a16:creationId xmlns:a16="http://schemas.microsoft.com/office/drawing/2014/main" id="{00000000-0008-0000-0700-0000A9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6" name="Text Box 75">
          <a:extLst>
            <a:ext uri="{FF2B5EF4-FFF2-40B4-BE49-F238E27FC236}">
              <a16:creationId xmlns:a16="http://schemas.microsoft.com/office/drawing/2014/main" id="{00000000-0008-0000-0700-0000AA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7" name="Text Box 75">
          <a:extLst>
            <a:ext uri="{FF2B5EF4-FFF2-40B4-BE49-F238E27FC236}">
              <a16:creationId xmlns:a16="http://schemas.microsoft.com/office/drawing/2014/main" id="{00000000-0008-0000-0700-0000AB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8" name="Text Box 75">
          <a:extLst>
            <a:ext uri="{FF2B5EF4-FFF2-40B4-BE49-F238E27FC236}">
              <a16:creationId xmlns:a16="http://schemas.microsoft.com/office/drawing/2014/main" id="{00000000-0008-0000-0700-0000AC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29" name="Text Box 75">
          <a:extLst>
            <a:ext uri="{FF2B5EF4-FFF2-40B4-BE49-F238E27FC236}">
              <a16:creationId xmlns:a16="http://schemas.microsoft.com/office/drawing/2014/main" id="{00000000-0008-0000-0700-0000AD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0" name="Text Box 75">
          <a:extLst>
            <a:ext uri="{FF2B5EF4-FFF2-40B4-BE49-F238E27FC236}">
              <a16:creationId xmlns:a16="http://schemas.microsoft.com/office/drawing/2014/main" id="{00000000-0008-0000-0700-0000AE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1" name="Text Box 75">
          <a:extLst>
            <a:ext uri="{FF2B5EF4-FFF2-40B4-BE49-F238E27FC236}">
              <a16:creationId xmlns:a16="http://schemas.microsoft.com/office/drawing/2014/main" id="{00000000-0008-0000-0700-0000AF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2" name="Text Box 75">
          <a:extLst>
            <a:ext uri="{FF2B5EF4-FFF2-40B4-BE49-F238E27FC236}">
              <a16:creationId xmlns:a16="http://schemas.microsoft.com/office/drawing/2014/main" id="{00000000-0008-0000-0700-0000B0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3" name="Text Box 75">
          <a:extLst>
            <a:ext uri="{FF2B5EF4-FFF2-40B4-BE49-F238E27FC236}">
              <a16:creationId xmlns:a16="http://schemas.microsoft.com/office/drawing/2014/main" id="{00000000-0008-0000-0700-0000B1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4" name="Text Box 75">
          <a:extLst>
            <a:ext uri="{FF2B5EF4-FFF2-40B4-BE49-F238E27FC236}">
              <a16:creationId xmlns:a16="http://schemas.microsoft.com/office/drawing/2014/main" id="{00000000-0008-0000-0700-0000B2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5" name="Text Box 75">
          <a:extLst>
            <a:ext uri="{FF2B5EF4-FFF2-40B4-BE49-F238E27FC236}">
              <a16:creationId xmlns:a16="http://schemas.microsoft.com/office/drawing/2014/main" id="{00000000-0008-0000-0700-0000B3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6" name="Text Box 75">
          <a:extLst>
            <a:ext uri="{FF2B5EF4-FFF2-40B4-BE49-F238E27FC236}">
              <a16:creationId xmlns:a16="http://schemas.microsoft.com/office/drawing/2014/main" id="{00000000-0008-0000-0700-0000B4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7" name="Text Box 75">
          <a:extLst>
            <a:ext uri="{FF2B5EF4-FFF2-40B4-BE49-F238E27FC236}">
              <a16:creationId xmlns:a16="http://schemas.microsoft.com/office/drawing/2014/main" id="{00000000-0008-0000-0700-0000B5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8" name="Text Box 75">
          <a:extLst>
            <a:ext uri="{FF2B5EF4-FFF2-40B4-BE49-F238E27FC236}">
              <a16:creationId xmlns:a16="http://schemas.microsoft.com/office/drawing/2014/main" id="{00000000-0008-0000-0700-0000B6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39" name="Text Box 75">
          <a:extLst>
            <a:ext uri="{FF2B5EF4-FFF2-40B4-BE49-F238E27FC236}">
              <a16:creationId xmlns:a16="http://schemas.microsoft.com/office/drawing/2014/main" id="{00000000-0008-0000-0700-0000B7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0" name="Text Box 75">
          <a:extLst>
            <a:ext uri="{FF2B5EF4-FFF2-40B4-BE49-F238E27FC236}">
              <a16:creationId xmlns:a16="http://schemas.microsoft.com/office/drawing/2014/main" id="{00000000-0008-0000-0700-0000B8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1" name="Text Box 75">
          <a:extLst>
            <a:ext uri="{FF2B5EF4-FFF2-40B4-BE49-F238E27FC236}">
              <a16:creationId xmlns:a16="http://schemas.microsoft.com/office/drawing/2014/main" id="{00000000-0008-0000-0700-0000B9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2" name="Text Box 75">
          <a:extLst>
            <a:ext uri="{FF2B5EF4-FFF2-40B4-BE49-F238E27FC236}">
              <a16:creationId xmlns:a16="http://schemas.microsoft.com/office/drawing/2014/main" id="{00000000-0008-0000-0700-0000BA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3" name="Text Box 75">
          <a:extLst>
            <a:ext uri="{FF2B5EF4-FFF2-40B4-BE49-F238E27FC236}">
              <a16:creationId xmlns:a16="http://schemas.microsoft.com/office/drawing/2014/main" id="{00000000-0008-0000-0700-0000BB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4" name="Text Box 75">
          <a:extLst>
            <a:ext uri="{FF2B5EF4-FFF2-40B4-BE49-F238E27FC236}">
              <a16:creationId xmlns:a16="http://schemas.microsoft.com/office/drawing/2014/main" id="{00000000-0008-0000-0700-0000BC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5" name="Text Box 75">
          <a:extLst>
            <a:ext uri="{FF2B5EF4-FFF2-40B4-BE49-F238E27FC236}">
              <a16:creationId xmlns:a16="http://schemas.microsoft.com/office/drawing/2014/main" id="{00000000-0008-0000-0700-0000BD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6" name="Text Box 75">
          <a:extLst>
            <a:ext uri="{FF2B5EF4-FFF2-40B4-BE49-F238E27FC236}">
              <a16:creationId xmlns:a16="http://schemas.microsoft.com/office/drawing/2014/main" id="{00000000-0008-0000-0700-0000BE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7" name="Text Box 75">
          <a:extLst>
            <a:ext uri="{FF2B5EF4-FFF2-40B4-BE49-F238E27FC236}">
              <a16:creationId xmlns:a16="http://schemas.microsoft.com/office/drawing/2014/main" id="{00000000-0008-0000-0700-0000BF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8" name="Text Box 75">
          <a:extLst>
            <a:ext uri="{FF2B5EF4-FFF2-40B4-BE49-F238E27FC236}">
              <a16:creationId xmlns:a16="http://schemas.microsoft.com/office/drawing/2014/main" id="{00000000-0008-0000-0700-0000C0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49" name="Text Box 75">
          <a:extLst>
            <a:ext uri="{FF2B5EF4-FFF2-40B4-BE49-F238E27FC236}">
              <a16:creationId xmlns:a16="http://schemas.microsoft.com/office/drawing/2014/main" id="{00000000-0008-0000-0700-0000C1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0" name="Text Box 75">
          <a:extLst>
            <a:ext uri="{FF2B5EF4-FFF2-40B4-BE49-F238E27FC236}">
              <a16:creationId xmlns:a16="http://schemas.microsoft.com/office/drawing/2014/main" id="{00000000-0008-0000-0700-0000C2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1" name="Text Box 75">
          <a:extLst>
            <a:ext uri="{FF2B5EF4-FFF2-40B4-BE49-F238E27FC236}">
              <a16:creationId xmlns:a16="http://schemas.microsoft.com/office/drawing/2014/main" id="{00000000-0008-0000-0700-0000C3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2" name="Text Box 75">
          <a:extLst>
            <a:ext uri="{FF2B5EF4-FFF2-40B4-BE49-F238E27FC236}">
              <a16:creationId xmlns:a16="http://schemas.microsoft.com/office/drawing/2014/main" id="{00000000-0008-0000-0700-0000C4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3" name="Text Box 75">
          <a:extLst>
            <a:ext uri="{FF2B5EF4-FFF2-40B4-BE49-F238E27FC236}">
              <a16:creationId xmlns:a16="http://schemas.microsoft.com/office/drawing/2014/main" id="{00000000-0008-0000-0700-0000C5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4" name="Text Box 75">
          <a:extLst>
            <a:ext uri="{FF2B5EF4-FFF2-40B4-BE49-F238E27FC236}">
              <a16:creationId xmlns:a16="http://schemas.microsoft.com/office/drawing/2014/main" id="{00000000-0008-0000-0700-0000C6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5" name="Text Box 75">
          <a:extLst>
            <a:ext uri="{FF2B5EF4-FFF2-40B4-BE49-F238E27FC236}">
              <a16:creationId xmlns:a16="http://schemas.microsoft.com/office/drawing/2014/main" id="{00000000-0008-0000-0700-0000C7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6" name="Text Box 75">
          <a:extLst>
            <a:ext uri="{FF2B5EF4-FFF2-40B4-BE49-F238E27FC236}">
              <a16:creationId xmlns:a16="http://schemas.microsoft.com/office/drawing/2014/main" id="{00000000-0008-0000-0700-0000C8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7" name="Text Box 75">
          <a:extLst>
            <a:ext uri="{FF2B5EF4-FFF2-40B4-BE49-F238E27FC236}">
              <a16:creationId xmlns:a16="http://schemas.microsoft.com/office/drawing/2014/main" id="{00000000-0008-0000-0700-0000C9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8" name="Text Box 75">
          <a:extLst>
            <a:ext uri="{FF2B5EF4-FFF2-40B4-BE49-F238E27FC236}">
              <a16:creationId xmlns:a16="http://schemas.microsoft.com/office/drawing/2014/main" id="{00000000-0008-0000-0700-0000CA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59" name="Text Box 75">
          <a:extLst>
            <a:ext uri="{FF2B5EF4-FFF2-40B4-BE49-F238E27FC236}">
              <a16:creationId xmlns:a16="http://schemas.microsoft.com/office/drawing/2014/main" id="{00000000-0008-0000-0700-0000CB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0" name="Text Box 75">
          <a:extLst>
            <a:ext uri="{FF2B5EF4-FFF2-40B4-BE49-F238E27FC236}">
              <a16:creationId xmlns:a16="http://schemas.microsoft.com/office/drawing/2014/main" id="{00000000-0008-0000-0700-0000CC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1" name="Text Box 75">
          <a:extLst>
            <a:ext uri="{FF2B5EF4-FFF2-40B4-BE49-F238E27FC236}">
              <a16:creationId xmlns:a16="http://schemas.microsoft.com/office/drawing/2014/main" id="{00000000-0008-0000-0700-0000CD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2" name="Text Box 75">
          <a:extLst>
            <a:ext uri="{FF2B5EF4-FFF2-40B4-BE49-F238E27FC236}">
              <a16:creationId xmlns:a16="http://schemas.microsoft.com/office/drawing/2014/main" id="{00000000-0008-0000-0700-0000CE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3" name="Text Box 75">
          <a:extLst>
            <a:ext uri="{FF2B5EF4-FFF2-40B4-BE49-F238E27FC236}">
              <a16:creationId xmlns:a16="http://schemas.microsoft.com/office/drawing/2014/main" id="{00000000-0008-0000-0700-0000CF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4" name="Text Box 75">
          <a:extLst>
            <a:ext uri="{FF2B5EF4-FFF2-40B4-BE49-F238E27FC236}">
              <a16:creationId xmlns:a16="http://schemas.microsoft.com/office/drawing/2014/main" id="{00000000-0008-0000-0700-0000D0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5" name="Text Box 75">
          <a:extLst>
            <a:ext uri="{FF2B5EF4-FFF2-40B4-BE49-F238E27FC236}">
              <a16:creationId xmlns:a16="http://schemas.microsoft.com/office/drawing/2014/main" id="{00000000-0008-0000-0700-0000D1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6" name="Text Box 75">
          <a:extLst>
            <a:ext uri="{FF2B5EF4-FFF2-40B4-BE49-F238E27FC236}">
              <a16:creationId xmlns:a16="http://schemas.microsoft.com/office/drawing/2014/main" id="{00000000-0008-0000-0700-0000D2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7" name="Text Box 75">
          <a:extLst>
            <a:ext uri="{FF2B5EF4-FFF2-40B4-BE49-F238E27FC236}">
              <a16:creationId xmlns:a16="http://schemas.microsoft.com/office/drawing/2014/main" id="{00000000-0008-0000-0700-0000D3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8" name="Text Box 75">
          <a:extLst>
            <a:ext uri="{FF2B5EF4-FFF2-40B4-BE49-F238E27FC236}">
              <a16:creationId xmlns:a16="http://schemas.microsoft.com/office/drawing/2014/main" id="{00000000-0008-0000-0700-0000D4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69" name="Text Box 75">
          <a:extLst>
            <a:ext uri="{FF2B5EF4-FFF2-40B4-BE49-F238E27FC236}">
              <a16:creationId xmlns:a16="http://schemas.microsoft.com/office/drawing/2014/main" id="{00000000-0008-0000-0700-0000D5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0" name="Text Box 75">
          <a:extLst>
            <a:ext uri="{FF2B5EF4-FFF2-40B4-BE49-F238E27FC236}">
              <a16:creationId xmlns:a16="http://schemas.microsoft.com/office/drawing/2014/main" id="{00000000-0008-0000-0700-0000D6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1" name="Text Box 75">
          <a:extLst>
            <a:ext uri="{FF2B5EF4-FFF2-40B4-BE49-F238E27FC236}">
              <a16:creationId xmlns:a16="http://schemas.microsoft.com/office/drawing/2014/main" id="{00000000-0008-0000-0700-0000D7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2" name="Text Box 75">
          <a:extLst>
            <a:ext uri="{FF2B5EF4-FFF2-40B4-BE49-F238E27FC236}">
              <a16:creationId xmlns:a16="http://schemas.microsoft.com/office/drawing/2014/main" id="{00000000-0008-0000-0700-0000D8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3" name="Text Box 75">
          <a:extLst>
            <a:ext uri="{FF2B5EF4-FFF2-40B4-BE49-F238E27FC236}">
              <a16:creationId xmlns:a16="http://schemas.microsoft.com/office/drawing/2014/main" id="{00000000-0008-0000-0700-0000D9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4" name="Text Box 75">
          <a:extLst>
            <a:ext uri="{FF2B5EF4-FFF2-40B4-BE49-F238E27FC236}">
              <a16:creationId xmlns:a16="http://schemas.microsoft.com/office/drawing/2014/main" id="{00000000-0008-0000-0700-0000DA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5" name="Text Box 75">
          <a:extLst>
            <a:ext uri="{FF2B5EF4-FFF2-40B4-BE49-F238E27FC236}">
              <a16:creationId xmlns:a16="http://schemas.microsoft.com/office/drawing/2014/main" id="{00000000-0008-0000-0700-0000DB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6" name="Text Box 75">
          <a:extLst>
            <a:ext uri="{FF2B5EF4-FFF2-40B4-BE49-F238E27FC236}">
              <a16:creationId xmlns:a16="http://schemas.microsoft.com/office/drawing/2014/main" id="{00000000-0008-0000-0700-0000DC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7" name="Text Box 75">
          <a:extLst>
            <a:ext uri="{FF2B5EF4-FFF2-40B4-BE49-F238E27FC236}">
              <a16:creationId xmlns:a16="http://schemas.microsoft.com/office/drawing/2014/main" id="{00000000-0008-0000-0700-0000DD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8" name="Text Box 75">
          <a:extLst>
            <a:ext uri="{FF2B5EF4-FFF2-40B4-BE49-F238E27FC236}">
              <a16:creationId xmlns:a16="http://schemas.microsoft.com/office/drawing/2014/main" id="{00000000-0008-0000-0700-0000DE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79" name="Text Box 75">
          <a:extLst>
            <a:ext uri="{FF2B5EF4-FFF2-40B4-BE49-F238E27FC236}">
              <a16:creationId xmlns:a16="http://schemas.microsoft.com/office/drawing/2014/main" id="{00000000-0008-0000-0700-0000DF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0" name="Text Box 75">
          <a:extLst>
            <a:ext uri="{FF2B5EF4-FFF2-40B4-BE49-F238E27FC236}">
              <a16:creationId xmlns:a16="http://schemas.microsoft.com/office/drawing/2014/main" id="{00000000-0008-0000-0700-0000E0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1" name="Text Box 75">
          <a:extLst>
            <a:ext uri="{FF2B5EF4-FFF2-40B4-BE49-F238E27FC236}">
              <a16:creationId xmlns:a16="http://schemas.microsoft.com/office/drawing/2014/main" id="{00000000-0008-0000-0700-0000E1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2" name="Text Box 75">
          <a:extLst>
            <a:ext uri="{FF2B5EF4-FFF2-40B4-BE49-F238E27FC236}">
              <a16:creationId xmlns:a16="http://schemas.microsoft.com/office/drawing/2014/main" id="{00000000-0008-0000-0700-0000E2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3" name="Text Box 75">
          <a:extLst>
            <a:ext uri="{FF2B5EF4-FFF2-40B4-BE49-F238E27FC236}">
              <a16:creationId xmlns:a16="http://schemas.microsoft.com/office/drawing/2014/main" id="{00000000-0008-0000-0700-0000E3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4" name="Text Box 75">
          <a:extLst>
            <a:ext uri="{FF2B5EF4-FFF2-40B4-BE49-F238E27FC236}">
              <a16:creationId xmlns:a16="http://schemas.microsoft.com/office/drawing/2014/main" id="{00000000-0008-0000-0700-0000E4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5" name="Text Box 75">
          <a:extLst>
            <a:ext uri="{FF2B5EF4-FFF2-40B4-BE49-F238E27FC236}">
              <a16:creationId xmlns:a16="http://schemas.microsoft.com/office/drawing/2014/main" id="{00000000-0008-0000-0700-0000E5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6" name="Text Box 75">
          <a:extLst>
            <a:ext uri="{FF2B5EF4-FFF2-40B4-BE49-F238E27FC236}">
              <a16:creationId xmlns:a16="http://schemas.microsoft.com/office/drawing/2014/main" id="{00000000-0008-0000-0700-0000E6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7" name="Text Box 75">
          <a:extLst>
            <a:ext uri="{FF2B5EF4-FFF2-40B4-BE49-F238E27FC236}">
              <a16:creationId xmlns:a16="http://schemas.microsoft.com/office/drawing/2014/main" id="{00000000-0008-0000-0700-0000E7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8" name="Text Box 75">
          <a:extLst>
            <a:ext uri="{FF2B5EF4-FFF2-40B4-BE49-F238E27FC236}">
              <a16:creationId xmlns:a16="http://schemas.microsoft.com/office/drawing/2014/main" id="{00000000-0008-0000-0700-0000E8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89" name="Text Box 75">
          <a:extLst>
            <a:ext uri="{FF2B5EF4-FFF2-40B4-BE49-F238E27FC236}">
              <a16:creationId xmlns:a16="http://schemas.microsoft.com/office/drawing/2014/main" id="{00000000-0008-0000-0700-0000E9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90" name="Text Box 75">
          <a:extLst>
            <a:ext uri="{FF2B5EF4-FFF2-40B4-BE49-F238E27FC236}">
              <a16:creationId xmlns:a16="http://schemas.microsoft.com/office/drawing/2014/main" id="{00000000-0008-0000-0700-0000EA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91" name="Text Box 75">
          <a:extLst>
            <a:ext uri="{FF2B5EF4-FFF2-40B4-BE49-F238E27FC236}">
              <a16:creationId xmlns:a16="http://schemas.microsoft.com/office/drawing/2014/main" id="{00000000-0008-0000-0700-0000EB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94" name="Text Box 75">
          <a:extLst>
            <a:ext uri="{FF2B5EF4-FFF2-40B4-BE49-F238E27FC236}">
              <a16:creationId xmlns:a16="http://schemas.microsoft.com/office/drawing/2014/main" id="{00000000-0008-0000-0700-0000EE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95" name="Text Box 75">
          <a:extLst>
            <a:ext uri="{FF2B5EF4-FFF2-40B4-BE49-F238E27FC236}">
              <a16:creationId xmlns:a16="http://schemas.microsoft.com/office/drawing/2014/main" id="{00000000-0008-0000-0700-0000EF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96" name="Text Box 75">
          <a:extLst>
            <a:ext uri="{FF2B5EF4-FFF2-40B4-BE49-F238E27FC236}">
              <a16:creationId xmlns:a16="http://schemas.microsoft.com/office/drawing/2014/main" id="{00000000-0008-0000-0700-0000F0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497" name="Text Box 75">
          <a:extLst>
            <a:ext uri="{FF2B5EF4-FFF2-40B4-BE49-F238E27FC236}">
              <a16:creationId xmlns:a16="http://schemas.microsoft.com/office/drawing/2014/main" id="{00000000-0008-0000-0700-0000F1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04" name="Text Box 75">
          <a:extLst>
            <a:ext uri="{FF2B5EF4-FFF2-40B4-BE49-F238E27FC236}">
              <a16:creationId xmlns:a16="http://schemas.microsoft.com/office/drawing/2014/main" id="{00000000-0008-0000-0700-0000F8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05" name="Text Box 75">
          <a:extLst>
            <a:ext uri="{FF2B5EF4-FFF2-40B4-BE49-F238E27FC236}">
              <a16:creationId xmlns:a16="http://schemas.microsoft.com/office/drawing/2014/main" id="{00000000-0008-0000-0700-0000F9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06" name="Text Box 75">
          <a:extLst>
            <a:ext uri="{FF2B5EF4-FFF2-40B4-BE49-F238E27FC236}">
              <a16:creationId xmlns:a16="http://schemas.microsoft.com/office/drawing/2014/main" id="{00000000-0008-0000-0700-0000FA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07" name="Text Box 75">
          <a:extLst>
            <a:ext uri="{FF2B5EF4-FFF2-40B4-BE49-F238E27FC236}">
              <a16:creationId xmlns:a16="http://schemas.microsoft.com/office/drawing/2014/main" id="{00000000-0008-0000-0700-0000FB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08" name="Text Box 75">
          <a:extLst>
            <a:ext uri="{FF2B5EF4-FFF2-40B4-BE49-F238E27FC236}">
              <a16:creationId xmlns:a16="http://schemas.microsoft.com/office/drawing/2014/main" id="{00000000-0008-0000-0700-0000FC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09" name="Text Box 75">
          <a:extLst>
            <a:ext uri="{FF2B5EF4-FFF2-40B4-BE49-F238E27FC236}">
              <a16:creationId xmlns:a16="http://schemas.microsoft.com/office/drawing/2014/main" id="{00000000-0008-0000-0700-0000FD01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12" name="Text Box 75">
          <a:extLst>
            <a:ext uri="{FF2B5EF4-FFF2-40B4-BE49-F238E27FC236}">
              <a16:creationId xmlns:a16="http://schemas.microsoft.com/office/drawing/2014/main" id="{00000000-0008-0000-0700-00000002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13" name="Text Box 75">
          <a:extLst>
            <a:ext uri="{FF2B5EF4-FFF2-40B4-BE49-F238E27FC236}">
              <a16:creationId xmlns:a16="http://schemas.microsoft.com/office/drawing/2014/main" id="{00000000-0008-0000-0700-00000102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14" name="Text Box 75">
          <a:extLst>
            <a:ext uri="{FF2B5EF4-FFF2-40B4-BE49-F238E27FC236}">
              <a16:creationId xmlns:a16="http://schemas.microsoft.com/office/drawing/2014/main" id="{00000000-0008-0000-0700-00000202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37</xdr:row>
      <xdr:rowOff>340337</xdr:rowOff>
    </xdr:to>
    <xdr:sp macro="" textlink="">
      <xdr:nvSpPr>
        <xdr:cNvPr id="515" name="Text Box 75">
          <a:extLst>
            <a:ext uri="{FF2B5EF4-FFF2-40B4-BE49-F238E27FC236}">
              <a16:creationId xmlns:a16="http://schemas.microsoft.com/office/drawing/2014/main" id="{00000000-0008-0000-0700-000003020000}"/>
            </a:ext>
          </a:extLst>
        </xdr:cNvPr>
        <xdr:cNvSpPr txBox="1">
          <a:spLocks noChangeArrowheads="1"/>
        </xdr:cNvSpPr>
      </xdr:nvSpPr>
      <xdr:spPr bwMode="auto">
        <a:xfrm>
          <a:off x="7543800" y="77142975"/>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593" name="Text Box 75">
          <a:extLst>
            <a:ext uri="{FF2B5EF4-FFF2-40B4-BE49-F238E27FC236}">
              <a16:creationId xmlns:a16="http://schemas.microsoft.com/office/drawing/2014/main" id="{00000000-0008-0000-0700-000051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594" name="Text Box 75">
          <a:extLst>
            <a:ext uri="{FF2B5EF4-FFF2-40B4-BE49-F238E27FC236}">
              <a16:creationId xmlns:a16="http://schemas.microsoft.com/office/drawing/2014/main" id="{00000000-0008-0000-0700-000052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595" name="Text Box 75">
          <a:extLst>
            <a:ext uri="{FF2B5EF4-FFF2-40B4-BE49-F238E27FC236}">
              <a16:creationId xmlns:a16="http://schemas.microsoft.com/office/drawing/2014/main" id="{00000000-0008-0000-0700-000053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596" name="Text Box 75">
          <a:extLst>
            <a:ext uri="{FF2B5EF4-FFF2-40B4-BE49-F238E27FC236}">
              <a16:creationId xmlns:a16="http://schemas.microsoft.com/office/drawing/2014/main" id="{00000000-0008-0000-0700-000054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597" name="Text Box 75">
          <a:extLst>
            <a:ext uri="{FF2B5EF4-FFF2-40B4-BE49-F238E27FC236}">
              <a16:creationId xmlns:a16="http://schemas.microsoft.com/office/drawing/2014/main" id="{00000000-0008-0000-0700-000055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598" name="Text Box 75">
          <a:extLst>
            <a:ext uri="{FF2B5EF4-FFF2-40B4-BE49-F238E27FC236}">
              <a16:creationId xmlns:a16="http://schemas.microsoft.com/office/drawing/2014/main" id="{00000000-0008-0000-0700-000056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599" name="Text Box 75">
          <a:extLst>
            <a:ext uri="{FF2B5EF4-FFF2-40B4-BE49-F238E27FC236}">
              <a16:creationId xmlns:a16="http://schemas.microsoft.com/office/drawing/2014/main" id="{00000000-0008-0000-0700-000057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0" name="Text Box 75">
          <a:extLst>
            <a:ext uri="{FF2B5EF4-FFF2-40B4-BE49-F238E27FC236}">
              <a16:creationId xmlns:a16="http://schemas.microsoft.com/office/drawing/2014/main" id="{00000000-0008-0000-0700-000058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1" name="Text Box 75">
          <a:extLst>
            <a:ext uri="{FF2B5EF4-FFF2-40B4-BE49-F238E27FC236}">
              <a16:creationId xmlns:a16="http://schemas.microsoft.com/office/drawing/2014/main" id="{00000000-0008-0000-0700-000059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2" name="Text Box 75">
          <a:extLst>
            <a:ext uri="{FF2B5EF4-FFF2-40B4-BE49-F238E27FC236}">
              <a16:creationId xmlns:a16="http://schemas.microsoft.com/office/drawing/2014/main" id="{00000000-0008-0000-0700-00005A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3" name="Text Box 75">
          <a:extLst>
            <a:ext uri="{FF2B5EF4-FFF2-40B4-BE49-F238E27FC236}">
              <a16:creationId xmlns:a16="http://schemas.microsoft.com/office/drawing/2014/main" id="{00000000-0008-0000-0700-00005B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4" name="Text Box 75">
          <a:extLst>
            <a:ext uri="{FF2B5EF4-FFF2-40B4-BE49-F238E27FC236}">
              <a16:creationId xmlns:a16="http://schemas.microsoft.com/office/drawing/2014/main" id="{00000000-0008-0000-0700-00005C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5" name="Text Box 75">
          <a:extLst>
            <a:ext uri="{FF2B5EF4-FFF2-40B4-BE49-F238E27FC236}">
              <a16:creationId xmlns:a16="http://schemas.microsoft.com/office/drawing/2014/main" id="{00000000-0008-0000-0700-00005D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6" name="Text Box 75">
          <a:extLst>
            <a:ext uri="{FF2B5EF4-FFF2-40B4-BE49-F238E27FC236}">
              <a16:creationId xmlns:a16="http://schemas.microsoft.com/office/drawing/2014/main" id="{00000000-0008-0000-0700-00005E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7" name="Text Box 75">
          <a:extLst>
            <a:ext uri="{FF2B5EF4-FFF2-40B4-BE49-F238E27FC236}">
              <a16:creationId xmlns:a16="http://schemas.microsoft.com/office/drawing/2014/main" id="{00000000-0008-0000-0700-00005F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8" name="Text Box 75">
          <a:extLst>
            <a:ext uri="{FF2B5EF4-FFF2-40B4-BE49-F238E27FC236}">
              <a16:creationId xmlns:a16="http://schemas.microsoft.com/office/drawing/2014/main" id="{00000000-0008-0000-0700-000060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09" name="Text Box 75">
          <a:extLst>
            <a:ext uri="{FF2B5EF4-FFF2-40B4-BE49-F238E27FC236}">
              <a16:creationId xmlns:a16="http://schemas.microsoft.com/office/drawing/2014/main" id="{00000000-0008-0000-0700-000061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0" name="Text Box 75">
          <a:extLst>
            <a:ext uri="{FF2B5EF4-FFF2-40B4-BE49-F238E27FC236}">
              <a16:creationId xmlns:a16="http://schemas.microsoft.com/office/drawing/2014/main" id="{00000000-0008-0000-0700-000062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1" name="Text Box 75">
          <a:extLst>
            <a:ext uri="{FF2B5EF4-FFF2-40B4-BE49-F238E27FC236}">
              <a16:creationId xmlns:a16="http://schemas.microsoft.com/office/drawing/2014/main" id="{00000000-0008-0000-0700-000063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2" name="Text Box 75">
          <a:extLst>
            <a:ext uri="{FF2B5EF4-FFF2-40B4-BE49-F238E27FC236}">
              <a16:creationId xmlns:a16="http://schemas.microsoft.com/office/drawing/2014/main" id="{00000000-0008-0000-0700-000064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3" name="Text Box 75">
          <a:extLst>
            <a:ext uri="{FF2B5EF4-FFF2-40B4-BE49-F238E27FC236}">
              <a16:creationId xmlns:a16="http://schemas.microsoft.com/office/drawing/2014/main" id="{00000000-0008-0000-0700-000065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4" name="Text Box 75">
          <a:extLst>
            <a:ext uri="{FF2B5EF4-FFF2-40B4-BE49-F238E27FC236}">
              <a16:creationId xmlns:a16="http://schemas.microsoft.com/office/drawing/2014/main" id="{00000000-0008-0000-0700-000066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5" name="Text Box 75">
          <a:extLst>
            <a:ext uri="{FF2B5EF4-FFF2-40B4-BE49-F238E27FC236}">
              <a16:creationId xmlns:a16="http://schemas.microsoft.com/office/drawing/2014/main" id="{00000000-0008-0000-0700-000067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6" name="Text Box 75">
          <a:extLst>
            <a:ext uri="{FF2B5EF4-FFF2-40B4-BE49-F238E27FC236}">
              <a16:creationId xmlns:a16="http://schemas.microsoft.com/office/drawing/2014/main" id="{00000000-0008-0000-0700-000068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7" name="Text Box 75">
          <a:extLst>
            <a:ext uri="{FF2B5EF4-FFF2-40B4-BE49-F238E27FC236}">
              <a16:creationId xmlns:a16="http://schemas.microsoft.com/office/drawing/2014/main" id="{00000000-0008-0000-0700-000069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8" name="Text Box 75">
          <a:extLst>
            <a:ext uri="{FF2B5EF4-FFF2-40B4-BE49-F238E27FC236}">
              <a16:creationId xmlns:a16="http://schemas.microsoft.com/office/drawing/2014/main" id="{00000000-0008-0000-0700-00006A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19" name="Text Box 75">
          <a:extLst>
            <a:ext uri="{FF2B5EF4-FFF2-40B4-BE49-F238E27FC236}">
              <a16:creationId xmlns:a16="http://schemas.microsoft.com/office/drawing/2014/main" id="{00000000-0008-0000-0700-00006B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0" name="Text Box 75">
          <a:extLst>
            <a:ext uri="{FF2B5EF4-FFF2-40B4-BE49-F238E27FC236}">
              <a16:creationId xmlns:a16="http://schemas.microsoft.com/office/drawing/2014/main" id="{00000000-0008-0000-0700-00006C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1" name="Text Box 75">
          <a:extLst>
            <a:ext uri="{FF2B5EF4-FFF2-40B4-BE49-F238E27FC236}">
              <a16:creationId xmlns:a16="http://schemas.microsoft.com/office/drawing/2014/main" id="{00000000-0008-0000-0700-00006D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2" name="Text Box 75">
          <a:extLst>
            <a:ext uri="{FF2B5EF4-FFF2-40B4-BE49-F238E27FC236}">
              <a16:creationId xmlns:a16="http://schemas.microsoft.com/office/drawing/2014/main" id="{00000000-0008-0000-0700-00006E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3" name="Text Box 75">
          <a:extLst>
            <a:ext uri="{FF2B5EF4-FFF2-40B4-BE49-F238E27FC236}">
              <a16:creationId xmlns:a16="http://schemas.microsoft.com/office/drawing/2014/main" id="{00000000-0008-0000-0700-00006F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4" name="Text Box 75">
          <a:extLst>
            <a:ext uri="{FF2B5EF4-FFF2-40B4-BE49-F238E27FC236}">
              <a16:creationId xmlns:a16="http://schemas.microsoft.com/office/drawing/2014/main" id="{00000000-0008-0000-0700-000070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5" name="Text Box 75">
          <a:extLst>
            <a:ext uri="{FF2B5EF4-FFF2-40B4-BE49-F238E27FC236}">
              <a16:creationId xmlns:a16="http://schemas.microsoft.com/office/drawing/2014/main" id="{00000000-0008-0000-0700-000071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6" name="Text Box 75">
          <a:extLst>
            <a:ext uri="{FF2B5EF4-FFF2-40B4-BE49-F238E27FC236}">
              <a16:creationId xmlns:a16="http://schemas.microsoft.com/office/drawing/2014/main" id="{00000000-0008-0000-0700-000072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7" name="Text Box 75">
          <a:extLst>
            <a:ext uri="{FF2B5EF4-FFF2-40B4-BE49-F238E27FC236}">
              <a16:creationId xmlns:a16="http://schemas.microsoft.com/office/drawing/2014/main" id="{00000000-0008-0000-0700-000073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8" name="Text Box 75">
          <a:extLst>
            <a:ext uri="{FF2B5EF4-FFF2-40B4-BE49-F238E27FC236}">
              <a16:creationId xmlns:a16="http://schemas.microsoft.com/office/drawing/2014/main" id="{00000000-0008-0000-0700-000074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29" name="Text Box 75">
          <a:extLst>
            <a:ext uri="{FF2B5EF4-FFF2-40B4-BE49-F238E27FC236}">
              <a16:creationId xmlns:a16="http://schemas.microsoft.com/office/drawing/2014/main" id="{00000000-0008-0000-0700-000075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0" name="Text Box 75">
          <a:extLst>
            <a:ext uri="{FF2B5EF4-FFF2-40B4-BE49-F238E27FC236}">
              <a16:creationId xmlns:a16="http://schemas.microsoft.com/office/drawing/2014/main" id="{00000000-0008-0000-0700-000076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1" name="Text Box 75">
          <a:extLst>
            <a:ext uri="{FF2B5EF4-FFF2-40B4-BE49-F238E27FC236}">
              <a16:creationId xmlns:a16="http://schemas.microsoft.com/office/drawing/2014/main" id="{00000000-0008-0000-0700-000077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2" name="Text Box 75">
          <a:extLst>
            <a:ext uri="{FF2B5EF4-FFF2-40B4-BE49-F238E27FC236}">
              <a16:creationId xmlns:a16="http://schemas.microsoft.com/office/drawing/2014/main" id="{00000000-0008-0000-0700-000078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3" name="Text Box 75">
          <a:extLst>
            <a:ext uri="{FF2B5EF4-FFF2-40B4-BE49-F238E27FC236}">
              <a16:creationId xmlns:a16="http://schemas.microsoft.com/office/drawing/2014/main" id="{00000000-0008-0000-0700-000079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4" name="Text Box 75">
          <a:extLst>
            <a:ext uri="{FF2B5EF4-FFF2-40B4-BE49-F238E27FC236}">
              <a16:creationId xmlns:a16="http://schemas.microsoft.com/office/drawing/2014/main" id="{00000000-0008-0000-0700-00007A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5" name="Text Box 75">
          <a:extLst>
            <a:ext uri="{FF2B5EF4-FFF2-40B4-BE49-F238E27FC236}">
              <a16:creationId xmlns:a16="http://schemas.microsoft.com/office/drawing/2014/main" id="{00000000-0008-0000-0700-00007B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6" name="Text Box 75">
          <a:extLst>
            <a:ext uri="{FF2B5EF4-FFF2-40B4-BE49-F238E27FC236}">
              <a16:creationId xmlns:a16="http://schemas.microsoft.com/office/drawing/2014/main" id="{00000000-0008-0000-0700-00007C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7" name="Text Box 75">
          <a:extLst>
            <a:ext uri="{FF2B5EF4-FFF2-40B4-BE49-F238E27FC236}">
              <a16:creationId xmlns:a16="http://schemas.microsoft.com/office/drawing/2014/main" id="{00000000-0008-0000-0700-00007D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8" name="Text Box 75">
          <a:extLst>
            <a:ext uri="{FF2B5EF4-FFF2-40B4-BE49-F238E27FC236}">
              <a16:creationId xmlns:a16="http://schemas.microsoft.com/office/drawing/2014/main" id="{00000000-0008-0000-0700-00007E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39" name="Text Box 75">
          <a:extLst>
            <a:ext uri="{FF2B5EF4-FFF2-40B4-BE49-F238E27FC236}">
              <a16:creationId xmlns:a16="http://schemas.microsoft.com/office/drawing/2014/main" id="{00000000-0008-0000-0700-00007F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0" name="Text Box 75">
          <a:extLst>
            <a:ext uri="{FF2B5EF4-FFF2-40B4-BE49-F238E27FC236}">
              <a16:creationId xmlns:a16="http://schemas.microsoft.com/office/drawing/2014/main" id="{00000000-0008-0000-0700-000080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1" name="Text Box 75">
          <a:extLst>
            <a:ext uri="{FF2B5EF4-FFF2-40B4-BE49-F238E27FC236}">
              <a16:creationId xmlns:a16="http://schemas.microsoft.com/office/drawing/2014/main" id="{00000000-0008-0000-0700-000081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2" name="Text Box 75">
          <a:extLst>
            <a:ext uri="{FF2B5EF4-FFF2-40B4-BE49-F238E27FC236}">
              <a16:creationId xmlns:a16="http://schemas.microsoft.com/office/drawing/2014/main" id="{00000000-0008-0000-0700-000082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3" name="Text Box 75">
          <a:extLst>
            <a:ext uri="{FF2B5EF4-FFF2-40B4-BE49-F238E27FC236}">
              <a16:creationId xmlns:a16="http://schemas.microsoft.com/office/drawing/2014/main" id="{00000000-0008-0000-0700-000083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4" name="Text Box 75">
          <a:extLst>
            <a:ext uri="{FF2B5EF4-FFF2-40B4-BE49-F238E27FC236}">
              <a16:creationId xmlns:a16="http://schemas.microsoft.com/office/drawing/2014/main" id="{00000000-0008-0000-0700-000084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5" name="Text Box 75">
          <a:extLst>
            <a:ext uri="{FF2B5EF4-FFF2-40B4-BE49-F238E27FC236}">
              <a16:creationId xmlns:a16="http://schemas.microsoft.com/office/drawing/2014/main" id="{00000000-0008-0000-0700-000085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6" name="Text Box 75">
          <a:extLst>
            <a:ext uri="{FF2B5EF4-FFF2-40B4-BE49-F238E27FC236}">
              <a16:creationId xmlns:a16="http://schemas.microsoft.com/office/drawing/2014/main" id="{00000000-0008-0000-0700-000086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7" name="Text Box 75">
          <a:extLst>
            <a:ext uri="{FF2B5EF4-FFF2-40B4-BE49-F238E27FC236}">
              <a16:creationId xmlns:a16="http://schemas.microsoft.com/office/drawing/2014/main" id="{00000000-0008-0000-0700-000087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8" name="Text Box 75">
          <a:extLst>
            <a:ext uri="{FF2B5EF4-FFF2-40B4-BE49-F238E27FC236}">
              <a16:creationId xmlns:a16="http://schemas.microsoft.com/office/drawing/2014/main" id="{00000000-0008-0000-0700-000088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49" name="Text Box 75">
          <a:extLst>
            <a:ext uri="{FF2B5EF4-FFF2-40B4-BE49-F238E27FC236}">
              <a16:creationId xmlns:a16="http://schemas.microsoft.com/office/drawing/2014/main" id="{00000000-0008-0000-0700-000089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50" name="Text Box 75">
          <a:extLst>
            <a:ext uri="{FF2B5EF4-FFF2-40B4-BE49-F238E27FC236}">
              <a16:creationId xmlns:a16="http://schemas.microsoft.com/office/drawing/2014/main" id="{00000000-0008-0000-0700-00008A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51" name="Text Box 75">
          <a:extLst>
            <a:ext uri="{FF2B5EF4-FFF2-40B4-BE49-F238E27FC236}">
              <a16:creationId xmlns:a16="http://schemas.microsoft.com/office/drawing/2014/main" id="{00000000-0008-0000-0700-00008B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52" name="Text Box 75">
          <a:extLst>
            <a:ext uri="{FF2B5EF4-FFF2-40B4-BE49-F238E27FC236}">
              <a16:creationId xmlns:a16="http://schemas.microsoft.com/office/drawing/2014/main" id="{00000000-0008-0000-0700-00008C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53" name="Text Box 75">
          <a:extLst>
            <a:ext uri="{FF2B5EF4-FFF2-40B4-BE49-F238E27FC236}">
              <a16:creationId xmlns:a16="http://schemas.microsoft.com/office/drawing/2014/main" id="{00000000-0008-0000-0700-00008D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54" name="Text Box 75">
          <a:extLst>
            <a:ext uri="{FF2B5EF4-FFF2-40B4-BE49-F238E27FC236}">
              <a16:creationId xmlns:a16="http://schemas.microsoft.com/office/drawing/2014/main" id="{00000000-0008-0000-0700-00008E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55" name="Text Box 75">
          <a:extLst>
            <a:ext uri="{FF2B5EF4-FFF2-40B4-BE49-F238E27FC236}">
              <a16:creationId xmlns:a16="http://schemas.microsoft.com/office/drawing/2014/main" id="{00000000-0008-0000-0700-00008F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56" name="Text Box 75">
          <a:extLst>
            <a:ext uri="{FF2B5EF4-FFF2-40B4-BE49-F238E27FC236}">
              <a16:creationId xmlns:a16="http://schemas.microsoft.com/office/drawing/2014/main" id="{00000000-0008-0000-0700-000090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57" name="Text Box 75">
          <a:extLst>
            <a:ext uri="{FF2B5EF4-FFF2-40B4-BE49-F238E27FC236}">
              <a16:creationId xmlns:a16="http://schemas.microsoft.com/office/drawing/2014/main" id="{00000000-0008-0000-0700-000091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58" name="Text Box 75">
          <a:extLst>
            <a:ext uri="{FF2B5EF4-FFF2-40B4-BE49-F238E27FC236}">
              <a16:creationId xmlns:a16="http://schemas.microsoft.com/office/drawing/2014/main" id="{00000000-0008-0000-0700-000092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59" name="Text Box 75">
          <a:extLst>
            <a:ext uri="{FF2B5EF4-FFF2-40B4-BE49-F238E27FC236}">
              <a16:creationId xmlns:a16="http://schemas.microsoft.com/office/drawing/2014/main" id="{00000000-0008-0000-0700-000093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60" name="Text Box 75">
          <a:extLst>
            <a:ext uri="{FF2B5EF4-FFF2-40B4-BE49-F238E27FC236}">
              <a16:creationId xmlns:a16="http://schemas.microsoft.com/office/drawing/2014/main" id="{00000000-0008-0000-0700-000094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61" name="Text Box 75">
          <a:extLst>
            <a:ext uri="{FF2B5EF4-FFF2-40B4-BE49-F238E27FC236}">
              <a16:creationId xmlns:a16="http://schemas.microsoft.com/office/drawing/2014/main" id="{00000000-0008-0000-0700-000095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62" name="Text Box 75">
          <a:extLst>
            <a:ext uri="{FF2B5EF4-FFF2-40B4-BE49-F238E27FC236}">
              <a16:creationId xmlns:a16="http://schemas.microsoft.com/office/drawing/2014/main" id="{00000000-0008-0000-0700-000096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63" name="Text Box 75">
          <a:extLst>
            <a:ext uri="{FF2B5EF4-FFF2-40B4-BE49-F238E27FC236}">
              <a16:creationId xmlns:a16="http://schemas.microsoft.com/office/drawing/2014/main" id="{00000000-0008-0000-0700-000097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64" name="Text Box 75">
          <a:extLst>
            <a:ext uri="{FF2B5EF4-FFF2-40B4-BE49-F238E27FC236}">
              <a16:creationId xmlns:a16="http://schemas.microsoft.com/office/drawing/2014/main" id="{00000000-0008-0000-0700-000098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65" name="Text Box 75">
          <a:extLst>
            <a:ext uri="{FF2B5EF4-FFF2-40B4-BE49-F238E27FC236}">
              <a16:creationId xmlns:a16="http://schemas.microsoft.com/office/drawing/2014/main" id="{00000000-0008-0000-0700-000099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66" name="Text Box 75">
          <a:extLst>
            <a:ext uri="{FF2B5EF4-FFF2-40B4-BE49-F238E27FC236}">
              <a16:creationId xmlns:a16="http://schemas.microsoft.com/office/drawing/2014/main" id="{00000000-0008-0000-0700-00009A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67" name="Text Box 75">
          <a:extLst>
            <a:ext uri="{FF2B5EF4-FFF2-40B4-BE49-F238E27FC236}">
              <a16:creationId xmlns:a16="http://schemas.microsoft.com/office/drawing/2014/main" id="{00000000-0008-0000-0700-00009B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68" name="Text Box 75">
          <a:extLst>
            <a:ext uri="{FF2B5EF4-FFF2-40B4-BE49-F238E27FC236}">
              <a16:creationId xmlns:a16="http://schemas.microsoft.com/office/drawing/2014/main" id="{00000000-0008-0000-0700-00009C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69" name="Text Box 75">
          <a:extLst>
            <a:ext uri="{FF2B5EF4-FFF2-40B4-BE49-F238E27FC236}">
              <a16:creationId xmlns:a16="http://schemas.microsoft.com/office/drawing/2014/main" id="{00000000-0008-0000-0700-00009D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70" name="Text Box 75">
          <a:extLst>
            <a:ext uri="{FF2B5EF4-FFF2-40B4-BE49-F238E27FC236}">
              <a16:creationId xmlns:a16="http://schemas.microsoft.com/office/drawing/2014/main" id="{00000000-0008-0000-0700-00009E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71" name="Text Box 75">
          <a:extLst>
            <a:ext uri="{FF2B5EF4-FFF2-40B4-BE49-F238E27FC236}">
              <a16:creationId xmlns:a16="http://schemas.microsoft.com/office/drawing/2014/main" id="{00000000-0008-0000-0700-00009F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72" name="Text Box 75">
          <a:extLst>
            <a:ext uri="{FF2B5EF4-FFF2-40B4-BE49-F238E27FC236}">
              <a16:creationId xmlns:a16="http://schemas.microsoft.com/office/drawing/2014/main" id="{00000000-0008-0000-0700-0000A0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73" name="Text Box 75">
          <a:extLst>
            <a:ext uri="{FF2B5EF4-FFF2-40B4-BE49-F238E27FC236}">
              <a16:creationId xmlns:a16="http://schemas.microsoft.com/office/drawing/2014/main" id="{00000000-0008-0000-0700-0000A1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74" name="Text Box 75">
          <a:extLst>
            <a:ext uri="{FF2B5EF4-FFF2-40B4-BE49-F238E27FC236}">
              <a16:creationId xmlns:a16="http://schemas.microsoft.com/office/drawing/2014/main" id="{00000000-0008-0000-0700-0000A2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75" name="Text Box 75">
          <a:extLst>
            <a:ext uri="{FF2B5EF4-FFF2-40B4-BE49-F238E27FC236}">
              <a16:creationId xmlns:a16="http://schemas.microsoft.com/office/drawing/2014/main" id="{00000000-0008-0000-0700-0000A3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76" name="Text Box 75">
          <a:extLst>
            <a:ext uri="{FF2B5EF4-FFF2-40B4-BE49-F238E27FC236}">
              <a16:creationId xmlns:a16="http://schemas.microsoft.com/office/drawing/2014/main" id="{00000000-0008-0000-0700-0000A4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77" name="Text Box 75">
          <a:extLst>
            <a:ext uri="{FF2B5EF4-FFF2-40B4-BE49-F238E27FC236}">
              <a16:creationId xmlns:a16="http://schemas.microsoft.com/office/drawing/2014/main" id="{00000000-0008-0000-0700-0000A5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78" name="Text Box 75">
          <a:extLst>
            <a:ext uri="{FF2B5EF4-FFF2-40B4-BE49-F238E27FC236}">
              <a16:creationId xmlns:a16="http://schemas.microsoft.com/office/drawing/2014/main" id="{00000000-0008-0000-0700-0000A6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679" name="Text Box 75">
          <a:extLst>
            <a:ext uri="{FF2B5EF4-FFF2-40B4-BE49-F238E27FC236}">
              <a16:creationId xmlns:a16="http://schemas.microsoft.com/office/drawing/2014/main" id="{00000000-0008-0000-0700-0000A7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0" name="Text Box 75">
          <a:extLst>
            <a:ext uri="{FF2B5EF4-FFF2-40B4-BE49-F238E27FC236}">
              <a16:creationId xmlns:a16="http://schemas.microsoft.com/office/drawing/2014/main" id="{00000000-0008-0000-0700-0000A8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1" name="Text Box 75">
          <a:extLst>
            <a:ext uri="{FF2B5EF4-FFF2-40B4-BE49-F238E27FC236}">
              <a16:creationId xmlns:a16="http://schemas.microsoft.com/office/drawing/2014/main" id="{00000000-0008-0000-0700-0000A9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2" name="Text Box 75">
          <a:extLst>
            <a:ext uri="{FF2B5EF4-FFF2-40B4-BE49-F238E27FC236}">
              <a16:creationId xmlns:a16="http://schemas.microsoft.com/office/drawing/2014/main" id="{00000000-0008-0000-0700-0000AA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3" name="Text Box 75">
          <a:extLst>
            <a:ext uri="{FF2B5EF4-FFF2-40B4-BE49-F238E27FC236}">
              <a16:creationId xmlns:a16="http://schemas.microsoft.com/office/drawing/2014/main" id="{00000000-0008-0000-0700-0000AB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4" name="Text Box 75">
          <a:extLst>
            <a:ext uri="{FF2B5EF4-FFF2-40B4-BE49-F238E27FC236}">
              <a16:creationId xmlns:a16="http://schemas.microsoft.com/office/drawing/2014/main" id="{00000000-0008-0000-0700-0000AC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5" name="Text Box 75">
          <a:extLst>
            <a:ext uri="{FF2B5EF4-FFF2-40B4-BE49-F238E27FC236}">
              <a16:creationId xmlns:a16="http://schemas.microsoft.com/office/drawing/2014/main" id="{00000000-0008-0000-0700-0000AD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6" name="Text Box 75">
          <a:extLst>
            <a:ext uri="{FF2B5EF4-FFF2-40B4-BE49-F238E27FC236}">
              <a16:creationId xmlns:a16="http://schemas.microsoft.com/office/drawing/2014/main" id="{00000000-0008-0000-0700-0000AE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7" name="Text Box 75">
          <a:extLst>
            <a:ext uri="{FF2B5EF4-FFF2-40B4-BE49-F238E27FC236}">
              <a16:creationId xmlns:a16="http://schemas.microsoft.com/office/drawing/2014/main" id="{00000000-0008-0000-0700-0000AF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8" name="Text Box 75">
          <a:extLst>
            <a:ext uri="{FF2B5EF4-FFF2-40B4-BE49-F238E27FC236}">
              <a16:creationId xmlns:a16="http://schemas.microsoft.com/office/drawing/2014/main" id="{00000000-0008-0000-0700-0000B0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89" name="Text Box 75">
          <a:extLst>
            <a:ext uri="{FF2B5EF4-FFF2-40B4-BE49-F238E27FC236}">
              <a16:creationId xmlns:a16="http://schemas.microsoft.com/office/drawing/2014/main" id="{00000000-0008-0000-0700-0000B1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0" name="Text Box 75">
          <a:extLst>
            <a:ext uri="{FF2B5EF4-FFF2-40B4-BE49-F238E27FC236}">
              <a16:creationId xmlns:a16="http://schemas.microsoft.com/office/drawing/2014/main" id="{00000000-0008-0000-0700-0000B2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1" name="Text Box 75">
          <a:extLst>
            <a:ext uri="{FF2B5EF4-FFF2-40B4-BE49-F238E27FC236}">
              <a16:creationId xmlns:a16="http://schemas.microsoft.com/office/drawing/2014/main" id="{00000000-0008-0000-0700-0000B3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2" name="Text Box 75">
          <a:extLst>
            <a:ext uri="{FF2B5EF4-FFF2-40B4-BE49-F238E27FC236}">
              <a16:creationId xmlns:a16="http://schemas.microsoft.com/office/drawing/2014/main" id="{00000000-0008-0000-0700-0000B4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3" name="Text Box 75">
          <a:extLst>
            <a:ext uri="{FF2B5EF4-FFF2-40B4-BE49-F238E27FC236}">
              <a16:creationId xmlns:a16="http://schemas.microsoft.com/office/drawing/2014/main" id="{00000000-0008-0000-0700-0000B5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4" name="Text Box 75">
          <a:extLst>
            <a:ext uri="{FF2B5EF4-FFF2-40B4-BE49-F238E27FC236}">
              <a16:creationId xmlns:a16="http://schemas.microsoft.com/office/drawing/2014/main" id="{00000000-0008-0000-0700-0000B6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5" name="Text Box 75">
          <a:extLst>
            <a:ext uri="{FF2B5EF4-FFF2-40B4-BE49-F238E27FC236}">
              <a16:creationId xmlns:a16="http://schemas.microsoft.com/office/drawing/2014/main" id="{00000000-0008-0000-0700-0000B7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6" name="Text Box 75">
          <a:extLst>
            <a:ext uri="{FF2B5EF4-FFF2-40B4-BE49-F238E27FC236}">
              <a16:creationId xmlns:a16="http://schemas.microsoft.com/office/drawing/2014/main" id="{00000000-0008-0000-0700-0000B8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7" name="Text Box 75">
          <a:extLst>
            <a:ext uri="{FF2B5EF4-FFF2-40B4-BE49-F238E27FC236}">
              <a16:creationId xmlns:a16="http://schemas.microsoft.com/office/drawing/2014/main" id="{00000000-0008-0000-0700-0000B9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8" name="Text Box 75">
          <a:extLst>
            <a:ext uri="{FF2B5EF4-FFF2-40B4-BE49-F238E27FC236}">
              <a16:creationId xmlns:a16="http://schemas.microsoft.com/office/drawing/2014/main" id="{00000000-0008-0000-0700-0000BA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699" name="Text Box 75">
          <a:extLst>
            <a:ext uri="{FF2B5EF4-FFF2-40B4-BE49-F238E27FC236}">
              <a16:creationId xmlns:a16="http://schemas.microsoft.com/office/drawing/2014/main" id="{00000000-0008-0000-0700-0000BB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0" name="Text Box 75">
          <a:extLst>
            <a:ext uri="{FF2B5EF4-FFF2-40B4-BE49-F238E27FC236}">
              <a16:creationId xmlns:a16="http://schemas.microsoft.com/office/drawing/2014/main" id="{00000000-0008-0000-0700-0000BC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1" name="Text Box 75">
          <a:extLst>
            <a:ext uri="{FF2B5EF4-FFF2-40B4-BE49-F238E27FC236}">
              <a16:creationId xmlns:a16="http://schemas.microsoft.com/office/drawing/2014/main" id="{00000000-0008-0000-0700-0000BD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2" name="Text Box 75">
          <a:extLst>
            <a:ext uri="{FF2B5EF4-FFF2-40B4-BE49-F238E27FC236}">
              <a16:creationId xmlns:a16="http://schemas.microsoft.com/office/drawing/2014/main" id="{00000000-0008-0000-0700-0000BE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3" name="Text Box 75">
          <a:extLst>
            <a:ext uri="{FF2B5EF4-FFF2-40B4-BE49-F238E27FC236}">
              <a16:creationId xmlns:a16="http://schemas.microsoft.com/office/drawing/2014/main" id="{00000000-0008-0000-0700-0000BF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4" name="Text Box 75">
          <a:extLst>
            <a:ext uri="{FF2B5EF4-FFF2-40B4-BE49-F238E27FC236}">
              <a16:creationId xmlns:a16="http://schemas.microsoft.com/office/drawing/2014/main" id="{00000000-0008-0000-0700-0000C0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5" name="Text Box 75">
          <a:extLst>
            <a:ext uri="{FF2B5EF4-FFF2-40B4-BE49-F238E27FC236}">
              <a16:creationId xmlns:a16="http://schemas.microsoft.com/office/drawing/2014/main" id="{00000000-0008-0000-0700-0000C1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6" name="Text Box 75">
          <a:extLst>
            <a:ext uri="{FF2B5EF4-FFF2-40B4-BE49-F238E27FC236}">
              <a16:creationId xmlns:a16="http://schemas.microsoft.com/office/drawing/2014/main" id="{00000000-0008-0000-0700-0000C2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7" name="Text Box 75">
          <a:extLst>
            <a:ext uri="{FF2B5EF4-FFF2-40B4-BE49-F238E27FC236}">
              <a16:creationId xmlns:a16="http://schemas.microsoft.com/office/drawing/2014/main" id="{00000000-0008-0000-0700-0000C3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8" name="Text Box 75">
          <a:extLst>
            <a:ext uri="{FF2B5EF4-FFF2-40B4-BE49-F238E27FC236}">
              <a16:creationId xmlns:a16="http://schemas.microsoft.com/office/drawing/2014/main" id="{00000000-0008-0000-0700-0000C4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09" name="Text Box 75">
          <a:extLst>
            <a:ext uri="{FF2B5EF4-FFF2-40B4-BE49-F238E27FC236}">
              <a16:creationId xmlns:a16="http://schemas.microsoft.com/office/drawing/2014/main" id="{00000000-0008-0000-0700-0000C5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0" name="Text Box 75">
          <a:extLst>
            <a:ext uri="{FF2B5EF4-FFF2-40B4-BE49-F238E27FC236}">
              <a16:creationId xmlns:a16="http://schemas.microsoft.com/office/drawing/2014/main" id="{00000000-0008-0000-0700-0000C6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1" name="Text Box 75">
          <a:extLst>
            <a:ext uri="{FF2B5EF4-FFF2-40B4-BE49-F238E27FC236}">
              <a16:creationId xmlns:a16="http://schemas.microsoft.com/office/drawing/2014/main" id="{00000000-0008-0000-0700-0000C7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2" name="Text Box 75">
          <a:extLst>
            <a:ext uri="{FF2B5EF4-FFF2-40B4-BE49-F238E27FC236}">
              <a16:creationId xmlns:a16="http://schemas.microsoft.com/office/drawing/2014/main" id="{00000000-0008-0000-0700-0000C8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3" name="Text Box 75">
          <a:extLst>
            <a:ext uri="{FF2B5EF4-FFF2-40B4-BE49-F238E27FC236}">
              <a16:creationId xmlns:a16="http://schemas.microsoft.com/office/drawing/2014/main" id="{00000000-0008-0000-0700-0000C9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4" name="Text Box 75">
          <a:extLst>
            <a:ext uri="{FF2B5EF4-FFF2-40B4-BE49-F238E27FC236}">
              <a16:creationId xmlns:a16="http://schemas.microsoft.com/office/drawing/2014/main" id="{00000000-0008-0000-0700-0000CA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5" name="Text Box 75">
          <a:extLst>
            <a:ext uri="{FF2B5EF4-FFF2-40B4-BE49-F238E27FC236}">
              <a16:creationId xmlns:a16="http://schemas.microsoft.com/office/drawing/2014/main" id="{00000000-0008-0000-0700-0000CB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6" name="Text Box 75">
          <a:extLst>
            <a:ext uri="{FF2B5EF4-FFF2-40B4-BE49-F238E27FC236}">
              <a16:creationId xmlns:a16="http://schemas.microsoft.com/office/drawing/2014/main" id="{00000000-0008-0000-0700-0000CC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7" name="Text Box 75">
          <a:extLst>
            <a:ext uri="{FF2B5EF4-FFF2-40B4-BE49-F238E27FC236}">
              <a16:creationId xmlns:a16="http://schemas.microsoft.com/office/drawing/2014/main" id="{00000000-0008-0000-0700-0000CD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8" name="Text Box 75">
          <a:extLst>
            <a:ext uri="{FF2B5EF4-FFF2-40B4-BE49-F238E27FC236}">
              <a16:creationId xmlns:a16="http://schemas.microsoft.com/office/drawing/2014/main" id="{00000000-0008-0000-0700-0000CE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19" name="Text Box 75">
          <a:extLst>
            <a:ext uri="{FF2B5EF4-FFF2-40B4-BE49-F238E27FC236}">
              <a16:creationId xmlns:a16="http://schemas.microsoft.com/office/drawing/2014/main" id="{00000000-0008-0000-0700-0000CF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20" name="Text Box 75">
          <a:extLst>
            <a:ext uri="{FF2B5EF4-FFF2-40B4-BE49-F238E27FC236}">
              <a16:creationId xmlns:a16="http://schemas.microsoft.com/office/drawing/2014/main" id="{00000000-0008-0000-0700-0000D0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21" name="Text Box 75">
          <a:extLst>
            <a:ext uri="{FF2B5EF4-FFF2-40B4-BE49-F238E27FC236}">
              <a16:creationId xmlns:a16="http://schemas.microsoft.com/office/drawing/2014/main" id="{00000000-0008-0000-0700-0000D1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22" name="Text Box 75">
          <a:extLst>
            <a:ext uri="{FF2B5EF4-FFF2-40B4-BE49-F238E27FC236}">
              <a16:creationId xmlns:a16="http://schemas.microsoft.com/office/drawing/2014/main" id="{00000000-0008-0000-0700-0000D2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723" name="Text Box 75">
          <a:extLst>
            <a:ext uri="{FF2B5EF4-FFF2-40B4-BE49-F238E27FC236}">
              <a16:creationId xmlns:a16="http://schemas.microsoft.com/office/drawing/2014/main" id="{00000000-0008-0000-0700-0000D302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24" name="Text Box 75">
          <a:extLst>
            <a:ext uri="{FF2B5EF4-FFF2-40B4-BE49-F238E27FC236}">
              <a16:creationId xmlns:a16="http://schemas.microsoft.com/office/drawing/2014/main" id="{00000000-0008-0000-0700-0000D4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25" name="Text Box 75">
          <a:extLst>
            <a:ext uri="{FF2B5EF4-FFF2-40B4-BE49-F238E27FC236}">
              <a16:creationId xmlns:a16="http://schemas.microsoft.com/office/drawing/2014/main" id="{00000000-0008-0000-0700-0000D5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26" name="Text Box 75">
          <a:extLst>
            <a:ext uri="{FF2B5EF4-FFF2-40B4-BE49-F238E27FC236}">
              <a16:creationId xmlns:a16="http://schemas.microsoft.com/office/drawing/2014/main" id="{00000000-0008-0000-0700-0000D6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27" name="Text Box 75">
          <a:extLst>
            <a:ext uri="{FF2B5EF4-FFF2-40B4-BE49-F238E27FC236}">
              <a16:creationId xmlns:a16="http://schemas.microsoft.com/office/drawing/2014/main" id="{00000000-0008-0000-0700-0000D7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28" name="Text Box 75">
          <a:extLst>
            <a:ext uri="{FF2B5EF4-FFF2-40B4-BE49-F238E27FC236}">
              <a16:creationId xmlns:a16="http://schemas.microsoft.com/office/drawing/2014/main" id="{00000000-0008-0000-0700-0000D8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29" name="Text Box 75">
          <a:extLst>
            <a:ext uri="{FF2B5EF4-FFF2-40B4-BE49-F238E27FC236}">
              <a16:creationId xmlns:a16="http://schemas.microsoft.com/office/drawing/2014/main" id="{00000000-0008-0000-0700-0000D9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0" name="Text Box 75">
          <a:extLst>
            <a:ext uri="{FF2B5EF4-FFF2-40B4-BE49-F238E27FC236}">
              <a16:creationId xmlns:a16="http://schemas.microsoft.com/office/drawing/2014/main" id="{00000000-0008-0000-0700-0000DA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1" name="Text Box 75">
          <a:extLst>
            <a:ext uri="{FF2B5EF4-FFF2-40B4-BE49-F238E27FC236}">
              <a16:creationId xmlns:a16="http://schemas.microsoft.com/office/drawing/2014/main" id="{00000000-0008-0000-0700-0000DB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2" name="Text Box 75">
          <a:extLst>
            <a:ext uri="{FF2B5EF4-FFF2-40B4-BE49-F238E27FC236}">
              <a16:creationId xmlns:a16="http://schemas.microsoft.com/office/drawing/2014/main" id="{00000000-0008-0000-0700-0000DC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3" name="Text Box 75">
          <a:extLst>
            <a:ext uri="{FF2B5EF4-FFF2-40B4-BE49-F238E27FC236}">
              <a16:creationId xmlns:a16="http://schemas.microsoft.com/office/drawing/2014/main" id="{00000000-0008-0000-0700-0000DD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4" name="Text Box 75">
          <a:extLst>
            <a:ext uri="{FF2B5EF4-FFF2-40B4-BE49-F238E27FC236}">
              <a16:creationId xmlns:a16="http://schemas.microsoft.com/office/drawing/2014/main" id="{00000000-0008-0000-0700-0000DE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5" name="Text Box 75">
          <a:extLst>
            <a:ext uri="{FF2B5EF4-FFF2-40B4-BE49-F238E27FC236}">
              <a16:creationId xmlns:a16="http://schemas.microsoft.com/office/drawing/2014/main" id="{00000000-0008-0000-0700-0000DF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6" name="Text Box 75">
          <a:extLst>
            <a:ext uri="{FF2B5EF4-FFF2-40B4-BE49-F238E27FC236}">
              <a16:creationId xmlns:a16="http://schemas.microsoft.com/office/drawing/2014/main" id="{00000000-0008-0000-0700-0000E0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7" name="Text Box 75">
          <a:extLst>
            <a:ext uri="{FF2B5EF4-FFF2-40B4-BE49-F238E27FC236}">
              <a16:creationId xmlns:a16="http://schemas.microsoft.com/office/drawing/2014/main" id="{00000000-0008-0000-0700-0000E1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8" name="Text Box 75">
          <a:extLst>
            <a:ext uri="{FF2B5EF4-FFF2-40B4-BE49-F238E27FC236}">
              <a16:creationId xmlns:a16="http://schemas.microsoft.com/office/drawing/2014/main" id="{00000000-0008-0000-0700-0000E2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39" name="Text Box 75">
          <a:extLst>
            <a:ext uri="{FF2B5EF4-FFF2-40B4-BE49-F238E27FC236}">
              <a16:creationId xmlns:a16="http://schemas.microsoft.com/office/drawing/2014/main" id="{00000000-0008-0000-0700-0000E3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0" name="Text Box 75">
          <a:extLst>
            <a:ext uri="{FF2B5EF4-FFF2-40B4-BE49-F238E27FC236}">
              <a16:creationId xmlns:a16="http://schemas.microsoft.com/office/drawing/2014/main" id="{00000000-0008-0000-0700-0000E4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1" name="Text Box 75">
          <a:extLst>
            <a:ext uri="{FF2B5EF4-FFF2-40B4-BE49-F238E27FC236}">
              <a16:creationId xmlns:a16="http://schemas.microsoft.com/office/drawing/2014/main" id="{00000000-0008-0000-0700-0000E5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2" name="Text Box 75">
          <a:extLst>
            <a:ext uri="{FF2B5EF4-FFF2-40B4-BE49-F238E27FC236}">
              <a16:creationId xmlns:a16="http://schemas.microsoft.com/office/drawing/2014/main" id="{00000000-0008-0000-0700-0000E6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3" name="Text Box 75">
          <a:extLst>
            <a:ext uri="{FF2B5EF4-FFF2-40B4-BE49-F238E27FC236}">
              <a16:creationId xmlns:a16="http://schemas.microsoft.com/office/drawing/2014/main" id="{00000000-0008-0000-0700-0000E7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4" name="Text Box 75">
          <a:extLst>
            <a:ext uri="{FF2B5EF4-FFF2-40B4-BE49-F238E27FC236}">
              <a16:creationId xmlns:a16="http://schemas.microsoft.com/office/drawing/2014/main" id="{00000000-0008-0000-0700-0000E8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5" name="Text Box 75">
          <a:extLst>
            <a:ext uri="{FF2B5EF4-FFF2-40B4-BE49-F238E27FC236}">
              <a16:creationId xmlns:a16="http://schemas.microsoft.com/office/drawing/2014/main" id="{00000000-0008-0000-0700-0000E9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6" name="Text Box 75">
          <a:extLst>
            <a:ext uri="{FF2B5EF4-FFF2-40B4-BE49-F238E27FC236}">
              <a16:creationId xmlns:a16="http://schemas.microsoft.com/office/drawing/2014/main" id="{00000000-0008-0000-0700-0000EA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7" name="Text Box 75">
          <a:extLst>
            <a:ext uri="{FF2B5EF4-FFF2-40B4-BE49-F238E27FC236}">
              <a16:creationId xmlns:a16="http://schemas.microsoft.com/office/drawing/2014/main" id="{00000000-0008-0000-0700-0000EB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8" name="Text Box 75">
          <a:extLst>
            <a:ext uri="{FF2B5EF4-FFF2-40B4-BE49-F238E27FC236}">
              <a16:creationId xmlns:a16="http://schemas.microsoft.com/office/drawing/2014/main" id="{00000000-0008-0000-0700-0000EC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49" name="Text Box 75">
          <a:extLst>
            <a:ext uri="{FF2B5EF4-FFF2-40B4-BE49-F238E27FC236}">
              <a16:creationId xmlns:a16="http://schemas.microsoft.com/office/drawing/2014/main" id="{00000000-0008-0000-0700-0000ED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0" name="Text Box 75">
          <a:extLst>
            <a:ext uri="{FF2B5EF4-FFF2-40B4-BE49-F238E27FC236}">
              <a16:creationId xmlns:a16="http://schemas.microsoft.com/office/drawing/2014/main" id="{00000000-0008-0000-0700-0000EE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1" name="Text Box 75">
          <a:extLst>
            <a:ext uri="{FF2B5EF4-FFF2-40B4-BE49-F238E27FC236}">
              <a16:creationId xmlns:a16="http://schemas.microsoft.com/office/drawing/2014/main" id="{00000000-0008-0000-0700-0000EF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2" name="Text Box 75">
          <a:extLst>
            <a:ext uri="{FF2B5EF4-FFF2-40B4-BE49-F238E27FC236}">
              <a16:creationId xmlns:a16="http://schemas.microsoft.com/office/drawing/2014/main" id="{00000000-0008-0000-0700-0000F0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3" name="Text Box 75">
          <a:extLst>
            <a:ext uri="{FF2B5EF4-FFF2-40B4-BE49-F238E27FC236}">
              <a16:creationId xmlns:a16="http://schemas.microsoft.com/office/drawing/2014/main" id="{00000000-0008-0000-0700-0000F1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4" name="Text Box 75">
          <a:extLst>
            <a:ext uri="{FF2B5EF4-FFF2-40B4-BE49-F238E27FC236}">
              <a16:creationId xmlns:a16="http://schemas.microsoft.com/office/drawing/2014/main" id="{00000000-0008-0000-0700-0000F2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5" name="Text Box 75">
          <a:extLst>
            <a:ext uri="{FF2B5EF4-FFF2-40B4-BE49-F238E27FC236}">
              <a16:creationId xmlns:a16="http://schemas.microsoft.com/office/drawing/2014/main" id="{00000000-0008-0000-0700-0000F3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6" name="Text Box 75">
          <a:extLst>
            <a:ext uri="{FF2B5EF4-FFF2-40B4-BE49-F238E27FC236}">
              <a16:creationId xmlns:a16="http://schemas.microsoft.com/office/drawing/2014/main" id="{00000000-0008-0000-0700-0000F4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7" name="Text Box 75">
          <a:extLst>
            <a:ext uri="{FF2B5EF4-FFF2-40B4-BE49-F238E27FC236}">
              <a16:creationId xmlns:a16="http://schemas.microsoft.com/office/drawing/2014/main" id="{00000000-0008-0000-0700-0000F5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8" name="Text Box 75">
          <a:extLst>
            <a:ext uri="{FF2B5EF4-FFF2-40B4-BE49-F238E27FC236}">
              <a16:creationId xmlns:a16="http://schemas.microsoft.com/office/drawing/2014/main" id="{00000000-0008-0000-0700-0000F6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59" name="Text Box 75">
          <a:extLst>
            <a:ext uri="{FF2B5EF4-FFF2-40B4-BE49-F238E27FC236}">
              <a16:creationId xmlns:a16="http://schemas.microsoft.com/office/drawing/2014/main" id="{00000000-0008-0000-0700-0000F7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0" name="Text Box 75">
          <a:extLst>
            <a:ext uri="{FF2B5EF4-FFF2-40B4-BE49-F238E27FC236}">
              <a16:creationId xmlns:a16="http://schemas.microsoft.com/office/drawing/2014/main" id="{00000000-0008-0000-0700-0000F8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1" name="Text Box 75">
          <a:extLst>
            <a:ext uri="{FF2B5EF4-FFF2-40B4-BE49-F238E27FC236}">
              <a16:creationId xmlns:a16="http://schemas.microsoft.com/office/drawing/2014/main" id="{00000000-0008-0000-0700-0000F9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2" name="Text Box 75">
          <a:extLst>
            <a:ext uri="{FF2B5EF4-FFF2-40B4-BE49-F238E27FC236}">
              <a16:creationId xmlns:a16="http://schemas.microsoft.com/office/drawing/2014/main" id="{00000000-0008-0000-0700-0000FA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3" name="Text Box 75">
          <a:extLst>
            <a:ext uri="{FF2B5EF4-FFF2-40B4-BE49-F238E27FC236}">
              <a16:creationId xmlns:a16="http://schemas.microsoft.com/office/drawing/2014/main" id="{00000000-0008-0000-0700-0000FB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4" name="Text Box 75">
          <a:extLst>
            <a:ext uri="{FF2B5EF4-FFF2-40B4-BE49-F238E27FC236}">
              <a16:creationId xmlns:a16="http://schemas.microsoft.com/office/drawing/2014/main" id="{00000000-0008-0000-0700-0000FC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5" name="Text Box 75">
          <a:extLst>
            <a:ext uri="{FF2B5EF4-FFF2-40B4-BE49-F238E27FC236}">
              <a16:creationId xmlns:a16="http://schemas.microsoft.com/office/drawing/2014/main" id="{00000000-0008-0000-0700-0000FD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6" name="Text Box 75">
          <a:extLst>
            <a:ext uri="{FF2B5EF4-FFF2-40B4-BE49-F238E27FC236}">
              <a16:creationId xmlns:a16="http://schemas.microsoft.com/office/drawing/2014/main" id="{00000000-0008-0000-0700-0000FE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7" name="Text Box 75">
          <a:extLst>
            <a:ext uri="{FF2B5EF4-FFF2-40B4-BE49-F238E27FC236}">
              <a16:creationId xmlns:a16="http://schemas.microsoft.com/office/drawing/2014/main" id="{00000000-0008-0000-0700-0000FF02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8" name="Text Box 75">
          <a:extLst>
            <a:ext uri="{FF2B5EF4-FFF2-40B4-BE49-F238E27FC236}">
              <a16:creationId xmlns:a16="http://schemas.microsoft.com/office/drawing/2014/main" id="{00000000-0008-0000-0700-000000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69" name="Text Box 75">
          <a:extLst>
            <a:ext uri="{FF2B5EF4-FFF2-40B4-BE49-F238E27FC236}">
              <a16:creationId xmlns:a16="http://schemas.microsoft.com/office/drawing/2014/main" id="{00000000-0008-0000-0700-000001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0" name="Text Box 75">
          <a:extLst>
            <a:ext uri="{FF2B5EF4-FFF2-40B4-BE49-F238E27FC236}">
              <a16:creationId xmlns:a16="http://schemas.microsoft.com/office/drawing/2014/main" id="{00000000-0008-0000-0700-000002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1" name="Text Box 75">
          <a:extLst>
            <a:ext uri="{FF2B5EF4-FFF2-40B4-BE49-F238E27FC236}">
              <a16:creationId xmlns:a16="http://schemas.microsoft.com/office/drawing/2014/main" id="{00000000-0008-0000-0700-000003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2" name="Text Box 75">
          <a:extLst>
            <a:ext uri="{FF2B5EF4-FFF2-40B4-BE49-F238E27FC236}">
              <a16:creationId xmlns:a16="http://schemas.microsoft.com/office/drawing/2014/main" id="{00000000-0008-0000-0700-000004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3" name="Text Box 75">
          <a:extLst>
            <a:ext uri="{FF2B5EF4-FFF2-40B4-BE49-F238E27FC236}">
              <a16:creationId xmlns:a16="http://schemas.microsoft.com/office/drawing/2014/main" id="{00000000-0008-0000-0700-000005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4" name="Text Box 75">
          <a:extLst>
            <a:ext uri="{FF2B5EF4-FFF2-40B4-BE49-F238E27FC236}">
              <a16:creationId xmlns:a16="http://schemas.microsoft.com/office/drawing/2014/main" id="{00000000-0008-0000-0700-000006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5" name="Text Box 75">
          <a:extLst>
            <a:ext uri="{FF2B5EF4-FFF2-40B4-BE49-F238E27FC236}">
              <a16:creationId xmlns:a16="http://schemas.microsoft.com/office/drawing/2014/main" id="{00000000-0008-0000-0700-000007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6" name="Text Box 75">
          <a:extLst>
            <a:ext uri="{FF2B5EF4-FFF2-40B4-BE49-F238E27FC236}">
              <a16:creationId xmlns:a16="http://schemas.microsoft.com/office/drawing/2014/main" id="{00000000-0008-0000-0700-000008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7" name="Text Box 75">
          <a:extLst>
            <a:ext uri="{FF2B5EF4-FFF2-40B4-BE49-F238E27FC236}">
              <a16:creationId xmlns:a16="http://schemas.microsoft.com/office/drawing/2014/main" id="{00000000-0008-0000-0700-000009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8" name="Text Box 75">
          <a:extLst>
            <a:ext uri="{FF2B5EF4-FFF2-40B4-BE49-F238E27FC236}">
              <a16:creationId xmlns:a16="http://schemas.microsoft.com/office/drawing/2014/main" id="{00000000-0008-0000-0700-00000A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79" name="Text Box 75">
          <a:extLst>
            <a:ext uri="{FF2B5EF4-FFF2-40B4-BE49-F238E27FC236}">
              <a16:creationId xmlns:a16="http://schemas.microsoft.com/office/drawing/2014/main" id="{00000000-0008-0000-0700-00000B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0" name="Text Box 75">
          <a:extLst>
            <a:ext uri="{FF2B5EF4-FFF2-40B4-BE49-F238E27FC236}">
              <a16:creationId xmlns:a16="http://schemas.microsoft.com/office/drawing/2014/main" id="{00000000-0008-0000-0700-00000C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1" name="Text Box 75">
          <a:extLst>
            <a:ext uri="{FF2B5EF4-FFF2-40B4-BE49-F238E27FC236}">
              <a16:creationId xmlns:a16="http://schemas.microsoft.com/office/drawing/2014/main" id="{00000000-0008-0000-0700-00000D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2" name="Text Box 75">
          <a:extLst>
            <a:ext uri="{FF2B5EF4-FFF2-40B4-BE49-F238E27FC236}">
              <a16:creationId xmlns:a16="http://schemas.microsoft.com/office/drawing/2014/main" id="{00000000-0008-0000-0700-00000E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3" name="Text Box 75">
          <a:extLst>
            <a:ext uri="{FF2B5EF4-FFF2-40B4-BE49-F238E27FC236}">
              <a16:creationId xmlns:a16="http://schemas.microsoft.com/office/drawing/2014/main" id="{00000000-0008-0000-0700-00000F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4" name="Text Box 75">
          <a:extLst>
            <a:ext uri="{FF2B5EF4-FFF2-40B4-BE49-F238E27FC236}">
              <a16:creationId xmlns:a16="http://schemas.microsoft.com/office/drawing/2014/main" id="{00000000-0008-0000-0700-000010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5" name="Text Box 75">
          <a:extLst>
            <a:ext uri="{FF2B5EF4-FFF2-40B4-BE49-F238E27FC236}">
              <a16:creationId xmlns:a16="http://schemas.microsoft.com/office/drawing/2014/main" id="{00000000-0008-0000-0700-000011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6" name="Text Box 75">
          <a:extLst>
            <a:ext uri="{FF2B5EF4-FFF2-40B4-BE49-F238E27FC236}">
              <a16:creationId xmlns:a16="http://schemas.microsoft.com/office/drawing/2014/main" id="{00000000-0008-0000-0700-000012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7" name="Text Box 75">
          <a:extLst>
            <a:ext uri="{FF2B5EF4-FFF2-40B4-BE49-F238E27FC236}">
              <a16:creationId xmlns:a16="http://schemas.microsoft.com/office/drawing/2014/main" id="{00000000-0008-0000-0700-000013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8" name="Text Box 75">
          <a:extLst>
            <a:ext uri="{FF2B5EF4-FFF2-40B4-BE49-F238E27FC236}">
              <a16:creationId xmlns:a16="http://schemas.microsoft.com/office/drawing/2014/main" id="{00000000-0008-0000-0700-000014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89" name="Text Box 75">
          <a:extLst>
            <a:ext uri="{FF2B5EF4-FFF2-40B4-BE49-F238E27FC236}">
              <a16:creationId xmlns:a16="http://schemas.microsoft.com/office/drawing/2014/main" id="{00000000-0008-0000-0700-000015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0" name="Text Box 75">
          <a:extLst>
            <a:ext uri="{FF2B5EF4-FFF2-40B4-BE49-F238E27FC236}">
              <a16:creationId xmlns:a16="http://schemas.microsoft.com/office/drawing/2014/main" id="{00000000-0008-0000-0700-000016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1" name="Text Box 75">
          <a:extLst>
            <a:ext uri="{FF2B5EF4-FFF2-40B4-BE49-F238E27FC236}">
              <a16:creationId xmlns:a16="http://schemas.microsoft.com/office/drawing/2014/main" id="{00000000-0008-0000-0700-000017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2" name="Text Box 75">
          <a:extLst>
            <a:ext uri="{FF2B5EF4-FFF2-40B4-BE49-F238E27FC236}">
              <a16:creationId xmlns:a16="http://schemas.microsoft.com/office/drawing/2014/main" id="{00000000-0008-0000-0700-000018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3" name="Text Box 75">
          <a:extLst>
            <a:ext uri="{FF2B5EF4-FFF2-40B4-BE49-F238E27FC236}">
              <a16:creationId xmlns:a16="http://schemas.microsoft.com/office/drawing/2014/main" id="{00000000-0008-0000-0700-000019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4" name="Text Box 75">
          <a:extLst>
            <a:ext uri="{FF2B5EF4-FFF2-40B4-BE49-F238E27FC236}">
              <a16:creationId xmlns:a16="http://schemas.microsoft.com/office/drawing/2014/main" id="{00000000-0008-0000-0700-00001A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5" name="Text Box 75">
          <a:extLst>
            <a:ext uri="{FF2B5EF4-FFF2-40B4-BE49-F238E27FC236}">
              <a16:creationId xmlns:a16="http://schemas.microsoft.com/office/drawing/2014/main" id="{00000000-0008-0000-0700-00001B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6" name="Text Box 75">
          <a:extLst>
            <a:ext uri="{FF2B5EF4-FFF2-40B4-BE49-F238E27FC236}">
              <a16:creationId xmlns:a16="http://schemas.microsoft.com/office/drawing/2014/main" id="{00000000-0008-0000-0700-00001C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7" name="Text Box 75">
          <a:extLst>
            <a:ext uri="{FF2B5EF4-FFF2-40B4-BE49-F238E27FC236}">
              <a16:creationId xmlns:a16="http://schemas.microsoft.com/office/drawing/2014/main" id="{00000000-0008-0000-0700-00001D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8" name="Text Box 75">
          <a:extLst>
            <a:ext uri="{FF2B5EF4-FFF2-40B4-BE49-F238E27FC236}">
              <a16:creationId xmlns:a16="http://schemas.microsoft.com/office/drawing/2014/main" id="{00000000-0008-0000-0700-00001E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799" name="Text Box 75">
          <a:extLst>
            <a:ext uri="{FF2B5EF4-FFF2-40B4-BE49-F238E27FC236}">
              <a16:creationId xmlns:a16="http://schemas.microsoft.com/office/drawing/2014/main" id="{00000000-0008-0000-0700-00001F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0" name="Text Box 75">
          <a:extLst>
            <a:ext uri="{FF2B5EF4-FFF2-40B4-BE49-F238E27FC236}">
              <a16:creationId xmlns:a16="http://schemas.microsoft.com/office/drawing/2014/main" id="{00000000-0008-0000-0700-000020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1" name="Text Box 75">
          <a:extLst>
            <a:ext uri="{FF2B5EF4-FFF2-40B4-BE49-F238E27FC236}">
              <a16:creationId xmlns:a16="http://schemas.microsoft.com/office/drawing/2014/main" id="{00000000-0008-0000-0700-000021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2" name="Text Box 75">
          <a:extLst>
            <a:ext uri="{FF2B5EF4-FFF2-40B4-BE49-F238E27FC236}">
              <a16:creationId xmlns:a16="http://schemas.microsoft.com/office/drawing/2014/main" id="{00000000-0008-0000-0700-000022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3" name="Text Box 75">
          <a:extLst>
            <a:ext uri="{FF2B5EF4-FFF2-40B4-BE49-F238E27FC236}">
              <a16:creationId xmlns:a16="http://schemas.microsoft.com/office/drawing/2014/main" id="{00000000-0008-0000-0700-000023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4" name="Text Box 75">
          <a:extLst>
            <a:ext uri="{FF2B5EF4-FFF2-40B4-BE49-F238E27FC236}">
              <a16:creationId xmlns:a16="http://schemas.microsoft.com/office/drawing/2014/main" id="{00000000-0008-0000-0700-000024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5" name="Text Box 75">
          <a:extLst>
            <a:ext uri="{FF2B5EF4-FFF2-40B4-BE49-F238E27FC236}">
              <a16:creationId xmlns:a16="http://schemas.microsoft.com/office/drawing/2014/main" id="{00000000-0008-0000-0700-000025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6" name="Text Box 75">
          <a:extLst>
            <a:ext uri="{FF2B5EF4-FFF2-40B4-BE49-F238E27FC236}">
              <a16:creationId xmlns:a16="http://schemas.microsoft.com/office/drawing/2014/main" id="{00000000-0008-0000-0700-000026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7" name="Text Box 75">
          <a:extLst>
            <a:ext uri="{FF2B5EF4-FFF2-40B4-BE49-F238E27FC236}">
              <a16:creationId xmlns:a16="http://schemas.microsoft.com/office/drawing/2014/main" id="{00000000-0008-0000-0700-000027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8" name="Text Box 75">
          <a:extLst>
            <a:ext uri="{FF2B5EF4-FFF2-40B4-BE49-F238E27FC236}">
              <a16:creationId xmlns:a16="http://schemas.microsoft.com/office/drawing/2014/main" id="{00000000-0008-0000-0700-000028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09" name="Text Box 75">
          <a:extLst>
            <a:ext uri="{FF2B5EF4-FFF2-40B4-BE49-F238E27FC236}">
              <a16:creationId xmlns:a16="http://schemas.microsoft.com/office/drawing/2014/main" id="{00000000-0008-0000-0700-000029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0" name="Text Box 75">
          <a:extLst>
            <a:ext uri="{FF2B5EF4-FFF2-40B4-BE49-F238E27FC236}">
              <a16:creationId xmlns:a16="http://schemas.microsoft.com/office/drawing/2014/main" id="{00000000-0008-0000-0700-00002A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1" name="Text Box 75">
          <a:extLst>
            <a:ext uri="{FF2B5EF4-FFF2-40B4-BE49-F238E27FC236}">
              <a16:creationId xmlns:a16="http://schemas.microsoft.com/office/drawing/2014/main" id="{00000000-0008-0000-0700-00002B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2" name="Text Box 75">
          <a:extLst>
            <a:ext uri="{FF2B5EF4-FFF2-40B4-BE49-F238E27FC236}">
              <a16:creationId xmlns:a16="http://schemas.microsoft.com/office/drawing/2014/main" id="{00000000-0008-0000-0700-00002C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3" name="Text Box 75">
          <a:extLst>
            <a:ext uri="{FF2B5EF4-FFF2-40B4-BE49-F238E27FC236}">
              <a16:creationId xmlns:a16="http://schemas.microsoft.com/office/drawing/2014/main" id="{00000000-0008-0000-0700-00002D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4" name="Text Box 75">
          <a:extLst>
            <a:ext uri="{FF2B5EF4-FFF2-40B4-BE49-F238E27FC236}">
              <a16:creationId xmlns:a16="http://schemas.microsoft.com/office/drawing/2014/main" id="{00000000-0008-0000-0700-00002E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5" name="Text Box 75">
          <a:extLst>
            <a:ext uri="{FF2B5EF4-FFF2-40B4-BE49-F238E27FC236}">
              <a16:creationId xmlns:a16="http://schemas.microsoft.com/office/drawing/2014/main" id="{00000000-0008-0000-0700-00002F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6" name="Text Box 75">
          <a:extLst>
            <a:ext uri="{FF2B5EF4-FFF2-40B4-BE49-F238E27FC236}">
              <a16:creationId xmlns:a16="http://schemas.microsoft.com/office/drawing/2014/main" id="{00000000-0008-0000-0700-000030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7" name="Text Box 75">
          <a:extLst>
            <a:ext uri="{FF2B5EF4-FFF2-40B4-BE49-F238E27FC236}">
              <a16:creationId xmlns:a16="http://schemas.microsoft.com/office/drawing/2014/main" id="{00000000-0008-0000-0700-000031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8" name="Text Box 75">
          <a:extLst>
            <a:ext uri="{FF2B5EF4-FFF2-40B4-BE49-F238E27FC236}">
              <a16:creationId xmlns:a16="http://schemas.microsoft.com/office/drawing/2014/main" id="{00000000-0008-0000-0700-000032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19" name="Text Box 75">
          <a:extLst>
            <a:ext uri="{FF2B5EF4-FFF2-40B4-BE49-F238E27FC236}">
              <a16:creationId xmlns:a16="http://schemas.microsoft.com/office/drawing/2014/main" id="{00000000-0008-0000-0700-000033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20" name="Text Box 75">
          <a:extLst>
            <a:ext uri="{FF2B5EF4-FFF2-40B4-BE49-F238E27FC236}">
              <a16:creationId xmlns:a16="http://schemas.microsoft.com/office/drawing/2014/main" id="{00000000-0008-0000-0700-000034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21" name="Text Box 75">
          <a:extLst>
            <a:ext uri="{FF2B5EF4-FFF2-40B4-BE49-F238E27FC236}">
              <a16:creationId xmlns:a16="http://schemas.microsoft.com/office/drawing/2014/main" id="{00000000-0008-0000-0700-000035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22" name="Text Box 75">
          <a:extLst>
            <a:ext uri="{FF2B5EF4-FFF2-40B4-BE49-F238E27FC236}">
              <a16:creationId xmlns:a16="http://schemas.microsoft.com/office/drawing/2014/main" id="{00000000-0008-0000-0700-000036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23" name="Text Box 75">
          <a:extLst>
            <a:ext uri="{FF2B5EF4-FFF2-40B4-BE49-F238E27FC236}">
              <a16:creationId xmlns:a16="http://schemas.microsoft.com/office/drawing/2014/main" id="{00000000-0008-0000-0700-000037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24" name="Text Box 75">
          <a:extLst>
            <a:ext uri="{FF2B5EF4-FFF2-40B4-BE49-F238E27FC236}">
              <a16:creationId xmlns:a16="http://schemas.microsoft.com/office/drawing/2014/main" id="{00000000-0008-0000-0700-000038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25" name="Text Box 75">
          <a:extLst>
            <a:ext uri="{FF2B5EF4-FFF2-40B4-BE49-F238E27FC236}">
              <a16:creationId xmlns:a16="http://schemas.microsoft.com/office/drawing/2014/main" id="{00000000-0008-0000-0700-000039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26" name="Text Box 75">
          <a:extLst>
            <a:ext uri="{FF2B5EF4-FFF2-40B4-BE49-F238E27FC236}">
              <a16:creationId xmlns:a16="http://schemas.microsoft.com/office/drawing/2014/main" id="{00000000-0008-0000-0700-00003A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27" name="Text Box 75">
          <a:extLst>
            <a:ext uri="{FF2B5EF4-FFF2-40B4-BE49-F238E27FC236}">
              <a16:creationId xmlns:a16="http://schemas.microsoft.com/office/drawing/2014/main" id="{00000000-0008-0000-0700-00003B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28" name="Text Box 75">
          <a:extLst>
            <a:ext uri="{FF2B5EF4-FFF2-40B4-BE49-F238E27FC236}">
              <a16:creationId xmlns:a16="http://schemas.microsoft.com/office/drawing/2014/main" id="{00000000-0008-0000-0700-00003C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29" name="Text Box 75">
          <a:extLst>
            <a:ext uri="{FF2B5EF4-FFF2-40B4-BE49-F238E27FC236}">
              <a16:creationId xmlns:a16="http://schemas.microsoft.com/office/drawing/2014/main" id="{00000000-0008-0000-0700-00003D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30" name="Text Box 75">
          <a:extLst>
            <a:ext uri="{FF2B5EF4-FFF2-40B4-BE49-F238E27FC236}">
              <a16:creationId xmlns:a16="http://schemas.microsoft.com/office/drawing/2014/main" id="{00000000-0008-0000-0700-00003E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31" name="Text Box 75">
          <a:extLst>
            <a:ext uri="{FF2B5EF4-FFF2-40B4-BE49-F238E27FC236}">
              <a16:creationId xmlns:a16="http://schemas.microsoft.com/office/drawing/2014/main" id="{00000000-0008-0000-0700-00003F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32" name="Text Box 75">
          <a:extLst>
            <a:ext uri="{FF2B5EF4-FFF2-40B4-BE49-F238E27FC236}">
              <a16:creationId xmlns:a16="http://schemas.microsoft.com/office/drawing/2014/main" id="{00000000-0008-0000-0700-000040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33" name="Text Box 75">
          <a:extLst>
            <a:ext uri="{FF2B5EF4-FFF2-40B4-BE49-F238E27FC236}">
              <a16:creationId xmlns:a16="http://schemas.microsoft.com/office/drawing/2014/main" id="{00000000-0008-0000-0700-000041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34" name="Text Box 75">
          <a:extLst>
            <a:ext uri="{FF2B5EF4-FFF2-40B4-BE49-F238E27FC236}">
              <a16:creationId xmlns:a16="http://schemas.microsoft.com/office/drawing/2014/main" id="{00000000-0008-0000-0700-000042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35" name="Text Box 75">
          <a:extLst>
            <a:ext uri="{FF2B5EF4-FFF2-40B4-BE49-F238E27FC236}">
              <a16:creationId xmlns:a16="http://schemas.microsoft.com/office/drawing/2014/main" id="{00000000-0008-0000-0700-000043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36" name="Text Box 75">
          <a:extLst>
            <a:ext uri="{FF2B5EF4-FFF2-40B4-BE49-F238E27FC236}">
              <a16:creationId xmlns:a16="http://schemas.microsoft.com/office/drawing/2014/main" id="{00000000-0008-0000-0700-000044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37" name="Text Box 75">
          <a:extLst>
            <a:ext uri="{FF2B5EF4-FFF2-40B4-BE49-F238E27FC236}">
              <a16:creationId xmlns:a16="http://schemas.microsoft.com/office/drawing/2014/main" id="{00000000-0008-0000-0700-000045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38" name="Text Box 75">
          <a:extLst>
            <a:ext uri="{FF2B5EF4-FFF2-40B4-BE49-F238E27FC236}">
              <a16:creationId xmlns:a16="http://schemas.microsoft.com/office/drawing/2014/main" id="{00000000-0008-0000-0700-000046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39" name="Text Box 75">
          <a:extLst>
            <a:ext uri="{FF2B5EF4-FFF2-40B4-BE49-F238E27FC236}">
              <a16:creationId xmlns:a16="http://schemas.microsoft.com/office/drawing/2014/main" id="{00000000-0008-0000-0700-000047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40" name="Text Box 75">
          <a:extLst>
            <a:ext uri="{FF2B5EF4-FFF2-40B4-BE49-F238E27FC236}">
              <a16:creationId xmlns:a16="http://schemas.microsoft.com/office/drawing/2014/main" id="{00000000-0008-0000-0700-000048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41" name="Text Box 75">
          <a:extLst>
            <a:ext uri="{FF2B5EF4-FFF2-40B4-BE49-F238E27FC236}">
              <a16:creationId xmlns:a16="http://schemas.microsoft.com/office/drawing/2014/main" id="{00000000-0008-0000-0700-000049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42" name="Text Box 75">
          <a:extLst>
            <a:ext uri="{FF2B5EF4-FFF2-40B4-BE49-F238E27FC236}">
              <a16:creationId xmlns:a16="http://schemas.microsoft.com/office/drawing/2014/main" id="{00000000-0008-0000-0700-00004A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36</xdr:row>
      <xdr:rowOff>3295650</xdr:rowOff>
    </xdr:from>
    <xdr:to>
      <xdr:col>55</xdr:col>
      <xdr:colOff>85725</xdr:colOff>
      <xdr:row>38</xdr:row>
      <xdr:rowOff>23376</xdr:rowOff>
    </xdr:to>
    <xdr:sp macro="" textlink="">
      <xdr:nvSpPr>
        <xdr:cNvPr id="843" name="Text Box 75">
          <a:extLst>
            <a:ext uri="{FF2B5EF4-FFF2-40B4-BE49-F238E27FC236}">
              <a16:creationId xmlns:a16="http://schemas.microsoft.com/office/drawing/2014/main" id="{00000000-0008-0000-0700-00004B030000}"/>
            </a:ext>
          </a:extLst>
        </xdr:cNvPr>
        <xdr:cNvSpPr txBox="1">
          <a:spLocks noChangeArrowheads="1"/>
        </xdr:cNvSpPr>
      </xdr:nvSpPr>
      <xdr:spPr bwMode="auto">
        <a:xfrm>
          <a:off x="7543800" y="77142975"/>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44" name="Text Box 75">
          <a:extLst>
            <a:ext uri="{FF2B5EF4-FFF2-40B4-BE49-F238E27FC236}">
              <a16:creationId xmlns:a16="http://schemas.microsoft.com/office/drawing/2014/main" id="{00000000-0008-0000-0700-00004C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45" name="Text Box 75">
          <a:extLst>
            <a:ext uri="{FF2B5EF4-FFF2-40B4-BE49-F238E27FC236}">
              <a16:creationId xmlns:a16="http://schemas.microsoft.com/office/drawing/2014/main" id="{00000000-0008-0000-0700-00004D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46" name="Text Box 75">
          <a:extLst>
            <a:ext uri="{FF2B5EF4-FFF2-40B4-BE49-F238E27FC236}">
              <a16:creationId xmlns:a16="http://schemas.microsoft.com/office/drawing/2014/main" id="{00000000-0008-0000-0700-00004E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47" name="Text Box 75">
          <a:extLst>
            <a:ext uri="{FF2B5EF4-FFF2-40B4-BE49-F238E27FC236}">
              <a16:creationId xmlns:a16="http://schemas.microsoft.com/office/drawing/2014/main" id="{00000000-0008-0000-0700-00004F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48" name="Text Box 75">
          <a:extLst>
            <a:ext uri="{FF2B5EF4-FFF2-40B4-BE49-F238E27FC236}">
              <a16:creationId xmlns:a16="http://schemas.microsoft.com/office/drawing/2014/main" id="{00000000-0008-0000-0700-000050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49" name="Text Box 75">
          <a:extLst>
            <a:ext uri="{FF2B5EF4-FFF2-40B4-BE49-F238E27FC236}">
              <a16:creationId xmlns:a16="http://schemas.microsoft.com/office/drawing/2014/main" id="{00000000-0008-0000-0700-000051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0" name="Text Box 75">
          <a:extLst>
            <a:ext uri="{FF2B5EF4-FFF2-40B4-BE49-F238E27FC236}">
              <a16:creationId xmlns:a16="http://schemas.microsoft.com/office/drawing/2014/main" id="{00000000-0008-0000-0700-000052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1" name="Text Box 75">
          <a:extLst>
            <a:ext uri="{FF2B5EF4-FFF2-40B4-BE49-F238E27FC236}">
              <a16:creationId xmlns:a16="http://schemas.microsoft.com/office/drawing/2014/main" id="{00000000-0008-0000-0700-000053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2" name="Text Box 75">
          <a:extLst>
            <a:ext uri="{FF2B5EF4-FFF2-40B4-BE49-F238E27FC236}">
              <a16:creationId xmlns:a16="http://schemas.microsoft.com/office/drawing/2014/main" id="{00000000-0008-0000-0700-000054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3" name="Text Box 75">
          <a:extLst>
            <a:ext uri="{FF2B5EF4-FFF2-40B4-BE49-F238E27FC236}">
              <a16:creationId xmlns:a16="http://schemas.microsoft.com/office/drawing/2014/main" id="{00000000-0008-0000-0700-000055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4" name="Text Box 75">
          <a:extLst>
            <a:ext uri="{FF2B5EF4-FFF2-40B4-BE49-F238E27FC236}">
              <a16:creationId xmlns:a16="http://schemas.microsoft.com/office/drawing/2014/main" id="{00000000-0008-0000-0700-000056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5" name="Text Box 75">
          <a:extLst>
            <a:ext uri="{FF2B5EF4-FFF2-40B4-BE49-F238E27FC236}">
              <a16:creationId xmlns:a16="http://schemas.microsoft.com/office/drawing/2014/main" id="{00000000-0008-0000-0700-000057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6" name="Text Box 75">
          <a:extLst>
            <a:ext uri="{FF2B5EF4-FFF2-40B4-BE49-F238E27FC236}">
              <a16:creationId xmlns:a16="http://schemas.microsoft.com/office/drawing/2014/main" id="{00000000-0008-0000-0700-000058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7" name="Text Box 75">
          <a:extLst>
            <a:ext uri="{FF2B5EF4-FFF2-40B4-BE49-F238E27FC236}">
              <a16:creationId xmlns:a16="http://schemas.microsoft.com/office/drawing/2014/main" id="{00000000-0008-0000-0700-000059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8" name="Text Box 75">
          <a:extLst>
            <a:ext uri="{FF2B5EF4-FFF2-40B4-BE49-F238E27FC236}">
              <a16:creationId xmlns:a16="http://schemas.microsoft.com/office/drawing/2014/main" id="{00000000-0008-0000-0700-00005A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59" name="Text Box 75">
          <a:extLst>
            <a:ext uri="{FF2B5EF4-FFF2-40B4-BE49-F238E27FC236}">
              <a16:creationId xmlns:a16="http://schemas.microsoft.com/office/drawing/2014/main" id="{00000000-0008-0000-0700-00005B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0" name="Text Box 75">
          <a:extLst>
            <a:ext uri="{FF2B5EF4-FFF2-40B4-BE49-F238E27FC236}">
              <a16:creationId xmlns:a16="http://schemas.microsoft.com/office/drawing/2014/main" id="{00000000-0008-0000-0700-00005C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1" name="Text Box 75">
          <a:extLst>
            <a:ext uri="{FF2B5EF4-FFF2-40B4-BE49-F238E27FC236}">
              <a16:creationId xmlns:a16="http://schemas.microsoft.com/office/drawing/2014/main" id="{00000000-0008-0000-0700-00005D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2" name="Text Box 75">
          <a:extLst>
            <a:ext uri="{FF2B5EF4-FFF2-40B4-BE49-F238E27FC236}">
              <a16:creationId xmlns:a16="http://schemas.microsoft.com/office/drawing/2014/main" id="{00000000-0008-0000-0700-00005E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3" name="Text Box 75">
          <a:extLst>
            <a:ext uri="{FF2B5EF4-FFF2-40B4-BE49-F238E27FC236}">
              <a16:creationId xmlns:a16="http://schemas.microsoft.com/office/drawing/2014/main" id="{00000000-0008-0000-0700-00005F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4" name="Text Box 75">
          <a:extLst>
            <a:ext uri="{FF2B5EF4-FFF2-40B4-BE49-F238E27FC236}">
              <a16:creationId xmlns:a16="http://schemas.microsoft.com/office/drawing/2014/main" id="{00000000-0008-0000-0700-000060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5" name="Text Box 75">
          <a:extLst>
            <a:ext uri="{FF2B5EF4-FFF2-40B4-BE49-F238E27FC236}">
              <a16:creationId xmlns:a16="http://schemas.microsoft.com/office/drawing/2014/main" id="{00000000-0008-0000-0700-000061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6" name="Text Box 75">
          <a:extLst>
            <a:ext uri="{FF2B5EF4-FFF2-40B4-BE49-F238E27FC236}">
              <a16:creationId xmlns:a16="http://schemas.microsoft.com/office/drawing/2014/main" id="{00000000-0008-0000-0700-000062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7" name="Text Box 75">
          <a:extLst>
            <a:ext uri="{FF2B5EF4-FFF2-40B4-BE49-F238E27FC236}">
              <a16:creationId xmlns:a16="http://schemas.microsoft.com/office/drawing/2014/main" id="{00000000-0008-0000-0700-000063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8" name="Text Box 75">
          <a:extLst>
            <a:ext uri="{FF2B5EF4-FFF2-40B4-BE49-F238E27FC236}">
              <a16:creationId xmlns:a16="http://schemas.microsoft.com/office/drawing/2014/main" id="{00000000-0008-0000-0700-000064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69" name="Text Box 75">
          <a:extLst>
            <a:ext uri="{FF2B5EF4-FFF2-40B4-BE49-F238E27FC236}">
              <a16:creationId xmlns:a16="http://schemas.microsoft.com/office/drawing/2014/main" id="{00000000-0008-0000-0700-000065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0" name="Text Box 75">
          <a:extLst>
            <a:ext uri="{FF2B5EF4-FFF2-40B4-BE49-F238E27FC236}">
              <a16:creationId xmlns:a16="http://schemas.microsoft.com/office/drawing/2014/main" id="{00000000-0008-0000-0700-000066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1" name="Text Box 75">
          <a:extLst>
            <a:ext uri="{FF2B5EF4-FFF2-40B4-BE49-F238E27FC236}">
              <a16:creationId xmlns:a16="http://schemas.microsoft.com/office/drawing/2014/main" id="{00000000-0008-0000-0700-000067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2" name="Text Box 75">
          <a:extLst>
            <a:ext uri="{FF2B5EF4-FFF2-40B4-BE49-F238E27FC236}">
              <a16:creationId xmlns:a16="http://schemas.microsoft.com/office/drawing/2014/main" id="{00000000-0008-0000-0700-000068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3" name="Text Box 75">
          <a:extLst>
            <a:ext uri="{FF2B5EF4-FFF2-40B4-BE49-F238E27FC236}">
              <a16:creationId xmlns:a16="http://schemas.microsoft.com/office/drawing/2014/main" id="{00000000-0008-0000-0700-000069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4" name="Text Box 75">
          <a:extLst>
            <a:ext uri="{FF2B5EF4-FFF2-40B4-BE49-F238E27FC236}">
              <a16:creationId xmlns:a16="http://schemas.microsoft.com/office/drawing/2014/main" id="{00000000-0008-0000-0700-00006A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5" name="Text Box 75">
          <a:extLst>
            <a:ext uri="{FF2B5EF4-FFF2-40B4-BE49-F238E27FC236}">
              <a16:creationId xmlns:a16="http://schemas.microsoft.com/office/drawing/2014/main" id="{00000000-0008-0000-0700-00006B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6" name="Text Box 75">
          <a:extLst>
            <a:ext uri="{FF2B5EF4-FFF2-40B4-BE49-F238E27FC236}">
              <a16:creationId xmlns:a16="http://schemas.microsoft.com/office/drawing/2014/main" id="{00000000-0008-0000-0700-00006C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7" name="Text Box 75">
          <a:extLst>
            <a:ext uri="{FF2B5EF4-FFF2-40B4-BE49-F238E27FC236}">
              <a16:creationId xmlns:a16="http://schemas.microsoft.com/office/drawing/2014/main" id="{00000000-0008-0000-0700-00006D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8" name="Text Box 75">
          <a:extLst>
            <a:ext uri="{FF2B5EF4-FFF2-40B4-BE49-F238E27FC236}">
              <a16:creationId xmlns:a16="http://schemas.microsoft.com/office/drawing/2014/main" id="{00000000-0008-0000-0700-00006E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79" name="Text Box 75">
          <a:extLst>
            <a:ext uri="{FF2B5EF4-FFF2-40B4-BE49-F238E27FC236}">
              <a16:creationId xmlns:a16="http://schemas.microsoft.com/office/drawing/2014/main" id="{00000000-0008-0000-0700-00006F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0" name="Text Box 75">
          <a:extLst>
            <a:ext uri="{FF2B5EF4-FFF2-40B4-BE49-F238E27FC236}">
              <a16:creationId xmlns:a16="http://schemas.microsoft.com/office/drawing/2014/main" id="{00000000-0008-0000-0700-000070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1" name="Text Box 75">
          <a:extLst>
            <a:ext uri="{FF2B5EF4-FFF2-40B4-BE49-F238E27FC236}">
              <a16:creationId xmlns:a16="http://schemas.microsoft.com/office/drawing/2014/main" id="{00000000-0008-0000-0700-000071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2" name="Text Box 75">
          <a:extLst>
            <a:ext uri="{FF2B5EF4-FFF2-40B4-BE49-F238E27FC236}">
              <a16:creationId xmlns:a16="http://schemas.microsoft.com/office/drawing/2014/main" id="{00000000-0008-0000-0700-000072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3" name="Text Box 75">
          <a:extLst>
            <a:ext uri="{FF2B5EF4-FFF2-40B4-BE49-F238E27FC236}">
              <a16:creationId xmlns:a16="http://schemas.microsoft.com/office/drawing/2014/main" id="{00000000-0008-0000-0700-000073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4" name="Text Box 75">
          <a:extLst>
            <a:ext uri="{FF2B5EF4-FFF2-40B4-BE49-F238E27FC236}">
              <a16:creationId xmlns:a16="http://schemas.microsoft.com/office/drawing/2014/main" id="{00000000-0008-0000-0700-000074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5" name="Text Box 75">
          <a:extLst>
            <a:ext uri="{FF2B5EF4-FFF2-40B4-BE49-F238E27FC236}">
              <a16:creationId xmlns:a16="http://schemas.microsoft.com/office/drawing/2014/main" id="{00000000-0008-0000-0700-000075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6" name="Text Box 75">
          <a:extLst>
            <a:ext uri="{FF2B5EF4-FFF2-40B4-BE49-F238E27FC236}">
              <a16:creationId xmlns:a16="http://schemas.microsoft.com/office/drawing/2014/main" id="{00000000-0008-0000-0700-000076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7" name="Text Box 75">
          <a:extLst>
            <a:ext uri="{FF2B5EF4-FFF2-40B4-BE49-F238E27FC236}">
              <a16:creationId xmlns:a16="http://schemas.microsoft.com/office/drawing/2014/main" id="{00000000-0008-0000-0700-000077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8" name="Text Box 75">
          <a:extLst>
            <a:ext uri="{FF2B5EF4-FFF2-40B4-BE49-F238E27FC236}">
              <a16:creationId xmlns:a16="http://schemas.microsoft.com/office/drawing/2014/main" id="{00000000-0008-0000-0700-000078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89" name="Text Box 75">
          <a:extLst>
            <a:ext uri="{FF2B5EF4-FFF2-40B4-BE49-F238E27FC236}">
              <a16:creationId xmlns:a16="http://schemas.microsoft.com/office/drawing/2014/main" id="{00000000-0008-0000-0700-000079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0" name="Text Box 75">
          <a:extLst>
            <a:ext uri="{FF2B5EF4-FFF2-40B4-BE49-F238E27FC236}">
              <a16:creationId xmlns:a16="http://schemas.microsoft.com/office/drawing/2014/main" id="{00000000-0008-0000-0700-00007A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1" name="Text Box 75">
          <a:extLst>
            <a:ext uri="{FF2B5EF4-FFF2-40B4-BE49-F238E27FC236}">
              <a16:creationId xmlns:a16="http://schemas.microsoft.com/office/drawing/2014/main" id="{00000000-0008-0000-0700-00007B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2" name="Text Box 75">
          <a:extLst>
            <a:ext uri="{FF2B5EF4-FFF2-40B4-BE49-F238E27FC236}">
              <a16:creationId xmlns:a16="http://schemas.microsoft.com/office/drawing/2014/main" id="{00000000-0008-0000-0700-00007C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3" name="Text Box 75">
          <a:extLst>
            <a:ext uri="{FF2B5EF4-FFF2-40B4-BE49-F238E27FC236}">
              <a16:creationId xmlns:a16="http://schemas.microsoft.com/office/drawing/2014/main" id="{00000000-0008-0000-0700-00007D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4" name="Text Box 75">
          <a:extLst>
            <a:ext uri="{FF2B5EF4-FFF2-40B4-BE49-F238E27FC236}">
              <a16:creationId xmlns:a16="http://schemas.microsoft.com/office/drawing/2014/main" id="{00000000-0008-0000-0700-00007E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5" name="Text Box 75">
          <a:extLst>
            <a:ext uri="{FF2B5EF4-FFF2-40B4-BE49-F238E27FC236}">
              <a16:creationId xmlns:a16="http://schemas.microsoft.com/office/drawing/2014/main" id="{00000000-0008-0000-0700-00007F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6" name="Text Box 75">
          <a:extLst>
            <a:ext uri="{FF2B5EF4-FFF2-40B4-BE49-F238E27FC236}">
              <a16:creationId xmlns:a16="http://schemas.microsoft.com/office/drawing/2014/main" id="{00000000-0008-0000-0700-000080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7" name="Text Box 75">
          <a:extLst>
            <a:ext uri="{FF2B5EF4-FFF2-40B4-BE49-F238E27FC236}">
              <a16:creationId xmlns:a16="http://schemas.microsoft.com/office/drawing/2014/main" id="{00000000-0008-0000-0700-000081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8" name="Text Box 75">
          <a:extLst>
            <a:ext uri="{FF2B5EF4-FFF2-40B4-BE49-F238E27FC236}">
              <a16:creationId xmlns:a16="http://schemas.microsoft.com/office/drawing/2014/main" id="{00000000-0008-0000-0700-000082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899" name="Text Box 75">
          <a:extLst>
            <a:ext uri="{FF2B5EF4-FFF2-40B4-BE49-F238E27FC236}">
              <a16:creationId xmlns:a16="http://schemas.microsoft.com/office/drawing/2014/main" id="{00000000-0008-0000-0700-000083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0" name="Text Box 75">
          <a:extLst>
            <a:ext uri="{FF2B5EF4-FFF2-40B4-BE49-F238E27FC236}">
              <a16:creationId xmlns:a16="http://schemas.microsoft.com/office/drawing/2014/main" id="{00000000-0008-0000-0700-000084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1" name="Text Box 75">
          <a:extLst>
            <a:ext uri="{FF2B5EF4-FFF2-40B4-BE49-F238E27FC236}">
              <a16:creationId xmlns:a16="http://schemas.microsoft.com/office/drawing/2014/main" id="{00000000-0008-0000-0700-000085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2" name="Text Box 75">
          <a:extLst>
            <a:ext uri="{FF2B5EF4-FFF2-40B4-BE49-F238E27FC236}">
              <a16:creationId xmlns:a16="http://schemas.microsoft.com/office/drawing/2014/main" id="{00000000-0008-0000-0700-000086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3" name="Text Box 75">
          <a:extLst>
            <a:ext uri="{FF2B5EF4-FFF2-40B4-BE49-F238E27FC236}">
              <a16:creationId xmlns:a16="http://schemas.microsoft.com/office/drawing/2014/main" id="{00000000-0008-0000-0700-000087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4" name="Text Box 75">
          <a:extLst>
            <a:ext uri="{FF2B5EF4-FFF2-40B4-BE49-F238E27FC236}">
              <a16:creationId xmlns:a16="http://schemas.microsoft.com/office/drawing/2014/main" id="{00000000-0008-0000-0700-000088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5" name="Text Box 75">
          <a:extLst>
            <a:ext uri="{FF2B5EF4-FFF2-40B4-BE49-F238E27FC236}">
              <a16:creationId xmlns:a16="http://schemas.microsoft.com/office/drawing/2014/main" id="{00000000-0008-0000-0700-000089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6" name="Text Box 75">
          <a:extLst>
            <a:ext uri="{FF2B5EF4-FFF2-40B4-BE49-F238E27FC236}">
              <a16:creationId xmlns:a16="http://schemas.microsoft.com/office/drawing/2014/main" id="{00000000-0008-0000-0700-00008A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7" name="Text Box 75">
          <a:extLst>
            <a:ext uri="{FF2B5EF4-FFF2-40B4-BE49-F238E27FC236}">
              <a16:creationId xmlns:a16="http://schemas.microsoft.com/office/drawing/2014/main" id="{00000000-0008-0000-0700-00008B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8" name="Text Box 75">
          <a:extLst>
            <a:ext uri="{FF2B5EF4-FFF2-40B4-BE49-F238E27FC236}">
              <a16:creationId xmlns:a16="http://schemas.microsoft.com/office/drawing/2014/main" id="{00000000-0008-0000-0700-00008C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09" name="Text Box 75">
          <a:extLst>
            <a:ext uri="{FF2B5EF4-FFF2-40B4-BE49-F238E27FC236}">
              <a16:creationId xmlns:a16="http://schemas.microsoft.com/office/drawing/2014/main" id="{00000000-0008-0000-0700-00008D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10" name="Text Box 75">
          <a:extLst>
            <a:ext uri="{FF2B5EF4-FFF2-40B4-BE49-F238E27FC236}">
              <a16:creationId xmlns:a16="http://schemas.microsoft.com/office/drawing/2014/main" id="{00000000-0008-0000-0700-00008E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11" name="Text Box 75">
          <a:extLst>
            <a:ext uri="{FF2B5EF4-FFF2-40B4-BE49-F238E27FC236}">
              <a16:creationId xmlns:a16="http://schemas.microsoft.com/office/drawing/2014/main" id="{00000000-0008-0000-0700-00008F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12" name="Text Box 75">
          <a:extLst>
            <a:ext uri="{FF2B5EF4-FFF2-40B4-BE49-F238E27FC236}">
              <a16:creationId xmlns:a16="http://schemas.microsoft.com/office/drawing/2014/main" id="{00000000-0008-0000-0700-000090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13" name="Text Box 75">
          <a:extLst>
            <a:ext uri="{FF2B5EF4-FFF2-40B4-BE49-F238E27FC236}">
              <a16:creationId xmlns:a16="http://schemas.microsoft.com/office/drawing/2014/main" id="{00000000-0008-0000-0700-000091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14" name="Text Box 75">
          <a:extLst>
            <a:ext uri="{FF2B5EF4-FFF2-40B4-BE49-F238E27FC236}">
              <a16:creationId xmlns:a16="http://schemas.microsoft.com/office/drawing/2014/main" id="{00000000-0008-0000-0700-000092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38</xdr:row>
      <xdr:rowOff>3295650</xdr:rowOff>
    </xdr:from>
    <xdr:to>
      <xdr:col>55</xdr:col>
      <xdr:colOff>85725</xdr:colOff>
      <xdr:row>39</xdr:row>
      <xdr:rowOff>188815</xdr:rowOff>
    </xdr:to>
    <xdr:sp macro="" textlink="">
      <xdr:nvSpPr>
        <xdr:cNvPr id="915" name="Text Box 75">
          <a:extLst>
            <a:ext uri="{FF2B5EF4-FFF2-40B4-BE49-F238E27FC236}">
              <a16:creationId xmlns:a16="http://schemas.microsoft.com/office/drawing/2014/main" id="{00000000-0008-0000-0700-000093030000}"/>
            </a:ext>
          </a:extLst>
        </xdr:cNvPr>
        <xdr:cNvSpPr txBox="1">
          <a:spLocks noChangeArrowheads="1"/>
        </xdr:cNvSpPr>
      </xdr:nvSpPr>
      <xdr:spPr bwMode="auto">
        <a:xfrm>
          <a:off x="7543800" y="77142975"/>
          <a:ext cx="85725" cy="3279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0" name="Text Box 75">
          <a:extLst>
            <a:ext uri="{FF2B5EF4-FFF2-40B4-BE49-F238E27FC236}">
              <a16:creationId xmlns:a16="http://schemas.microsoft.com/office/drawing/2014/main" id="{00000000-0008-0000-0700-0000AC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1" name="Text Box 75">
          <a:extLst>
            <a:ext uri="{FF2B5EF4-FFF2-40B4-BE49-F238E27FC236}">
              <a16:creationId xmlns:a16="http://schemas.microsoft.com/office/drawing/2014/main" id="{00000000-0008-0000-0700-0000AD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2" name="Text Box 75">
          <a:extLst>
            <a:ext uri="{FF2B5EF4-FFF2-40B4-BE49-F238E27FC236}">
              <a16:creationId xmlns:a16="http://schemas.microsoft.com/office/drawing/2014/main" id="{00000000-0008-0000-0700-0000AE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3" name="Text Box 75">
          <a:extLst>
            <a:ext uri="{FF2B5EF4-FFF2-40B4-BE49-F238E27FC236}">
              <a16:creationId xmlns:a16="http://schemas.microsoft.com/office/drawing/2014/main" id="{00000000-0008-0000-0700-0000AF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4" name="Text Box 75">
          <a:extLst>
            <a:ext uri="{FF2B5EF4-FFF2-40B4-BE49-F238E27FC236}">
              <a16:creationId xmlns:a16="http://schemas.microsoft.com/office/drawing/2014/main" id="{00000000-0008-0000-0700-0000B0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5" name="Text Box 75">
          <a:extLst>
            <a:ext uri="{FF2B5EF4-FFF2-40B4-BE49-F238E27FC236}">
              <a16:creationId xmlns:a16="http://schemas.microsoft.com/office/drawing/2014/main" id="{00000000-0008-0000-0700-0000B1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6" name="Text Box 75">
          <a:extLst>
            <a:ext uri="{FF2B5EF4-FFF2-40B4-BE49-F238E27FC236}">
              <a16:creationId xmlns:a16="http://schemas.microsoft.com/office/drawing/2014/main" id="{00000000-0008-0000-0700-0000B2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7" name="Text Box 75">
          <a:extLst>
            <a:ext uri="{FF2B5EF4-FFF2-40B4-BE49-F238E27FC236}">
              <a16:creationId xmlns:a16="http://schemas.microsoft.com/office/drawing/2014/main" id="{00000000-0008-0000-0700-0000B3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8" name="Text Box 75">
          <a:extLst>
            <a:ext uri="{FF2B5EF4-FFF2-40B4-BE49-F238E27FC236}">
              <a16:creationId xmlns:a16="http://schemas.microsoft.com/office/drawing/2014/main" id="{00000000-0008-0000-0700-0000B4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49" name="Text Box 75">
          <a:extLst>
            <a:ext uri="{FF2B5EF4-FFF2-40B4-BE49-F238E27FC236}">
              <a16:creationId xmlns:a16="http://schemas.microsoft.com/office/drawing/2014/main" id="{00000000-0008-0000-0700-0000B5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0" name="Text Box 75">
          <a:extLst>
            <a:ext uri="{FF2B5EF4-FFF2-40B4-BE49-F238E27FC236}">
              <a16:creationId xmlns:a16="http://schemas.microsoft.com/office/drawing/2014/main" id="{00000000-0008-0000-0700-0000B6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1" name="Text Box 75">
          <a:extLst>
            <a:ext uri="{FF2B5EF4-FFF2-40B4-BE49-F238E27FC236}">
              <a16:creationId xmlns:a16="http://schemas.microsoft.com/office/drawing/2014/main" id="{00000000-0008-0000-0700-0000B7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2" name="Text Box 75">
          <a:extLst>
            <a:ext uri="{FF2B5EF4-FFF2-40B4-BE49-F238E27FC236}">
              <a16:creationId xmlns:a16="http://schemas.microsoft.com/office/drawing/2014/main" id="{00000000-0008-0000-0700-0000B8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3" name="Text Box 75">
          <a:extLst>
            <a:ext uri="{FF2B5EF4-FFF2-40B4-BE49-F238E27FC236}">
              <a16:creationId xmlns:a16="http://schemas.microsoft.com/office/drawing/2014/main" id="{00000000-0008-0000-0700-0000B9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4" name="Text Box 75">
          <a:extLst>
            <a:ext uri="{FF2B5EF4-FFF2-40B4-BE49-F238E27FC236}">
              <a16:creationId xmlns:a16="http://schemas.microsoft.com/office/drawing/2014/main" id="{00000000-0008-0000-0700-0000BA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5" name="Text Box 75">
          <a:extLst>
            <a:ext uri="{FF2B5EF4-FFF2-40B4-BE49-F238E27FC236}">
              <a16:creationId xmlns:a16="http://schemas.microsoft.com/office/drawing/2014/main" id="{00000000-0008-0000-0700-0000BB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6" name="Text Box 75">
          <a:extLst>
            <a:ext uri="{FF2B5EF4-FFF2-40B4-BE49-F238E27FC236}">
              <a16:creationId xmlns:a16="http://schemas.microsoft.com/office/drawing/2014/main" id="{00000000-0008-0000-0700-0000BC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7" name="Text Box 75">
          <a:extLst>
            <a:ext uri="{FF2B5EF4-FFF2-40B4-BE49-F238E27FC236}">
              <a16:creationId xmlns:a16="http://schemas.microsoft.com/office/drawing/2014/main" id="{00000000-0008-0000-0700-0000BD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8" name="Text Box 75">
          <a:extLst>
            <a:ext uri="{FF2B5EF4-FFF2-40B4-BE49-F238E27FC236}">
              <a16:creationId xmlns:a16="http://schemas.microsoft.com/office/drawing/2014/main" id="{00000000-0008-0000-0700-0000BE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59" name="Text Box 75">
          <a:extLst>
            <a:ext uri="{FF2B5EF4-FFF2-40B4-BE49-F238E27FC236}">
              <a16:creationId xmlns:a16="http://schemas.microsoft.com/office/drawing/2014/main" id="{00000000-0008-0000-0700-0000BF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0" name="Text Box 75">
          <a:extLst>
            <a:ext uri="{FF2B5EF4-FFF2-40B4-BE49-F238E27FC236}">
              <a16:creationId xmlns:a16="http://schemas.microsoft.com/office/drawing/2014/main" id="{00000000-0008-0000-0700-0000C0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1" name="Text Box 75">
          <a:extLst>
            <a:ext uri="{FF2B5EF4-FFF2-40B4-BE49-F238E27FC236}">
              <a16:creationId xmlns:a16="http://schemas.microsoft.com/office/drawing/2014/main" id="{00000000-0008-0000-0700-0000C1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2" name="Text Box 75">
          <a:extLst>
            <a:ext uri="{FF2B5EF4-FFF2-40B4-BE49-F238E27FC236}">
              <a16:creationId xmlns:a16="http://schemas.microsoft.com/office/drawing/2014/main" id="{00000000-0008-0000-0700-0000C2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3" name="Text Box 75">
          <a:extLst>
            <a:ext uri="{FF2B5EF4-FFF2-40B4-BE49-F238E27FC236}">
              <a16:creationId xmlns:a16="http://schemas.microsoft.com/office/drawing/2014/main" id="{00000000-0008-0000-0700-0000C3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4" name="Text Box 75">
          <a:extLst>
            <a:ext uri="{FF2B5EF4-FFF2-40B4-BE49-F238E27FC236}">
              <a16:creationId xmlns:a16="http://schemas.microsoft.com/office/drawing/2014/main" id="{00000000-0008-0000-0700-0000C4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5" name="Text Box 75">
          <a:extLst>
            <a:ext uri="{FF2B5EF4-FFF2-40B4-BE49-F238E27FC236}">
              <a16:creationId xmlns:a16="http://schemas.microsoft.com/office/drawing/2014/main" id="{00000000-0008-0000-0700-0000C5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6" name="Text Box 75">
          <a:extLst>
            <a:ext uri="{FF2B5EF4-FFF2-40B4-BE49-F238E27FC236}">
              <a16:creationId xmlns:a16="http://schemas.microsoft.com/office/drawing/2014/main" id="{00000000-0008-0000-0700-0000C6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7" name="Text Box 75">
          <a:extLst>
            <a:ext uri="{FF2B5EF4-FFF2-40B4-BE49-F238E27FC236}">
              <a16:creationId xmlns:a16="http://schemas.microsoft.com/office/drawing/2014/main" id="{00000000-0008-0000-0700-0000C7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8" name="Text Box 75">
          <a:extLst>
            <a:ext uri="{FF2B5EF4-FFF2-40B4-BE49-F238E27FC236}">
              <a16:creationId xmlns:a16="http://schemas.microsoft.com/office/drawing/2014/main" id="{00000000-0008-0000-0700-0000C8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69" name="Text Box 75">
          <a:extLst>
            <a:ext uri="{FF2B5EF4-FFF2-40B4-BE49-F238E27FC236}">
              <a16:creationId xmlns:a16="http://schemas.microsoft.com/office/drawing/2014/main" id="{00000000-0008-0000-0700-0000C9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0" name="Text Box 75">
          <a:extLst>
            <a:ext uri="{FF2B5EF4-FFF2-40B4-BE49-F238E27FC236}">
              <a16:creationId xmlns:a16="http://schemas.microsoft.com/office/drawing/2014/main" id="{00000000-0008-0000-0700-0000CA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1" name="Text Box 75">
          <a:extLst>
            <a:ext uri="{FF2B5EF4-FFF2-40B4-BE49-F238E27FC236}">
              <a16:creationId xmlns:a16="http://schemas.microsoft.com/office/drawing/2014/main" id="{00000000-0008-0000-0700-0000CB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2" name="Text Box 75">
          <a:extLst>
            <a:ext uri="{FF2B5EF4-FFF2-40B4-BE49-F238E27FC236}">
              <a16:creationId xmlns:a16="http://schemas.microsoft.com/office/drawing/2014/main" id="{00000000-0008-0000-0700-0000CC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3" name="Text Box 75">
          <a:extLst>
            <a:ext uri="{FF2B5EF4-FFF2-40B4-BE49-F238E27FC236}">
              <a16:creationId xmlns:a16="http://schemas.microsoft.com/office/drawing/2014/main" id="{00000000-0008-0000-0700-0000CD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4" name="Text Box 75">
          <a:extLst>
            <a:ext uri="{FF2B5EF4-FFF2-40B4-BE49-F238E27FC236}">
              <a16:creationId xmlns:a16="http://schemas.microsoft.com/office/drawing/2014/main" id="{00000000-0008-0000-0700-0000CE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5" name="Text Box 75">
          <a:extLst>
            <a:ext uri="{FF2B5EF4-FFF2-40B4-BE49-F238E27FC236}">
              <a16:creationId xmlns:a16="http://schemas.microsoft.com/office/drawing/2014/main" id="{00000000-0008-0000-0700-0000CF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6" name="Text Box 75">
          <a:extLst>
            <a:ext uri="{FF2B5EF4-FFF2-40B4-BE49-F238E27FC236}">
              <a16:creationId xmlns:a16="http://schemas.microsoft.com/office/drawing/2014/main" id="{00000000-0008-0000-0700-0000D0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7" name="Text Box 75">
          <a:extLst>
            <a:ext uri="{FF2B5EF4-FFF2-40B4-BE49-F238E27FC236}">
              <a16:creationId xmlns:a16="http://schemas.microsoft.com/office/drawing/2014/main" id="{00000000-0008-0000-0700-0000D1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8" name="Text Box 75">
          <a:extLst>
            <a:ext uri="{FF2B5EF4-FFF2-40B4-BE49-F238E27FC236}">
              <a16:creationId xmlns:a16="http://schemas.microsoft.com/office/drawing/2014/main" id="{00000000-0008-0000-0700-0000D2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79" name="Text Box 75">
          <a:extLst>
            <a:ext uri="{FF2B5EF4-FFF2-40B4-BE49-F238E27FC236}">
              <a16:creationId xmlns:a16="http://schemas.microsoft.com/office/drawing/2014/main" id="{00000000-0008-0000-0700-0000D3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0" name="Text Box 75">
          <a:extLst>
            <a:ext uri="{FF2B5EF4-FFF2-40B4-BE49-F238E27FC236}">
              <a16:creationId xmlns:a16="http://schemas.microsoft.com/office/drawing/2014/main" id="{00000000-0008-0000-0700-0000D4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1" name="Text Box 75">
          <a:extLst>
            <a:ext uri="{FF2B5EF4-FFF2-40B4-BE49-F238E27FC236}">
              <a16:creationId xmlns:a16="http://schemas.microsoft.com/office/drawing/2014/main" id="{00000000-0008-0000-0700-0000D5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2" name="Text Box 75">
          <a:extLst>
            <a:ext uri="{FF2B5EF4-FFF2-40B4-BE49-F238E27FC236}">
              <a16:creationId xmlns:a16="http://schemas.microsoft.com/office/drawing/2014/main" id="{00000000-0008-0000-0700-0000D6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3" name="Text Box 75">
          <a:extLst>
            <a:ext uri="{FF2B5EF4-FFF2-40B4-BE49-F238E27FC236}">
              <a16:creationId xmlns:a16="http://schemas.microsoft.com/office/drawing/2014/main" id="{00000000-0008-0000-0700-0000D7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4" name="Text Box 75">
          <a:extLst>
            <a:ext uri="{FF2B5EF4-FFF2-40B4-BE49-F238E27FC236}">
              <a16:creationId xmlns:a16="http://schemas.microsoft.com/office/drawing/2014/main" id="{00000000-0008-0000-0700-0000D8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5" name="Text Box 75">
          <a:extLst>
            <a:ext uri="{FF2B5EF4-FFF2-40B4-BE49-F238E27FC236}">
              <a16:creationId xmlns:a16="http://schemas.microsoft.com/office/drawing/2014/main" id="{00000000-0008-0000-0700-0000D9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6" name="Text Box 75">
          <a:extLst>
            <a:ext uri="{FF2B5EF4-FFF2-40B4-BE49-F238E27FC236}">
              <a16:creationId xmlns:a16="http://schemas.microsoft.com/office/drawing/2014/main" id="{00000000-0008-0000-0700-0000DA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7" name="Text Box 75">
          <a:extLst>
            <a:ext uri="{FF2B5EF4-FFF2-40B4-BE49-F238E27FC236}">
              <a16:creationId xmlns:a16="http://schemas.microsoft.com/office/drawing/2014/main" id="{00000000-0008-0000-0700-0000DB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8" name="Text Box 75">
          <a:extLst>
            <a:ext uri="{FF2B5EF4-FFF2-40B4-BE49-F238E27FC236}">
              <a16:creationId xmlns:a16="http://schemas.microsoft.com/office/drawing/2014/main" id="{00000000-0008-0000-0700-0000DC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89" name="Text Box 75">
          <a:extLst>
            <a:ext uri="{FF2B5EF4-FFF2-40B4-BE49-F238E27FC236}">
              <a16:creationId xmlns:a16="http://schemas.microsoft.com/office/drawing/2014/main" id="{00000000-0008-0000-0700-0000DD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90" name="Text Box 75">
          <a:extLst>
            <a:ext uri="{FF2B5EF4-FFF2-40B4-BE49-F238E27FC236}">
              <a16:creationId xmlns:a16="http://schemas.microsoft.com/office/drawing/2014/main" id="{00000000-0008-0000-0700-0000DE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91" name="Text Box 75">
          <a:extLst>
            <a:ext uri="{FF2B5EF4-FFF2-40B4-BE49-F238E27FC236}">
              <a16:creationId xmlns:a16="http://schemas.microsoft.com/office/drawing/2014/main" id="{00000000-0008-0000-0700-0000DF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54</xdr:col>
      <xdr:colOff>1400175</xdr:colOff>
      <xdr:row>39</xdr:row>
      <xdr:rowOff>3295650</xdr:rowOff>
    </xdr:from>
    <xdr:to>
      <xdr:col>55</xdr:col>
      <xdr:colOff>85725</xdr:colOff>
      <xdr:row>41</xdr:row>
      <xdr:rowOff>41088</xdr:rowOff>
    </xdr:to>
    <xdr:sp macro="" textlink="">
      <xdr:nvSpPr>
        <xdr:cNvPr id="992" name="Text Box 75">
          <a:extLst>
            <a:ext uri="{FF2B5EF4-FFF2-40B4-BE49-F238E27FC236}">
              <a16:creationId xmlns:a16="http://schemas.microsoft.com/office/drawing/2014/main" id="{00000000-0008-0000-0700-0000E0030000}"/>
            </a:ext>
          </a:extLst>
        </xdr:cNvPr>
        <xdr:cNvSpPr txBox="1">
          <a:spLocks noChangeArrowheads="1"/>
        </xdr:cNvSpPr>
      </xdr:nvSpPr>
      <xdr:spPr bwMode="auto">
        <a:xfrm>
          <a:off x="7543800" y="77142975"/>
          <a:ext cx="85725" cy="343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131</xdr:col>
      <xdr:colOff>0</xdr:colOff>
      <xdr:row>29</xdr:row>
      <xdr:rowOff>0</xdr:rowOff>
    </xdr:from>
    <xdr:to>
      <xdr:col>131</xdr:col>
      <xdr:colOff>76200</xdr:colOff>
      <xdr:row>29</xdr:row>
      <xdr:rowOff>329052</xdr:rowOff>
    </xdr:to>
    <xdr:sp macro="" textlink="">
      <xdr:nvSpPr>
        <xdr:cNvPr id="1052" name="Text Box 75">
          <a:extLst>
            <a:ext uri="{FF2B5EF4-FFF2-40B4-BE49-F238E27FC236}">
              <a16:creationId xmlns:a16="http://schemas.microsoft.com/office/drawing/2014/main" id="{00000000-0008-0000-0700-00001C040000}"/>
            </a:ext>
          </a:extLst>
        </xdr:cNvPr>
        <xdr:cNvSpPr txBox="1">
          <a:spLocks noChangeArrowheads="1"/>
        </xdr:cNvSpPr>
      </xdr:nvSpPr>
      <xdr:spPr bwMode="auto">
        <a:xfrm>
          <a:off x="7581900" y="22307550"/>
          <a:ext cx="762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0</xdr:rowOff>
    </xdr:from>
    <xdr:to>
      <xdr:col>131</xdr:col>
      <xdr:colOff>85725</xdr:colOff>
      <xdr:row>29</xdr:row>
      <xdr:rowOff>329052</xdr:rowOff>
    </xdr:to>
    <xdr:sp macro="" textlink="">
      <xdr:nvSpPr>
        <xdr:cNvPr id="1053" name="Text Box 75">
          <a:extLst>
            <a:ext uri="{FF2B5EF4-FFF2-40B4-BE49-F238E27FC236}">
              <a16:creationId xmlns:a16="http://schemas.microsoft.com/office/drawing/2014/main" id="{00000000-0008-0000-0700-00001D040000}"/>
            </a:ext>
          </a:extLst>
        </xdr:cNvPr>
        <xdr:cNvSpPr txBox="1">
          <a:spLocks noChangeArrowheads="1"/>
        </xdr:cNvSpPr>
      </xdr:nvSpPr>
      <xdr:spPr bwMode="auto">
        <a:xfrm>
          <a:off x="7543800" y="22307550"/>
          <a:ext cx="857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350425</xdr:rowOff>
    </xdr:to>
    <xdr:sp macro="" textlink="">
      <xdr:nvSpPr>
        <xdr:cNvPr id="1054" name="Text Box 75">
          <a:extLst>
            <a:ext uri="{FF2B5EF4-FFF2-40B4-BE49-F238E27FC236}">
              <a16:creationId xmlns:a16="http://schemas.microsoft.com/office/drawing/2014/main" id="{00000000-0008-0000-0700-00001E040000}"/>
            </a:ext>
          </a:extLst>
        </xdr:cNvPr>
        <xdr:cNvSpPr txBox="1">
          <a:spLocks noChangeArrowheads="1"/>
        </xdr:cNvSpPr>
      </xdr:nvSpPr>
      <xdr:spPr bwMode="auto">
        <a:xfrm>
          <a:off x="7543800" y="22307550"/>
          <a:ext cx="85725" cy="3469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22</xdr:row>
      <xdr:rowOff>3295650</xdr:rowOff>
    </xdr:from>
    <xdr:to>
      <xdr:col>131</xdr:col>
      <xdr:colOff>85725</xdr:colOff>
      <xdr:row>23</xdr:row>
      <xdr:rowOff>321289</xdr:rowOff>
    </xdr:to>
    <xdr:sp macro="" textlink="">
      <xdr:nvSpPr>
        <xdr:cNvPr id="1055" name="Text Box 75">
          <a:extLst>
            <a:ext uri="{FF2B5EF4-FFF2-40B4-BE49-F238E27FC236}">
              <a16:creationId xmlns:a16="http://schemas.microsoft.com/office/drawing/2014/main" id="{00000000-0008-0000-0700-00001F040000}"/>
            </a:ext>
          </a:extLst>
        </xdr:cNvPr>
        <xdr:cNvSpPr txBox="1">
          <a:spLocks noChangeArrowheads="1"/>
        </xdr:cNvSpPr>
      </xdr:nvSpPr>
      <xdr:spPr bwMode="auto">
        <a:xfrm>
          <a:off x="7543800" y="22974300"/>
          <a:ext cx="85725" cy="325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22</xdr:row>
      <xdr:rowOff>3295650</xdr:rowOff>
    </xdr:from>
    <xdr:to>
      <xdr:col>131</xdr:col>
      <xdr:colOff>85725</xdr:colOff>
      <xdr:row>23</xdr:row>
      <xdr:rowOff>321289</xdr:rowOff>
    </xdr:to>
    <xdr:sp macro="" textlink="">
      <xdr:nvSpPr>
        <xdr:cNvPr id="1056" name="Text Box 75">
          <a:extLst>
            <a:ext uri="{FF2B5EF4-FFF2-40B4-BE49-F238E27FC236}">
              <a16:creationId xmlns:a16="http://schemas.microsoft.com/office/drawing/2014/main" id="{00000000-0008-0000-0700-000020040000}"/>
            </a:ext>
          </a:extLst>
        </xdr:cNvPr>
        <xdr:cNvSpPr txBox="1">
          <a:spLocks noChangeArrowheads="1"/>
        </xdr:cNvSpPr>
      </xdr:nvSpPr>
      <xdr:spPr bwMode="auto">
        <a:xfrm>
          <a:off x="7543800" y="22974300"/>
          <a:ext cx="85725" cy="325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12</xdr:row>
      <xdr:rowOff>3295650</xdr:rowOff>
    </xdr:from>
    <xdr:to>
      <xdr:col>131</xdr:col>
      <xdr:colOff>85725</xdr:colOff>
      <xdr:row>13</xdr:row>
      <xdr:rowOff>323609</xdr:rowOff>
    </xdr:to>
    <xdr:sp macro="" textlink="">
      <xdr:nvSpPr>
        <xdr:cNvPr id="1057" name="Text Box 75">
          <a:extLst>
            <a:ext uri="{FF2B5EF4-FFF2-40B4-BE49-F238E27FC236}">
              <a16:creationId xmlns:a16="http://schemas.microsoft.com/office/drawing/2014/main" id="{00000000-0008-0000-0700-000021040000}"/>
            </a:ext>
          </a:extLst>
        </xdr:cNvPr>
        <xdr:cNvSpPr txBox="1">
          <a:spLocks noChangeArrowheads="1"/>
        </xdr:cNvSpPr>
      </xdr:nvSpPr>
      <xdr:spPr bwMode="auto">
        <a:xfrm>
          <a:off x="7543800" y="22974300"/>
          <a:ext cx="85725" cy="330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24</xdr:row>
      <xdr:rowOff>3295650</xdr:rowOff>
    </xdr:from>
    <xdr:to>
      <xdr:col>131</xdr:col>
      <xdr:colOff>85725</xdr:colOff>
      <xdr:row>25</xdr:row>
      <xdr:rowOff>333375</xdr:rowOff>
    </xdr:to>
    <xdr:sp macro="" textlink="">
      <xdr:nvSpPr>
        <xdr:cNvPr id="1059" name="Text Box 75">
          <a:extLst>
            <a:ext uri="{FF2B5EF4-FFF2-40B4-BE49-F238E27FC236}">
              <a16:creationId xmlns:a16="http://schemas.microsoft.com/office/drawing/2014/main" id="{00000000-0008-0000-0700-000023040000}"/>
            </a:ext>
          </a:extLst>
        </xdr:cNvPr>
        <xdr:cNvSpPr txBox="1">
          <a:spLocks noChangeArrowheads="1"/>
        </xdr:cNvSpPr>
      </xdr:nvSpPr>
      <xdr:spPr bwMode="auto">
        <a:xfrm>
          <a:off x="7543800" y="22974300"/>
          <a:ext cx="85725" cy="330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24</xdr:row>
      <xdr:rowOff>3295650</xdr:rowOff>
    </xdr:from>
    <xdr:to>
      <xdr:col>131</xdr:col>
      <xdr:colOff>85725</xdr:colOff>
      <xdr:row>25</xdr:row>
      <xdr:rowOff>333375</xdr:rowOff>
    </xdr:to>
    <xdr:sp macro="" textlink="">
      <xdr:nvSpPr>
        <xdr:cNvPr id="1060" name="Text Box 75">
          <a:extLst>
            <a:ext uri="{FF2B5EF4-FFF2-40B4-BE49-F238E27FC236}">
              <a16:creationId xmlns:a16="http://schemas.microsoft.com/office/drawing/2014/main" id="{00000000-0008-0000-0700-000024040000}"/>
            </a:ext>
          </a:extLst>
        </xdr:cNvPr>
        <xdr:cNvSpPr txBox="1">
          <a:spLocks noChangeArrowheads="1"/>
        </xdr:cNvSpPr>
      </xdr:nvSpPr>
      <xdr:spPr bwMode="auto">
        <a:xfrm>
          <a:off x="7543800" y="22974300"/>
          <a:ext cx="85725" cy="330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24</xdr:row>
      <xdr:rowOff>3295650</xdr:rowOff>
    </xdr:from>
    <xdr:to>
      <xdr:col>131</xdr:col>
      <xdr:colOff>85725</xdr:colOff>
      <xdr:row>25</xdr:row>
      <xdr:rowOff>333375</xdr:rowOff>
    </xdr:to>
    <xdr:sp macro="" textlink="">
      <xdr:nvSpPr>
        <xdr:cNvPr id="1061" name="Text Box 75">
          <a:extLst>
            <a:ext uri="{FF2B5EF4-FFF2-40B4-BE49-F238E27FC236}">
              <a16:creationId xmlns:a16="http://schemas.microsoft.com/office/drawing/2014/main" id="{00000000-0008-0000-0700-000025040000}"/>
            </a:ext>
          </a:extLst>
        </xdr:cNvPr>
        <xdr:cNvSpPr txBox="1">
          <a:spLocks noChangeArrowheads="1"/>
        </xdr:cNvSpPr>
      </xdr:nvSpPr>
      <xdr:spPr bwMode="auto">
        <a:xfrm>
          <a:off x="7543800" y="22974300"/>
          <a:ext cx="85725" cy="330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63" name="Text Box 75">
          <a:extLst>
            <a:ext uri="{FF2B5EF4-FFF2-40B4-BE49-F238E27FC236}">
              <a16:creationId xmlns:a16="http://schemas.microsoft.com/office/drawing/2014/main" id="{00000000-0008-0000-0700-000027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64" name="Text Box 75">
          <a:extLst>
            <a:ext uri="{FF2B5EF4-FFF2-40B4-BE49-F238E27FC236}">
              <a16:creationId xmlns:a16="http://schemas.microsoft.com/office/drawing/2014/main" id="{00000000-0008-0000-0700-000028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65" name="Text Box 75">
          <a:extLst>
            <a:ext uri="{FF2B5EF4-FFF2-40B4-BE49-F238E27FC236}">
              <a16:creationId xmlns:a16="http://schemas.microsoft.com/office/drawing/2014/main" id="{00000000-0008-0000-0700-000029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66" name="Text Box 75">
          <a:extLst>
            <a:ext uri="{FF2B5EF4-FFF2-40B4-BE49-F238E27FC236}">
              <a16:creationId xmlns:a16="http://schemas.microsoft.com/office/drawing/2014/main" id="{00000000-0008-0000-0700-00002A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67" name="Text Box 75">
          <a:extLst>
            <a:ext uri="{FF2B5EF4-FFF2-40B4-BE49-F238E27FC236}">
              <a16:creationId xmlns:a16="http://schemas.microsoft.com/office/drawing/2014/main" id="{00000000-0008-0000-0700-00002B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68" name="Text Box 75">
          <a:extLst>
            <a:ext uri="{FF2B5EF4-FFF2-40B4-BE49-F238E27FC236}">
              <a16:creationId xmlns:a16="http://schemas.microsoft.com/office/drawing/2014/main" id="{00000000-0008-0000-0700-00002C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69" name="Text Box 75">
          <a:extLst>
            <a:ext uri="{FF2B5EF4-FFF2-40B4-BE49-F238E27FC236}">
              <a16:creationId xmlns:a16="http://schemas.microsoft.com/office/drawing/2014/main" id="{00000000-0008-0000-0700-00002D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70" name="Text Box 75">
          <a:extLst>
            <a:ext uri="{FF2B5EF4-FFF2-40B4-BE49-F238E27FC236}">
              <a16:creationId xmlns:a16="http://schemas.microsoft.com/office/drawing/2014/main" id="{00000000-0008-0000-0700-00002E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71" name="Text Box 75">
          <a:extLst>
            <a:ext uri="{FF2B5EF4-FFF2-40B4-BE49-F238E27FC236}">
              <a16:creationId xmlns:a16="http://schemas.microsoft.com/office/drawing/2014/main" id="{00000000-0008-0000-0700-00002F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72" name="Text Box 75">
          <a:extLst>
            <a:ext uri="{FF2B5EF4-FFF2-40B4-BE49-F238E27FC236}">
              <a16:creationId xmlns:a16="http://schemas.microsoft.com/office/drawing/2014/main" id="{00000000-0008-0000-0700-000030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73" name="Text Box 75">
          <a:extLst>
            <a:ext uri="{FF2B5EF4-FFF2-40B4-BE49-F238E27FC236}">
              <a16:creationId xmlns:a16="http://schemas.microsoft.com/office/drawing/2014/main" id="{00000000-0008-0000-0700-000031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74" name="Text Box 75">
          <a:extLst>
            <a:ext uri="{FF2B5EF4-FFF2-40B4-BE49-F238E27FC236}">
              <a16:creationId xmlns:a16="http://schemas.microsoft.com/office/drawing/2014/main" id="{00000000-0008-0000-0700-000032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75" name="Text Box 75">
          <a:extLst>
            <a:ext uri="{FF2B5EF4-FFF2-40B4-BE49-F238E27FC236}">
              <a16:creationId xmlns:a16="http://schemas.microsoft.com/office/drawing/2014/main" id="{00000000-0008-0000-0700-000033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76" name="Text Box 75">
          <a:extLst>
            <a:ext uri="{FF2B5EF4-FFF2-40B4-BE49-F238E27FC236}">
              <a16:creationId xmlns:a16="http://schemas.microsoft.com/office/drawing/2014/main" id="{00000000-0008-0000-0700-000034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078" name="Text Box 75">
          <a:extLst>
            <a:ext uri="{FF2B5EF4-FFF2-40B4-BE49-F238E27FC236}">
              <a16:creationId xmlns:a16="http://schemas.microsoft.com/office/drawing/2014/main" id="{00000000-0008-0000-0700-000036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79" name="Text Box 75">
          <a:extLst>
            <a:ext uri="{FF2B5EF4-FFF2-40B4-BE49-F238E27FC236}">
              <a16:creationId xmlns:a16="http://schemas.microsoft.com/office/drawing/2014/main" id="{00000000-0008-0000-0700-000037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80" name="Text Box 75">
          <a:extLst>
            <a:ext uri="{FF2B5EF4-FFF2-40B4-BE49-F238E27FC236}">
              <a16:creationId xmlns:a16="http://schemas.microsoft.com/office/drawing/2014/main" id="{00000000-0008-0000-0700-000038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81" name="Text Box 75">
          <a:extLst>
            <a:ext uri="{FF2B5EF4-FFF2-40B4-BE49-F238E27FC236}">
              <a16:creationId xmlns:a16="http://schemas.microsoft.com/office/drawing/2014/main" id="{00000000-0008-0000-0700-000039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82" name="Text Box 75">
          <a:extLst>
            <a:ext uri="{FF2B5EF4-FFF2-40B4-BE49-F238E27FC236}">
              <a16:creationId xmlns:a16="http://schemas.microsoft.com/office/drawing/2014/main" id="{00000000-0008-0000-0700-00003A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083" name="Text Box 75">
          <a:extLst>
            <a:ext uri="{FF2B5EF4-FFF2-40B4-BE49-F238E27FC236}">
              <a16:creationId xmlns:a16="http://schemas.microsoft.com/office/drawing/2014/main" id="{00000000-0008-0000-0700-00003B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084" name="Text Box 75">
          <a:extLst>
            <a:ext uri="{FF2B5EF4-FFF2-40B4-BE49-F238E27FC236}">
              <a16:creationId xmlns:a16="http://schemas.microsoft.com/office/drawing/2014/main" id="{00000000-0008-0000-0700-00003C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085" name="Text Box 75">
          <a:extLst>
            <a:ext uri="{FF2B5EF4-FFF2-40B4-BE49-F238E27FC236}">
              <a16:creationId xmlns:a16="http://schemas.microsoft.com/office/drawing/2014/main" id="{00000000-0008-0000-0700-00003D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086" name="Text Box 75">
          <a:extLst>
            <a:ext uri="{FF2B5EF4-FFF2-40B4-BE49-F238E27FC236}">
              <a16:creationId xmlns:a16="http://schemas.microsoft.com/office/drawing/2014/main" id="{00000000-0008-0000-0700-00003E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087" name="Text Box 75">
          <a:extLst>
            <a:ext uri="{FF2B5EF4-FFF2-40B4-BE49-F238E27FC236}">
              <a16:creationId xmlns:a16="http://schemas.microsoft.com/office/drawing/2014/main" id="{00000000-0008-0000-0700-00003F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088" name="Text Box 75">
          <a:extLst>
            <a:ext uri="{FF2B5EF4-FFF2-40B4-BE49-F238E27FC236}">
              <a16:creationId xmlns:a16="http://schemas.microsoft.com/office/drawing/2014/main" id="{00000000-0008-0000-0700-000040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89" name="Text Box 75">
          <a:extLst>
            <a:ext uri="{FF2B5EF4-FFF2-40B4-BE49-F238E27FC236}">
              <a16:creationId xmlns:a16="http://schemas.microsoft.com/office/drawing/2014/main" id="{00000000-0008-0000-0700-000041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90" name="Text Box 75">
          <a:extLst>
            <a:ext uri="{FF2B5EF4-FFF2-40B4-BE49-F238E27FC236}">
              <a16:creationId xmlns:a16="http://schemas.microsoft.com/office/drawing/2014/main" id="{00000000-0008-0000-0700-000042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91" name="Text Box 75">
          <a:extLst>
            <a:ext uri="{FF2B5EF4-FFF2-40B4-BE49-F238E27FC236}">
              <a16:creationId xmlns:a16="http://schemas.microsoft.com/office/drawing/2014/main" id="{00000000-0008-0000-0700-000043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92" name="Text Box 75">
          <a:extLst>
            <a:ext uri="{FF2B5EF4-FFF2-40B4-BE49-F238E27FC236}">
              <a16:creationId xmlns:a16="http://schemas.microsoft.com/office/drawing/2014/main" id="{00000000-0008-0000-0700-000044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93" name="Text Box 75">
          <a:extLst>
            <a:ext uri="{FF2B5EF4-FFF2-40B4-BE49-F238E27FC236}">
              <a16:creationId xmlns:a16="http://schemas.microsoft.com/office/drawing/2014/main" id="{00000000-0008-0000-0700-000045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94" name="Text Box 75">
          <a:extLst>
            <a:ext uri="{FF2B5EF4-FFF2-40B4-BE49-F238E27FC236}">
              <a16:creationId xmlns:a16="http://schemas.microsoft.com/office/drawing/2014/main" id="{00000000-0008-0000-0700-000046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095" name="Text Box 75">
          <a:extLst>
            <a:ext uri="{FF2B5EF4-FFF2-40B4-BE49-F238E27FC236}">
              <a16:creationId xmlns:a16="http://schemas.microsoft.com/office/drawing/2014/main" id="{00000000-0008-0000-0700-000047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096" name="Text Box 75">
          <a:extLst>
            <a:ext uri="{FF2B5EF4-FFF2-40B4-BE49-F238E27FC236}">
              <a16:creationId xmlns:a16="http://schemas.microsoft.com/office/drawing/2014/main" id="{00000000-0008-0000-0700-000048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97" name="Text Box 75">
          <a:extLst>
            <a:ext uri="{FF2B5EF4-FFF2-40B4-BE49-F238E27FC236}">
              <a16:creationId xmlns:a16="http://schemas.microsoft.com/office/drawing/2014/main" id="{00000000-0008-0000-0700-000049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98" name="Text Box 75">
          <a:extLst>
            <a:ext uri="{FF2B5EF4-FFF2-40B4-BE49-F238E27FC236}">
              <a16:creationId xmlns:a16="http://schemas.microsoft.com/office/drawing/2014/main" id="{00000000-0008-0000-0700-00004A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0</xdr:rowOff>
    </xdr:from>
    <xdr:to>
      <xdr:col>131</xdr:col>
      <xdr:colOff>85725</xdr:colOff>
      <xdr:row>26</xdr:row>
      <xdr:rowOff>323290</xdr:rowOff>
    </xdr:to>
    <xdr:sp macro="" textlink="">
      <xdr:nvSpPr>
        <xdr:cNvPr id="1099" name="Text Box 75">
          <a:extLst>
            <a:ext uri="{FF2B5EF4-FFF2-40B4-BE49-F238E27FC236}">
              <a16:creationId xmlns:a16="http://schemas.microsoft.com/office/drawing/2014/main" id="{00000000-0008-0000-0700-00004B040000}"/>
            </a:ext>
          </a:extLst>
        </xdr:cNvPr>
        <xdr:cNvSpPr txBox="1">
          <a:spLocks noChangeArrowheads="1"/>
        </xdr:cNvSpPr>
      </xdr:nvSpPr>
      <xdr:spPr bwMode="auto">
        <a:xfrm>
          <a:off x="7543800" y="22974300"/>
          <a:ext cx="857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01" name="Text Box 75">
          <a:extLst>
            <a:ext uri="{FF2B5EF4-FFF2-40B4-BE49-F238E27FC236}">
              <a16:creationId xmlns:a16="http://schemas.microsoft.com/office/drawing/2014/main" id="{00000000-0008-0000-0700-00004D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02" name="Text Box 75">
          <a:extLst>
            <a:ext uri="{FF2B5EF4-FFF2-40B4-BE49-F238E27FC236}">
              <a16:creationId xmlns:a16="http://schemas.microsoft.com/office/drawing/2014/main" id="{00000000-0008-0000-0700-00004E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03" name="Text Box 75">
          <a:extLst>
            <a:ext uri="{FF2B5EF4-FFF2-40B4-BE49-F238E27FC236}">
              <a16:creationId xmlns:a16="http://schemas.microsoft.com/office/drawing/2014/main" id="{00000000-0008-0000-0700-00004F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04" name="Text Box 75">
          <a:extLst>
            <a:ext uri="{FF2B5EF4-FFF2-40B4-BE49-F238E27FC236}">
              <a16:creationId xmlns:a16="http://schemas.microsoft.com/office/drawing/2014/main" id="{00000000-0008-0000-0700-000050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05" name="Text Box 75">
          <a:extLst>
            <a:ext uri="{FF2B5EF4-FFF2-40B4-BE49-F238E27FC236}">
              <a16:creationId xmlns:a16="http://schemas.microsoft.com/office/drawing/2014/main" id="{00000000-0008-0000-0700-000051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06" name="Text Box 75">
          <a:extLst>
            <a:ext uri="{FF2B5EF4-FFF2-40B4-BE49-F238E27FC236}">
              <a16:creationId xmlns:a16="http://schemas.microsoft.com/office/drawing/2014/main" id="{00000000-0008-0000-0700-000052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07" name="Text Box 75">
          <a:extLst>
            <a:ext uri="{FF2B5EF4-FFF2-40B4-BE49-F238E27FC236}">
              <a16:creationId xmlns:a16="http://schemas.microsoft.com/office/drawing/2014/main" id="{00000000-0008-0000-0700-000053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08" name="Text Box 75">
          <a:extLst>
            <a:ext uri="{FF2B5EF4-FFF2-40B4-BE49-F238E27FC236}">
              <a16:creationId xmlns:a16="http://schemas.microsoft.com/office/drawing/2014/main" id="{00000000-0008-0000-0700-000054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09" name="Text Box 75">
          <a:extLst>
            <a:ext uri="{FF2B5EF4-FFF2-40B4-BE49-F238E27FC236}">
              <a16:creationId xmlns:a16="http://schemas.microsoft.com/office/drawing/2014/main" id="{00000000-0008-0000-0700-000055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0" name="Text Box 75">
          <a:extLst>
            <a:ext uri="{FF2B5EF4-FFF2-40B4-BE49-F238E27FC236}">
              <a16:creationId xmlns:a16="http://schemas.microsoft.com/office/drawing/2014/main" id="{00000000-0008-0000-0700-000056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1" name="Text Box 75">
          <a:extLst>
            <a:ext uri="{FF2B5EF4-FFF2-40B4-BE49-F238E27FC236}">
              <a16:creationId xmlns:a16="http://schemas.microsoft.com/office/drawing/2014/main" id="{00000000-0008-0000-0700-000057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2" name="Text Box 75">
          <a:extLst>
            <a:ext uri="{FF2B5EF4-FFF2-40B4-BE49-F238E27FC236}">
              <a16:creationId xmlns:a16="http://schemas.microsoft.com/office/drawing/2014/main" id="{00000000-0008-0000-0700-000058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3" name="Text Box 75">
          <a:extLst>
            <a:ext uri="{FF2B5EF4-FFF2-40B4-BE49-F238E27FC236}">
              <a16:creationId xmlns:a16="http://schemas.microsoft.com/office/drawing/2014/main" id="{00000000-0008-0000-0700-000059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4" name="Text Box 75">
          <a:extLst>
            <a:ext uri="{FF2B5EF4-FFF2-40B4-BE49-F238E27FC236}">
              <a16:creationId xmlns:a16="http://schemas.microsoft.com/office/drawing/2014/main" id="{00000000-0008-0000-0700-00005A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5" name="Text Box 75">
          <a:extLst>
            <a:ext uri="{FF2B5EF4-FFF2-40B4-BE49-F238E27FC236}">
              <a16:creationId xmlns:a16="http://schemas.microsoft.com/office/drawing/2014/main" id="{00000000-0008-0000-0700-00005B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6" name="Text Box 75">
          <a:extLst>
            <a:ext uri="{FF2B5EF4-FFF2-40B4-BE49-F238E27FC236}">
              <a16:creationId xmlns:a16="http://schemas.microsoft.com/office/drawing/2014/main" id="{00000000-0008-0000-0700-00005C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7" name="Text Box 75">
          <a:extLst>
            <a:ext uri="{FF2B5EF4-FFF2-40B4-BE49-F238E27FC236}">
              <a16:creationId xmlns:a16="http://schemas.microsoft.com/office/drawing/2014/main" id="{00000000-0008-0000-0700-00005D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8" name="Text Box 75">
          <a:extLst>
            <a:ext uri="{FF2B5EF4-FFF2-40B4-BE49-F238E27FC236}">
              <a16:creationId xmlns:a16="http://schemas.microsoft.com/office/drawing/2014/main" id="{00000000-0008-0000-0700-00005E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19" name="Text Box 75">
          <a:extLst>
            <a:ext uri="{FF2B5EF4-FFF2-40B4-BE49-F238E27FC236}">
              <a16:creationId xmlns:a16="http://schemas.microsoft.com/office/drawing/2014/main" id="{00000000-0008-0000-0700-00005F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0" name="Text Box 75">
          <a:extLst>
            <a:ext uri="{FF2B5EF4-FFF2-40B4-BE49-F238E27FC236}">
              <a16:creationId xmlns:a16="http://schemas.microsoft.com/office/drawing/2014/main" id="{00000000-0008-0000-0700-000060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1" name="Text Box 75">
          <a:extLst>
            <a:ext uri="{FF2B5EF4-FFF2-40B4-BE49-F238E27FC236}">
              <a16:creationId xmlns:a16="http://schemas.microsoft.com/office/drawing/2014/main" id="{00000000-0008-0000-0700-000061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2" name="Text Box 75">
          <a:extLst>
            <a:ext uri="{FF2B5EF4-FFF2-40B4-BE49-F238E27FC236}">
              <a16:creationId xmlns:a16="http://schemas.microsoft.com/office/drawing/2014/main" id="{00000000-0008-0000-0700-000062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3" name="Text Box 75">
          <a:extLst>
            <a:ext uri="{FF2B5EF4-FFF2-40B4-BE49-F238E27FC236}">
              <a16:creationId xmlns:a16="http://schemas.microsoft.com/office/drawing/2014/main" id="{00000000-0008-0000-0700-000063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4" name="Text Box 75">
          <a:extLst>
            <a:ext uri="{FF2B5EF4-FFF2-40B4-BE49-F238E27FC236}">
              <a16:creationId xmlns:a16="http://schemas.microsoft.com/office/drawing/2014/main" id="{00000000-0008-0000-0700-000064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5" name="Text Box 75">
          <a:extLst>
            <a:ext uri="{FF2B5EF4-FFF2-40B4-BE49-F238E27FC236}">
              <a16:creationId xmlns:a16="http://schemas.microsoft.com/office/drawing/2014/main" id="{00000000-0008-0000-0700-000065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6" name="Text Box 75">
          <a:extLst>
            <a:ext uri="{FF2B5EF4-FFF2-40B4-BE49-F238E27FC236}">
              <a16:creationId xmlns:a16="http://schemas.microsoft.com/office/drawing/2014/main" id="{00000000-0008-0000-0700-000066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7" name="Text Box 75">
          <a:extLst>
            <a:ext uri="{FF2B5EF4-FFF2-40B4-BE49-F238E27FC236}">
              <a16:creationId xmlns:a16="http://schemas.microsoft.com/office/drawing/2014/main" id="{00000000-0008-0000-0700-000067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8" name="Text Box 75">
          <a:extLst>
            <a:ext uri="{FF2B5EF4-FFF2-40B4-BE49-F238E27FC236}">
              <a16:creationId xmlns:a16="http://schemas.microsoft.com/office/drawing/2014/main" id="{00000000-0008-0000-0700-000068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29" name="Text Box 75">
          <a:extLst>
            <a:ext uri="{FF2B5EF4-FFF2-40B4-BE49-F238E27FC236}">
              <a16:creationId xmlns:a16="http://schemas.microsoft.com/office/drawing/2014/main" id="{00000000-0008-0000-0700-000069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30" name="Text Box 75">
          <a:extLst>
            <a:ext uri="{FF2B5EF4-FFF2-40B4-BE49-F238E27FC236}">
              <a16:creationId xmlns:a16="http://schemas.microsoft.com/office/drawing/2014/main" id="{00000000-0008-0000-0700-00006A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31" name="Text Box 75">
          <a:extLst>
            <a:ext uri="{FF2B5EF4-FFF2-40B4-BE49-F238E27FC236}">
              <a16:creationId xmlns:a16="http://schemas.microsoft.com/office/drawing/2014/main" id="{00000000-0008-0000-0700-00006B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32" name="Text Box 75">
          <a:extLst>
            <a:ext uri="{FF2B5EF4-FFF2-40B4-BE49-F238E27FC236}">
              <a16:creationId xmlns:a16="http://schemas.microsoft.com/office/drawing/2014/main" id="{00000000-0008-0000-0700-00006C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33" name="Text Box 75">
          <a:extLst>
            <a:ext uri="{FF2B5EF4-FFF2-40B4-BE49-F238E27FC236}">
              <a16:creationId xmlns:a16="http://schemas.microsoft.com/office/drawing/2014/main" id="{00000000-0008-0000-0700-00006D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34" name="Text Box 75">
          <a:extLst>
            <a:ext uri="{FF2B5EF4-FFF2-40B4-BE49-F238E27FC236}">
              <a16:creationId xmlns:a16="http://schemas.microsoft.com/office/drawing/2014/main" id="{00000000-0008-0000-0700-00006E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35" name="Text Box 75">
          <a:extLst>
            <a:ext uri="{FF2B5EF4-FFF2-40B4-BE49-F238E27FC236}">
              <a16:creationId xmlns:a16="http://schemas.microsoft.com/office/drawing/2014/main" id="{00000000-0008-0000-0700-00006F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36" name="Text Box 75">
          <a:extLst>
            <a:ext uri="{FF2B5EF4-FFF2-40B4-BE49-F238E27FC236}">
              <a16:creationId xmlns:a16="http://schemas.microsoft.com/office/drawing/2014/main" id="{00000000-0008-0000-0700-000070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37" name="Text Box 75">
          <a:extLst>
            <a:ext uri="{FF2B5EF4-FFF2-40B4-BE49-F238E27FC236}">
              <a16:creationId xmlns:a16="http://schemas.microsoft.com/office/drawing/2014/main" id="{00000000-0008-0000-0700-000071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38" name="Text Box 75">
          <a:extLst>
            <a:ext uri="{FF2B5EF4-FFF2-40B4-BE49-F238E27FC236}">
              <a16:creationId xmlns:a16="http://schemas.microsoft.com/office/drawing/2014/main" id="{00000000-0008-0000-0700-000072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39" name="Text Box 75">
          <a:extLst>
            <a:ext uri="{FF2B5EF4-FFF2-40B4-BE49-F238E27FC236}">
              <a16:creationId xmlns:a16="http://schemas.microsoft.com/office/drawing/2014/main" id="{00000000-0008-0000-0700-000073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40" name="Text Box 75">
          <a:extLst>
            <a:ext uri="{FF2B5EF4-FFF2-40B4-BE49-F238E27FC236}">
              <a16:creationId xmlns:a16="http://schemas.microsoft.com/office/drawing/2014/main" id="{00000000-0008-0000-0700-000074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41" name="Text Box 75">
          <a:extLst>
            <a:ext uri="{FF2B5EF4-FFF2-40B4-BE49-F238E27FC236}">
              <a16:creationId xmlns:a16="http://schemas.microsoft.com/office/drawing/2014/main" id="{00000000-0008-0000-0700-000075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42" name="Text Box 75">
          <a:extLst>
            <a:ext uri="{FF2B5EF4-FFF2-40B4-BE49-F238E27FC236}">
              <a16:creationId xmlns:a16="http://schemas.microsoft.com/office/drawing/2014/main" id="{00000000-0008-0000-0700-000076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43" name="Text Box 75">
          <a:extLst>
            <a:ext uri="{FF2B5EF4-FFF2-40B4-BE49-F238E27FC236}">
              <a16:creationId xmlns:a16="http://schemas.microsoft.com/office/drawing/2014/main" id="{00000000-0008-0000-0700-000077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44" name="Text Box 75">
          <a:extLst>
            <a:ext uri="{FF2B5EF4-FFF2-40B4-BE49-F238E27FC236}">
              <a16:creationId xmlns:a16="http://schemas.microsoft.com/office/drawing/2014/main" id="{00000000-0008-0000-0700-000078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45" name="Text Box 75">
          <a:extLst>
            <a:ext uri="{FF2B5EF4-FFF2-40B4-BE49-F238E27FC236}">
              <a16:creationId xmlns:a16="http://schemas.microsoft.com/office/drawing/2014/main" id="{00000000-0008-0000-0700-000079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46" name="Text Box 75">
          <a:extLst>
            <a:ext uri="{FF2B5EF4-FFF2-40B4-BE49-F238E27FC236}">
              <a16:creationId xmlns:a16="http://schemas.microsoft.com/office/drawing/2014/main" id="{00000000-0008-0000-0700-00007A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47" name="Text Box 75">
          <a:extLst>
            <a:ext uri="{FF2B5EF4-FFF2-40B4-BE49-F238E27FC236}">
              <a16:creationId xmlns:a16="http://schemas.microsoft.com/office/drawing/2014/main" id="{00000000-0008-0000-0700-00007B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48" name="Text Box 75">
          <a:extLst>
            <a:ext uri="{FF2B5EF4-FFF2-40B4-BE49-F238E27FC236}">
              <a16:creationId xmlns:a16="http://schemas.microsoft.com/office/drawing/2014/main" id="{00000000-0008-0000-0700-00007C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49" name="Text Box 75">
          <a:extLst>
            <a:ext uri="{FF2B5EF4-FFF2-40B4-BE49-F238E27FC236}">
              <a16:creationId xmlns:a16="http://schemas.microsoft.com/office/drawing/2014/main" id="{00000000-0008-0000-0700-00007D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50" name="Text Box 75">
          <a:extLst>
            <a:ext uri="{FF2B5EF4-FFF2-40B4-BE49-F238E27FC236}">
              <a16:creationId xmlns:a16="http://schemas.microsoft.com/office/drawing/2014/main" id="{00000000-0008-0000-0700-00007E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51" name="Text Box 75">
          <a:extLst>
            <a:ext uri="{FF2B5EF4-FFF2-40B4-BE49-F238E27FC236}">
              <a16:creationId xmlns:a16="http://schemas.microsoft.com/office/drawing/2014/main" id="{00000000-0008-0000-0700-00007F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52" name="Text Box 75">
          <a:extLst>
            <a:ext uri="{FF2B5EF4-FFF2-40B4-BE49-F238E27FC236}">
              <a16:creationId xmlns:a16="http://schemas.microsoft.com/office/drawing/2014/main" id="{00000000-0008-0000-0700-000080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53" name="Text Box 75">
          <a:extLst>
            <a:ext uri="{FF2B5EF4-FFF2-40B4-BE49-F238E27FC236}">
              <a16:creationId xmlns:a16="http://schemas.microsoft.com/office/drawing/2014/main" id="{00000000-0008-0000-0700-000081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154" name="Text Box 75">
          <a:extLst>
            <a:ext uri="{FF2B5EF4-FFF2-40B4-BE49-F238E27FC236}">
              <a16:creationId xmlns:a16="http://schemas.microsoft.com/office/drawing/2014/main" id="{00000000-0008-0000-0700-00008204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55" name="Text Box 75">
          <a:extLst>
            <a:ext uri="{FF2B5EF4-FFF2-40B4-BE49-F238E27FC236}">
              <a16:creationId xmlns:a16="http://schemas.microsoft.com/office/drawing/2014/main" id="{00000000-0008-0000-0700-000083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56" name="Text Box 75">
          <a:extLst>
            <a:ext uri="{FF2B5EF4-FFF2-40B4-BE49-F238E27FC236}">
              <a16:creationId xmlns:a16="http://schemas.microsoft.com/office/drawing/2014/main" id="{00000000-0008-0000-0700-000084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57" name="Text Box 75">
          <a:extLst>
            <a:ext uri="{FF2B5EF4-FFF2-40B4-BE49-F238E27FC236}">
              <a16:creationId xmlns:a16="http://schemas.microsoft.com/office/drawing/2014/main" id="{00000000-0008-0000-0700-000085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58" name="Text Box 75">
          <a:extLst>
            <a:ext uri="{FF2B5EF4-FFF2-40B4-BE49-F238E27FC236}">
              <a16:creationId xmlns:a16="http://schemas.microsoft.com/office/drawing/2014/main" id="{00000000-0008-0000-0700-000086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59" name="Text Box 75">
          <a:extLst>
            <a:ext uri="{FF2B5EF4-FFF2-40B4-BE49-F238E27FC236}">
              <a16:creationId xmlns:a16="http://schemas.microsoft.com/office/drawing/2014/main" id="{00000000-0008-0000-0700-000087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0" name="Text Box 75">
          <a:extLst>
            <a:ext uri="{FF2B5EF4-FFF2-40B4-BE49-F238E27FC236}">
              <a16:creationId xmlns:a16="http://schemas.microsoft.com/office/drawing/2014/main" id="{00000000-0008-0000-0700-000088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1" name="Text Box 75">
          <a:extLst>
            <a:ext uri="{FF2B5EF4-FFF2-40B4-BE49-F238E27FC236}">
              <a16:creationId xmlns:a16="http://schemas.microsoft.com/office/drawing/2014/main" id="{00000000-0008-0000-0700-000089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2" name="Text Box 75">
          <a:extLst>
            <a:ext uri="{FF2B5EF4-FFF2-40B4-BE49-F238E27FC236}">
              <a16:creationId xmlns:a16="http://schemas.microsoft.com/office/drawing/2014/main" id="{00000000-0008-0000-0700-00008A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3" name="Text Box 75">
          <a:extLst>
            <a:ext uri="{FF2B5EF4-FFF2-40B4-BE49-F238E27FC236}">
              <a16:creationId xmlns:a16="http://schemas.microsoft.com/office/drawing/2014/main" id="{00000000-0008-0000-0700-00008B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4" name="Text Box 75">
          <a:extLst>
            <a:ext uri="{FF2B5EF4-FFF2-40B4-BE49-F238E27FC236}">
              <a16:creationId xmlns:a16="http://schemas.microsoft.com/office/drawing/2014/main" id="{00000000-0008-0000-0700-00008C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5" name="Text Box 75">
          <a:extLst>
            <a:ext uri="{FF2B5EF4-FFF2-40B4-BE49-F238E27FC236}">
              <a16:creationId xmlns:a16="http://schemas.microsoft.com/office/drawing/2014/main" id="{00000000-0008-0000-0700-00008D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6" name="Text Box 75">
          <a:extLst>
            <a:ext uri="{FF2B5EF4-FFF2-40B4-BE49-F238E27FC236}">
              <a16:creationId xmlns:a16="http://schemas.microsoft.com/office/drawing/2014/main" id="{00000000-0008-0000-0700-00008E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7" name="Text Box 75">
          <a:extLst>
            <a:ext uri="{FF2B5EF4-FFF2-40B4-BE49-F238E27FC236}">
              <a16:creationId xmlns:a16="http://schemas.microsoft.com/office/drawing/2014/main" id="{00000000-0008-0000-0700-00008F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8" name="Text Box 75">
          <a:extLst>
            <a:ext uri="{FF2B5EF4-FFF2-40B4-BE49-F238E27FC236}">
              <a16:creationId xmlns:a16="http://schemas.microsoft.com/office/drawing/2014/main" id="{00000000-0008-0000-0700-000090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69" name="Text Box 75">
          <a:extLst>
            <a:ext uri="{FF2B5EF4-FFF2-40B4-BE49-F238E27FC236}">
              <a16:creationId xmlns:a16="http://schemas.microsoft.com/office/drawing/2014/main" id="{00000000-0008-0000-0700-000091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0" name="Text Box 75">
          <a:extLst>
            <a:ext uri="{FF2B5EF4-FFF2-40B4-BE49-F238E27FC236}">
              <a16:creationId xmlns:a16="http://schemas.microsoft.com/office/drawing/2014/main" id="{00000000-0008-0000-0700-000092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1" name="Text Box 75">
          <a:extLst>
            <a:ext uri="{FF2B5EF4-FFF2-40B4-BE49-F238E27FC236}">
              <a16:creationId xmlns:a16="http://schemas.microsoft.com/office/drawing/2014/main" id="{00000000-0008-0000-0700-000093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2" name="Text Box 75">
          <a:extLst>
            <a:ext uri="{FF2B5EF4-FFF2-40B4-BE49-F238E27FC236}">
              <a16:creationId xmlns:a16="http://schemas.microsoft.com/office/drawing/2014/main" id="{00000000-0008-0000-0700-000094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3" name="Text Box 75">
          <a:extLst>
            <a:ext uri="{FF2B5EF4-FFF2-40B4-BE49-F238E27FC236}">
              <a16:creationId xmlns:a16="http://schemas.microsoft.com/office/drawing/2014/main" id="{00000000-0008-0000-0700-000095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4" name="Text Box 75">
          <a:extLst>
            <a:ext uri="{FF2B5EF4-FFF2-40B4-BE49-F238E27FC236}">
              <a16:creationId xmlns:a16="http://schemas.microsoft.com/office/drawing/2014/main" id="{00000000-0008-0000-0700-000096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5" name="Text Box 75">
          <a:extLst>
            <a:ext uri="{FF2B5EF4-FFF2-40B4-BE49-F238E27FC236}">
              <a16:creationId xmlns:a16="http://schemas.microsoft.com/office/drawing/2014/main" id="{00000000-0008-0000-0700-000097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6" name="Text Box 75">
          <a:extLst>
            <a:ext uri="{FF2B5EF4-FFF2-40B4-BE49-F238E27FC236}">
              <a16:creationId xmlns:a16="http://schemas.microsoft.com/office/drawing/2014/main" id="{00000000-0008-0000-0700-000098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7" name="Text Box 75">
          <a:extLst>
            <a:ext uri="{FF2B5EF4-FFF2-40B4-BE49-F238E27FC236}">
              <a16:creationId xmlns:a16="http://schemas.microsoft.com/office/drawing/2014/main" id="{00000000-0008-0000-0700-000099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8" name="Text Box 75">
          <a:extLst>
            <a:ext uri="{FF2B5EF4-FFF2-40B4-BE49-F238E27FC236}">
              <a16:creationId xmlns:a16="http://schemas.microsoft.com/office/drawing/2014/main" id="{00000000-0008-0000-0700-00009A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79" name="Text Box 75">
          <a:extLst>
            <a:ext uri="{FF2B5EF4-FFF2-40B4-BE49-F238E27FC236}">
              <a16:creationId xmlns:a16="http://schemas.microsoft.com/office/drawing/2014/main" id="{00000000-0008-0000-0700-00009B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80" name="Text Box 75">
          <a:extLst>
            <a:ext uri="{FF2B5EF4-FFF2-40B4-BE49-F238E27FC236}">
              <a16:creationId xmlns:a16="http://schemas.microsoft.com/office/drawing/2014/main" id="{00000000-0008-0000-0700-00009C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81" name="Text Box 75">
          <a:extLst>
            <a:ext uri="{FF2B5EF4-FFF2-40B4-BE49-F238E27FC236}">
              <a16:creationId xmlns:a16="http://schemas.microsoft.com/office/drawing/2014/main" id="{00000000-0008-0000-0700-00009D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82" name="Text Box 75">
          <a:extLst>
            <a:ext uri="{FF2B5EF4-FFF2-40B4-BE49-F238E27FC236}">
              <a16:creationId xmlns:a16="http://schemas.microsoft.com/office/drawing/2014/main" id="{00000000-0008-0000-0700-00009E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83" name="Text Box 75">
          <a:extLst>
            <a:ext uri="{FF2B5EF4-FFF2-40B4-BE49-F238E27FC236}">
              <a16:creationId xmlns:a16="http://schemas.microsoft.com/office/drawing/2014/main" id="{00000000-0008-0000-0700-00009F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84" name="Text Box 75">
          <a:extLst>
            <a:ext uri="{FF2B5EF4-FFF2-40B4-BE49-F238E27FC236}">
              <a16:creationId xmlns:a16="http://schemas.microsoft.com/office/drawing/2014/main" id="{00000000-0008-0000-0700-0000A0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185" name="Text Box 75">
          <a:extLst>
            <a:ext uri="{FF2B5EF4-FFF2-40B4-BE49-F238E27FC236}">
              <a16:creationId xmlns:a16="http://schemas.microsoft.com/office/drawing/2014/main" id="{00000000-0008-0000-0700-0000A1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186" name="Text Box 75">
          <a:extLst>
            <a:ext uri="{FF2B5EF4-FFF2-40B4-BE49-F238E27FC236}">
              <a16:creationId xmlns:a16="http://schemas.microsoft.com/office/drawing/2014/main" id="{00000000-0008-0000-0700-0000A2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87" name="Text Box 75">
          <a:extLst>
            <a:ext uri="{FF2B5EF4-FFF2-40B4-BE49-F238E27FC236}">
              <a16:creationId xmlns:a16="http://schemas.microsoft.com/office/drawing/2014/main" id="{00000000-0008-0000-0700-0000A3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88" name="Text Box 75">
          <a:extLst>
            <a:ext uri="{FF2B5EF4-FFF2-40B4-BE49-F238E27FC236}">
              <a16:creationId xmlns:a16="http://schemas.microsoft.com/office/drawing/2014/main" id="{00000000-0008-0000-0700-0000A4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89" name="Text Box 75">
          <a:extLst>
            <a:ext uri="{FF2B5EF4-FFF2-40B4-BE49-F238E27FC236}">
              <a16:creationId xmlns:a16="http://schemas.microsoft.com/office/drawing/2014/main" id="{00000000-0008-0000-0700-0000A5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90" name="Text Box 75">
          <a:extLst>
            <a:ext uri="{FF2B5EF4-FFF2-40B4-BE49-F238E27FC236}">
              <a16:creationId xmlns:a16="http://schemas.microsoft.com/office/drawing/2014/main" id="{00000000-0008-0000-0700-0000A6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191" name="Text Box 75">
          <a:extLst>
            <a:ext uri="{FF2B5EF4-FFF2-40B4-BE49-F238E27FC236}">
              <a16:creationId xmlns:a16="http://schemas.microsoft.com/office/drawing/2014/main" id="{00000000-0008-0000-0700-0000A7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192" name="Text Box 75">
          <a:extLst>
            <a:ext uri="{FF2B5EF4-FFF2-40B4-BE49-F238E27FC236}">
              <a16:creationId xmlns:a16="http://schemas.microsoft.com/office/drawing/2014/main" id="{00000000-0008-0000-0700-0000A8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193" name="Text Box 75">
          <a:extLst>
            <a:ext uri="{FF2B5EF4-FFF2-40B4-BE49-F238E27FC236}">
              <a16:creationId xmlns:a16="http://schemas.microsoft.com/office/drawing/2014/main" id="{00000000-0008-0000-0700-0000A9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194" name="Text Box 75">
          <a:extLst>
            <a:ext uri="{FF2B5EF4-FFF2-40B4-BE49-F238E27FC236}">
              <a16:creationId xmlns:a16="http://schemas.microsoft.com/office/drawing/2014/main" id="{00000000-0008-0000-0700-0000AA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195" name="Text Box 75">
          <a:extLst>
            <a:ext uri="{FF2B5EF4-FFF2-40B4-BE49-F238E27FC236}">
              <a16:creationId xmlns:a16="http://schemas.microsoft.com/office/drawing/2014/main" id="{00000000-0008-0000-0700-0000AB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196" name="Text Box 75">
          <a:extLst>
            <a:ext uri="{FF2B5EF4-FFF2-40B4-BE49-F238E27FC236}">
              <a16:creationId xmlns:a16="http://schemas.microsoft.com/office/drawing/2014/main" id="{00000000-0008-0000-0700-0000AC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97" name="Text Box 75">
          <a:extLst>
            <a:ext uri="{FF2B5EF4-FFF2-40B4-BE49-F238E27FC236}">
              <a16:creationId xmlns:a16="http://schemas.microsoft.com/office/drawing/2014/main" id="{00000000-0008-0000-0700-0000AD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98" name="Text Box 75">
          <a:extLst>
            <a:ext uri="{FF2B5EF4-FFF2-40B4-BE49-F238E27FC236}">
              <a16:creationId xmlns:a16="http://schemas.microsoft.com/office/drawing/2014/main" id="{00000000-0008-0000-0700-0000AE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199" name="Text Box 75">
          <a:extLst>
            <a:ext uri="{FF2B5EF4-FFF2-40B4-BE49-F238E27FC236}">
              <a16:creationId xmlns:a16="http://schemas.microsoft.com/office/drawing/2014/main" id="{00000000-0008-0000-0700-0000AF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200" name="Text Box 75">
          <a:extLst>
            <a:ext uri="{FF2B5EF4-FFF2-40B4-BE49-F238E27FC236}">
              <a16:creationId xmlns:a16="http://schemas.microsoft.com/office/drawing/2014/main" id="{00000000-0008-0000-0700-0000B0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201" name="Text Box 75">
          <a:extLst>
            <a:ext uri="{FF2B5EF4-FFF2-40B4-BE49-F238E27FC236}">
              <a16:creationId xmlns:a16="http://schemas.microsoft.com/office/drawing/2014/main" id="{00000000-0008-0000-0700-0000B1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202" name="Text Box 75">
          <a:extLst>
            <a:ext uri="{FF2B5EF4-FFF2-40B4-BE49-F238E27FC236}">
              <a16:creationId xmlns:a16="http://schemas.microsoft.com/office/drawing/2014/main" id="{00000000-0008-0000-0700-0000B2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03" name="Text Box 75">
          <a:extLst>
            <a:ext uri="{FF2B5EF4-FFF2-40B4-BE49-F238E27FC236}">
              <a16:creationId xmlns:a16="http://schemas.microsoft.com/office/drawing/2014/main" id="{00000000-0008-0000-0700-0000B3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04" name="Text Box 75">
          <a:extLst>
            <a:ext uri="{FF2B5EF4-FFF2-40B4-BE49-F238E27FC236}">
              <a16:creationId xmlns:a16="http://schemas.microsoft.com/office/drawing/2014/main" id="{00000000-0008-0000-0700-0000B4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205" name="Text Box 75">
          <a:extLst>
            <a:ext uri="{FF2B5EF4-FFF2-40B4-BE49-F238E27FC236}">
              <a16:creationId xmlns:a16="http://schemas.microsoft.com/office/drawing/2014/main" id="{00000000-0008-0000-0700-0000B5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206" name="Text Box 75">
          <a:extLst>
            <a:ext uri="{FF2B5EF4-FFF2-40B4-BE49-F238E27FC236}">
              <a16:creationId xmlns:a16="http://schemas.microsoft.com/office/drawing/2014/main" id="{00000000-0008-0000-0700-0000B6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207" name="Text Box 75">
          <a:extLst>
            <a:ext uri="{FF2B5EF4-FFF2-40B4-BE49-F238E27FC236}">
              <a16:creationId xmlns:a16="http://schemas.microsoft.com/office/drawing/2014/main" id="{00000000-0008-0000-0700-0000B7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208" name="Text Box 75">
          <a:extLst>
            <a:ext uri="{FF2B5EF4-FFF2-40B4-BE49-F238E27FC236}">
              <a16:creationId xmlns:a16="http://schemas.microsoft.com/office/drawing/2014/main" id="{00000000-0008-0000-0700-0000B8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09" name="Text Box 75">
          <a:extLst>
            <a:ext uri="{FF2B5EF4-FFF2-40B4-BE49-F238E27FC236}">
              <a16:creationId xmlns:a16="http://schemas.microsoft.com/office/drawing/2014/main" id="{00000000-0008-0000-0700-0000B9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0" name="Text Box 75">
          <a:extLst>
            <a:ext uri="{FF2B5EF4-FFF2-40B4-BE49-F238E27FC236}">
              <a16:creationId xmlns:a16="http://schemas.microsoft.com/office/drawing/2014/main" id="{00000000-0008-0000-0700-0000BA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1" name="Text Box 75">
          <a:extLst>
            <a:ext uri="{FF2B5EF4-FFF2-40B4-BE49-F238E27FC236}">
              <a16:creationId xmlns:a16="http://schemas.microsoft.com/office/drawing/2014/main" id="{00000000-0008-0000-0700-0000BB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2" name="Text Box 75">
          <a:extLst>
            <a:ext uri="{FF2B5EF4-FFF2-40B4-BE49-F238E27FC236}">
              <a16:creationId xmlns:a16="http://schemas.microsoft.com/office/drawing/2014/main" id="{00000000-0008-0000-0700-0000BC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3" name="Text Box 75">
          <a:extLst>
            <a:ext uri="{FF2B5EF4-FFF2-40B4-BE49-F238E27FC236}">
              <a16:creationId xmlns:a16="http://schemas.microsoft.com/office/drawing/2014/main" id="{00000000-0008-0000-0700-0000BD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4" name="Text Box 75">
          <a:extLst>
            <a:ext uri="{FF2B5EF4-FFF2-40B4-BE49-F238E27FC236}">
              <a16:creationId xmlns:a16="http://schemas.microsoft.com/office/drawing/2014/main" id="{00000000-0008-0000-0700-0000BE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5" name="Text Box 75">
          <a:extLst>
            <a:ext uri="{FF2B5EF4-FFF2-40B4-BE49-F238E27FC236}">
              <a16:creationId xmlns:a16="http://schemas.microsoft.com/office/drawing/2014/main" id="{00000000-0008-0000-0700-0000BF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6" name="Text Box 75">
          <a:extLst>
            <a:ext uri="{FF2B5EF4-FFF2-40B4-BE49-F238E27FC236}">
              <a16:creationId xmlns:a16="http://schemas.microsoft.com/office/drawing/2014/main" id="{00000000-0008-0000-0700-0000C0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7" name="Text Box 75">
          <a:extLst>
            <a:ext uri="{FF2B5EF4-FFF2-40B4-BE49-F238E27FC236}">
              <a16:creationId xmlns:a16="http://schemas.microsoft.com/office/drawing/2014/main" id="{00000000-0008-0000-0700-0000C1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8" name="Text Box 75">
          <a:extLst>
            <a:ext uri="{FF2B5EF4-FFF2-40B4-BE49-F238E27FC236}">
              <a16:creationId xmlns:a16="http://schemas.microsoft.com/office/drawing/2014/main" id="{00000000-0008-0000-0700-0000C2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19" name="Text Box 75">
          <a:extLst>
            <a:ext uri="{FF2B5EF4-FFF2-40B4-BE49-F238E27FC236}">
              <a16:creationId xmlns:a16="http://schemas.microsoft.com/office/drawing/2014/main" id="{00000000-0008-0000-0700-0000C3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0" name="Text Box 75">
          <a:extLst>
            <a:ext uri="{FF2B5EF4-FFF2-40B4-BE49-F238E27FC236}">
              <a16:creationId xmlns:a16="http://schemas.microsoft.com/office/drawing/2014/main" id="{00000000-0008-0000-0700-0000C4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1" name="Text Box 75">
          <a:extLst>
            <a:ext uri="{FF2B5EF4-FFF2-40B4-BE49-F238E27FC236}">
              <a16:creationId xmlns:a16="http://schemas.microsoft.com/office/drawing/2014/main" id="{00000000-0008-0000-0700-0000C5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2" name="Text Box 75">
          <a:extLst>
            <a:ext uri="{FF2B5EF4-FFF2-40B4-BE49-F238E27FC236}">
              <a16:creationId xmlns:a16="http://schemas.microsoft.com/office/drawing/2014/main" id="{00000000-0008-0000-0700-0000C6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3" name="Text Box 75">
          <a:extLst>
            <a:ext uri="{FF2B5EF4-FFF2-40B4-BE49-F238E27FC236}">
              <a16:creationId xmlns:a16="http://schemas.microsoft.com/office/drawing/2014/main" id="{00000000-0008-0000-0700-0000C7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4" name="Text Box 75">
          <a:extLst>
            <a:ext uri="{FF2B5EF4-FFF2-40B4-BE49-F238E27FC236}">
              <a16:creationId xmlns:a16="http://schemas.microsoft.com/office/drawing/2014/main" id="{00000000-0008-0000-0700-0000C8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5" name="Text Box 75">
          <a:extLst>
            <a:ext uri="{FF2B5EF4-FFF2-40B4-BE49-F238E27FC236}">
              <a16:creationId xmlns:a16="http://schemas.microsoft.com/office/drawing/2014/main" id="{00000000-0008-0000-0700-0000C9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6" name="Text Box 75">
          <a:extLst>
            <a:ext uri="{FF2B5EF4-FFF2-40B4-BE49-F238E27FC236}">
              <a16:creationId xmlns:a16="http://schemas.microsoft.com/office/drawing/2014/main" id="{00000000-0008-0000-0700-0000CA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7" name="Text Box 75">
          <a:extLst>
            <a:ext uri="{FF2B5EF4-FFF2-40B4-BE49-F238E27FC236}">
              <a16:creationId xmlns:a16="http://schemas.microsoft.com/office/drawing/2014/main" id="{00000000-0008-0000-0700-0000CB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8" name="Text Box 75">
          <a:extLst>
            <a:ext uri="{FF2B5EF4-FFF2-40B4-BE49-F238E27FC236}">
              <a16:creationId xmlns:a16="http://schemas.microsoft.com/office/drawing/2014/main" id="{00000000-0008-0000-0700-0000CC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29" name="Text Box 75">
          <a:extLst>
            <a:ext uri="{FF2B5EF4-FFF2-40B4-BE49-F238E27FC236}">
              <a16:creationId xmlns:a16="http://schemas.microsoft.com/office/drawing/2014/main" id="{00000000-0008-0000-0700-0000CD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0" name="Text Box 75">
          <a:extLst>
            <a:ext uri="{FF2B5EF4-FFF2-40B4-BE49-F238E27FC236}">
              <a16:creationId xmlns:a16="http://schemas.microsoft.com/office/drawing/2014/main" id="{00000000-0008-0000-0700-0000CE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1" name="Text Box 75">
          <a:extLst>
            <a:ext uri="{FF2B5EF4-FFF2-40B4-BE49-F238E27FC236}">
              <a16:creationId xmlns:a16="http://schemas.microsoft.com/office/drawing/2014/main" id="{00000000-0008-0000-0700-0000CF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2" name="Text Box 75">
          <a:extLst>
            <a:ext uri="{FF2B5EF4-FFF2-40B4-BE49-F238E27FC236}">
              <a16:creationId xmlns:a16="http://schemas.microsoft.com/office/drawing/2014/main" id="{00000000-0008-0000-0700-0000D0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3" name="Text Box 75">
          <a:extLst>
            <a:ext uri="{FF2B5EF4-FFF2-40B4-BE49-F238E27FC236}">
              <a16:creationId xmlns:a16="http://schemas.microsoft.com/office/drawing/2014/main" id="{00000000-0008-0000-0700-0000D1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4" name="Text Box 75">
          <a:extLst>
            <a:ext uri="{FF2B5EF4-FFF2-40B4-BE49-F238E27FC236}">
              <a16:creationId xmlns:a16="http://schemas.microsoft.com/office/drawing/2014/main" id="{00000000-0008-0000-0700-0000D2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5" name="Text Box 75">
          <a:extLst>
            <a:ext uri="{FF2B5EF4-FFF2-40B4-BE49-F238E27FC236}">
              <a16:creationId xmlns:a16="http://schemas.microsoft.com/office/drawing/2014/main" id="{00000000-0008-0000-0700-0000D3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6" name="Text Box 75">
          <a:extLst>
            <a:ext uri="{FF2B5EF4-FFF2-40B4-BE49-F238E27FC236}">
              <a16:creationId xmlns:a16="http://schemas.microsoft.com/office/drawing/2014/main" id="{00000000-0008-0000-0700-0000D4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7" name="Text Box 75">
          <a:extLst>
            <a:ext uri="{FF2B5EF4-FFF2-40B4-BE49-F238E27FC236}">
              <a16:creationId xmlns:a16="http://schemas.microsoft.com/office/drawing/2014/main" id="{00000000-0008-0000-0700-0000D5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8" name="Text Box 75">
          <a:extLst>
            <a:ext uri="{FF2B5EF4-FFF2-40B4-BE49-F238E27FC236}">
              <a16:creationId xmlns:a16="http://schemas.microsoft.com/office/drawing/2014/main" id="{00000000-0008-0000-0700-0000D6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39" name="Text Box 75">
          <a:extLst>
            <a:ext uri="{FF2B5EF4-FFF2-40B4-BE49-F238E27FC236}">
              <a16:creationId xmlns:a16="http://schemas.microsoft.com/office/drawing/2014/main" id="{00000000-0008-0000-0700-0000D7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0" name="Text Box 75">
          <a:extLst>
            <a:ext uri="{FF2B5EF4-FFF2-40B4-BE49-F238E27FC236}">
              <a16:creationId xmlns:a16="http://schemas.microsoft.com/office/drawing/2014/main" id="{00000000-0008-0000-0700-0000D8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1" name="Text Box 75">
          <a:extLst>
            <a:ext uri="{FF2B5EF4-FFF2-40B4-BE49-F238E27FC236}">
              <a16:creationId xmlns:a16="http://schemas.microsoft.com/office/drawing/2014/main" id="{00000000-0008-0000-0700-0000D9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2" name="Text Box 75">
          <a:extLst>
            <a:ext uri="{FF2B5EF4-FFF2-40B4-BE49-F238E27FC236}">
              <a16:creationId xmlns:a16="http://schemas.microsoft.com/office/drawing/2014/main" id="{00000000-0008-0000-0700-0000DA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3" name="Text Box 75">
          <a:extLst>
            <a:ext uri="{FF2B5EF4-FFF2-40B4-BE49-F238E27FC236}">
              <a16:creationId xmlns:a16="http://schemas.microsoft.com/office/drawing/2014/main" id="{00000000-0008-0000-0700-0000DB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4" name="Text Box 75">
          <a:extLst>
            <a:ext uri="{FF2B5EF4-FFF2-40B4-BE49-F238E27FC236}">
              <a16:creationId xmlns:a16="http://schemas.microsoft.com/office/drawing/2014/main" id="{00000000-0008-0000-0700-0000DC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5" name="Text Box 75">
          <a:extLst>
            <a:ext uri="{FF2B5EF4-FFF2-40B4-BE49-F238E27FC236}">
              <a16:creationId xmlns:a16="http://schemas.microsoft.com/office/drawing/2014/main" id="{00000000-0008-0000-0700-0000DD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6" name="Text Box 75">
          <a:extLst>
            <a:ext uri="{FF2B5EF4-FFF2-40B4-BE49-F238E27FC236}">
              <a16:creationId xmlns:a16="http://schemas.microsoft.com/office/drawing/2014/main" id="{00000000-0008-0000-0700-0000DE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7" name="Text Box 75">
          <a:extLst>
            <a:ext uri="{FF2B5EF4-FFF2-40B4-BE49-F238E27FC236}">
              <a16:creationId xmlns:a16="http://schemas.microsoft.com/office/drawing/2014/main" id="{00000000-0008-0000-0700-0000DF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8" name="Text Box 75">
          <a:extLst>
            <a:ext uri="{FF2B5EF4-FFF2-40B4-BE49-F238E27FC236}">
              <a16:creationId xmlns:a16="http://schemas.microsoft.com/office/drawing/2014/main" id="{00000000-0008-0000-0700-0000E0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49" name="Text Box 75">
          <a:extLst>
            <a:ext uri="{FF2B5EF4-FFF2-40B4-BE49-F238E27FC236}">
              <a16:creationId xmlns:a16="http://schemas.microsoft.com/office/drawing/2014/main" id="{00000000-0008-0000-0700-0000E1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0" name="Text Box 75">
          <a:extLst>
            <a:ext uri="{FF2B5EF4-FFF2-40B4-BE49-F238E27FC236}">
              <a16:creationId xmlns:a16="http://schemas.microsoft.com/office/drawing/2014/main" id="{00000000-0008-0000-0700-0000E2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1" name="Text Box 75">
          <a:extLst>
            <a:ext uri="{FF2B5EF4-FFF2-40B4-BE49-F238E27FC236}">
              <a16:creationId xmlns:a16="http://schemas.microsoft.com/office/drawing/2014/main" id="{00000000-0008-0000-0700-0000E3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2" name="Text Box 75">
          <a:extLst>
            <a:ext uri="{FF2B5EF4-FFF2-40B4-BE49-F238E27FC236}">
              <a16:creationId xmlns:a16="http://schemas.microsoft.com/office/drawing/2014/main" id="{00000000-0008-0000-0700-0000E4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3" name="Text Box 75">
          <a:extLst>
            <a:ext uri="{FF2B5EF4-FFF2-40B4-BE49-F238E27FC236}">
              <a16:creationId xmlns:a16="http://schemas.microsoft.com/office/drawing/2014/main" id="{00000000-0008-0000-0700-0000E5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4" name="Text Box 75">
          <a:extLst>
            <a:ext uri="{FF2B5EF4-FFF2-40B4-BE49-F238E27FC236}">
              <a16:creationId xmlns:a16="http://schemas.microsoft.com/office/drawing/2014/main" id="{00000000-0008-0000-0700-0000E6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5" name="Text Box 75">
          <a:extLst>
            <a:ext uri="{FF2B5EF4-FFF2-40B4-BE49-F238E27FC236}">
              <a16:creationId xmlns:a16="http://schemas.microsoft.com/office/drawing/2014/main" id="{00000000-0008-0000-0700-0000E7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6" name="Text Box 75">
          <a:extLst>
            <a:ext uri="{FF2B5EF4-FFF2-40B4-BE49-F238E27FC236}">
              <a16:creationId xmlns:a16="http://schemas.microsoft.com/office/drawing/2014/main" id="{00000000-0008-0000-0700-0000E8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7" name="Text Box 75">
          <a:extLst>
            <a:ext uri="{FF2B5EF4-FFF2-40B4-BE49-F238E27FC236}">
              <a16:creationId xmlns:a16="http://schemas.microsoft.com/office/drawing/2014/main" id="{00000000-0008-0000-0700-0000E9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8" name="Text Box 75">
          <a:extLst>
            <a:ext uri="{FF2B5EF4-FFF2-40B4-BE49-F238E27FC236}">
              <a16:creationId xmlns:a16="http://schemas.microsoft.com/office/drawing/2014/main" id="{00000000-0008-0000-0700-0000EA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59" name="Text Box 75">
          <a:extLst>
            <a:ext uri="{FF2B5EF4-FFF2-40B4-BE49-F238E27FC236}">
              <a16:creationId xmlns:a16="http://schemas.microsoft.com/office/drawing/2014/main" id="{00000000-0008-0000-0700-0000EB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60" name="Text Box 75">
          <a:extLst>
            <a:ext uri="{FF2B5EF4-FFF2-40B4-BE49-F238E27FC236}">
              <a16:creationId xmlns:a16="http://schemas.microsoft.com/office/drawing/2014/main" id="{00000000-0008-0000-0700-0000EC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61" name="Text Box 75">
          <a:extLst>
            <a:ext uri="{FF2B5EF4-FFF2-40B4-BE49-F238E27FC236}">
              <a16:creationId xmlns:a16="http://schemas.microsoft.com/office/drawing/2014/main" id="{00000000-0008-0000-0700-0000ED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62" name="Text Box 75">
          <a:extLst>
            <a:ext uri="{FF2B5EF4-FFF2-40B4-BE49-F238E27FC236}">
              <a16:creationId xmlns:a16="http://schemas.microsoft.com/office/drawing/2014/main" id="{00000000-0008-0000-0700-0000EE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63" name="Text Box 75">
          <a:extLst>
            <a:ext uri="{FF2B5EF4-FFF2-40B4-BE49-F238E27FC236}">
              <a16:creationId xmlns:a16="http://schemas.microsoft.com/office/drawing/2014/main" id="{00000000-0008-0000-0700-0000EF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64" name="Text Box 75">
          <a:extLst>
            <a:ext uri="{FF2B5EF4-FFF2-40B4-BE49-F238E27FC236}">
              <a16:creationId xmlns:a16="http://schemas.microsoft.com/office/drawing/2014/main" id="{00000000-0008-0000-0700-0000F0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65" name="Text Box 75">
          <a:extLst>
            <a:ext uri="{FF2B5EF4-FFF2-40B4-BE49-F238E27FC236}">
              <a16:creationId xmlns:a16="http://schemas.microsoft.com/office/drawing/2014/main" id="{00000000-0008-0000-0700-0000F1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66" name="Text Box 75">
          <a:extLst>
            <a:ext uri="{FF2B5EF4-FFF2-40B4-BE49-F238E27FC236}">
              <a16:creationId xmlns:a16="http://schemas.microsoft.com/office/drawing/2014/main" id="{00000000-0008-0000-0700-0000F2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68" name="Text Box 75">
          <a:extLst>
            <a:ext uri="{FF2B5EF4-FFF2-40B4-BE49-F238E27FC236}">
              <a16:creationId xmlns:a16="http://schemas.microsoft.com/office/drawing/2014/main" id="{00000000-0008-0000-0700-0000F4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69" name="Text Box 75">
          <a:extLst>
            <a:ext uri="{FF2B5EF4-FFF2-40B4-BE49-F238E27FC236}">
              <a16:creationId xmlns:a16="http://schemas.microsoft.com/office/drawing/2014/main" id="{00000000-0008-0000-0700-0000F5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70" name="Text Box 75">
          <a:extLst>
            <a:ext uri="{FF2B5EF4-FFF2-40B4-BE49-F238E27FC236}">
              <a16:creationId xmlns:a16="http://schemas.microsoft.com/office/drawing/2014/main" id="{00000000-0008-0000-0700-0000F6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71" name="Text Box 75">
          <a:extLst>
            <a:ext uri="{FF2B5EF4-FFF2-40B4-BE49-F238E27FC236}">
              <a16:creationId xmlns:a16="http://schemas.microsoft.com/office/drawing/2014/main" id="{00000000-0008-0000-0700-0000F7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72" name="Text Box 75">
          <a:extLst>
            <a:ext uri="{FF2B5EF4-FFF2-40B4-BE49-F238E27FC236}">
              <a16:creationId xmlns:a16="http://schemas.microsoft.com/office/drawing/2014/main" id="{00000000-0008-0000-0700-0000F8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73" name="Text Box 75">
          <a:extLst>
            <a:ext uri="{FF2B5EF4-FFF2-40B4-BE49-F238E27FC236}">
              <a16:creationId xmlns:a16="http://schemas.microsoft.com/office/drawing/2014/main" id="{00000000-0008-0000-0700-0000F9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74" name="Text Box 75">
          <a:extLst>
            <a:ext uri="{FF2B5EF4-FFF2-40B4-BE49-F238E27FC236}">
              <a16:creationId xmlns:a16="http://schemas.microsoft.com/office/drawing/2014/main" id="{00000000-0008-0000-0700-0000FA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75" name="Text Box 75">
          <a:extLst>
            <a:ext uri="{FF2B5EF4-FFF2-40B4-BE49-F238E27FC236}">
              <a16:creationId xmlns:a16="http://schemas.microsoft.com/office/drawing/2014/main" id="{00000000-0008-0000-0700-0000FB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76" name="Text Box 75">
          <a:extLst>
            <a:ext uri="{FF2B5EF4-FFF2-40B4-BE49-F238E27FC236}">
              <a16:creationId xmlns:a16="http://schemas.microsoft.com/office/drawing/2014/main" id="{00000000-0008-0000-0700-0000FC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77" name="Text Box 75">
          <a:extLst>
            <a:ext uri="{FF2B5EF4-FFF2-40B4-BE49-F238E27FC236}">
              <a16:creationId xmlns:a16="http://schemas.microsoft.com/office/drawing/2014/main" id="{00000000-0008-0000-0700-0000FD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78" name="Text Box 75">
          <a:extLst>
            <a:ext uri="{FF2B5EF4-FFF2-40B4-BE49-F238E27FC236}">
              <a16:creationId xmlns:a16="http://schemas.microsoft.com/office/drawing/2014/main" id="{00000000-0008-0000-0700-0000FE04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79" name="Text Box 75">
          <a:extLst>
            <a:ext uri="{FF2B5EF4-FFF2-40B4-BE49-F238E27FC236}">
              <a16:creationId xmlns:a16="http://schemas.microsoft.com/office/drawing/2014/main" id="{00000000-0008-0000-0700-0000FF04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80" name="Text Box 75">
          <a:extLst>
            <a:ext uri="{FF2B5EF4-FFF2-40B4-BE49-F238E27FC236}">
              <a16:creationId xmlns:a16="http://schemas.microsoft.com/office/drawing/2014/main" id="{00000000-0008-0000-0700-000000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81" name="Text Box 75">
          <a:extLst>
            <a:ext uri="{FF2B5EF4-FFF2-40B4-BE49-F238E27FC236}">
              <a16:creationId xmlns:a16="http://schemas.microsoft.com/office/drawing/2014/main" id="{00000000-0008-0000-0700-000001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82" name="Text Box 75">
          <a:extLst>
            <a:ext uri="{FF2B5EF4-FFF2-40B4-BE49-F238E27FC236}">
              <a16:creationId xmlns:a16="http://schemas.microsoft.com/office/drawing/2014/main" id="{00000000-0008-0000-0700-000002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83" name="Text Box 75">
          <a:extLst>
            <a:ext uri="{FF2B5EF4-FFF2-40B4-BE49-F238E27FC236}">
              <a16:creationId xmlns:a16="http://schemas.microsoft.com/office/drawing/2014/main" id="{00000000-0008-0000-0700-000003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84" name="Text Box 75">
          <a:extLst>
            <a:ext uri="{FF2B5EF4-FFF2-40B4-BE49-F238E27FC236}">
              <a16:creationId xmlns:a16="http://schemas.microsoft.com/office/drawing/2014/main" id="{00000000-0008-0000-0700-000004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85" name="Text Box 75">
          <a:extLst>
            <a:ext uri="{FF2B5EF4-FFF2-40B4-BE49-F238E27FC236}">
              <a16:creationId xmlns:a16="http://schemas.microsoft.com/office/drawing/2014/main" id="{00000000-0008-0000-0700-00000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86" name="Text Box 75">
          <a:extLst>
            <a:ext uri="{FF2B5EF4-FFF2-40B4-BE49-F238E27FC236}">
              <a16:creationId xmlns:a16="http://schemas.microsoft.com/office/drawing/2014/main" id="{00000000-0008-0000-0700-00000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87" name="Text Box 75">
          <a:extLst>
            <a:ext uri="{FF2B5EF4-FFF2-40B4-BE49-F238E27FC236}">
              <a16:creationId xmlns:a16="http://schemas.microsoft.com/office/drawing/2014/main" id="{00000000-0008-0000-0700-000007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88" name="Text Box 75">
          <a:extLst>
            <a:ext uri="{FF2B5EF4-FFF2-40B4-BE49-F238E27FC236}">
              <a16:creationId xmlns:a16="http://schemas.microsoft.com/office/drawing/2014/main" id="{00000000-0008-0000-0700-000008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89" name="Text Box 75">
          <a:extLst>
            <a:ext uri="{FF2B5EF4-FFF2-40B4-BE49-F238E27FC236}">
              <a16:creationId xmlns:a16="http://schemas.microsoft.com/office/drawing/2014/main" id="{00000000-0008-0000-0700-000009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290" name="Text Box 75">
          <a:extLst>
            <a:ext uri="{FF2B5EF4-FFF2-40B4-BE49-F238E27FC236}">
              <a16:creationId xmlns:a16="http://schemas.microsoft.com/office/drawing/2014/main" id="{00000000-0008-0000-0700-00000A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91" name="Text Box 75">
          <a:extLst>
            <a:ext uri="{FF2B5EF4-FFF2-40B4-BE49-F238E27FC236}">
              <a16:creationId xmlns:a16="http://schemas.microsoft.com/office/drawing/2014/main" id="{00000000-0008-0000-0700-00000B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92" name="Text Box 75">
          <a:extLst>
            <a:ext uri="{FF2B5EF4-FFF2-40B4-BE49-F238E27FC236}">
              <a16:creationId xmlns:a16="http://schemas.microsoft.com/office/drawing/2014/main" id="{00000000-0008-0000-0700-00000C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93" name="Text Box 75">
          <a:extLst>
            <a:ext uri="{FF2B5EF4-FFF2-40B4-BE49-F238E27FC236}">
              <a16:creationId xmlns:a16="http://schemas.microsoft.com/office/drawing/2014/main" id="{00000000-0008-0000-0700-00000D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94" name="Text Box 75">
          <a:extLst>
            <a:ext uri="{FF2B5EF4-FFF2-40B4-BE49-F238E27FC236}">
              <a16:creationId xmlns:a16="http://schemas.microsoft.com/office/drawing/2014/main" id="{00000000-0008-0000-0700-00000E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95" name="Text Box 75">
          <a:extLst>
            <a:ext uri="{FF2B5EF4-FFF2-40B4-BE49-F238E27FC236}">
              <a16:creationId xmlns:a16="http://schemas.microsoft.com/office/drawing/2014/main" id="{00000000-0008-0000-0700-00000F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96" name="Text Box 75">
          <a:extLst>
            <a:ext uri="{FF2B5EF4-FFF2-40B4-BE49-F238E27FC236}">
              <a16:creationId xmlns:a16="http://schemas.microsoft.com/office/drawing/2014/main" id="{00000000-0008-0000-0700-000010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97" name="Text Box 75">
          <a:extLst>
            <a:ext uri="{FF2B5EF4-FFF2-40B4-BE49-F238E27FC236}">
              <a16:creationId xmlns:a16="http://schemas.microsoft.com/office/drawing/2014/main" id="{00000000-0008-0000-0700-000011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98" name="Text Box 75">
          <a:extLst>
            <a:ext uri="{FF2B5EF4-FFF2-40B4-BE49-F238E27FC236}">
              <a16:creationId xmlns:a16="http://schemas.microsoft.com/office/drawing/2014/main" id="{00000000-0008-0000-0700-000012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299" name="Text Box 75">
          <a:extLst>
            <a:ext uri="{FF2B5EF4-FFF2-40B4-BE49-F238E27FC236}">
              <a16:creationId xmlns:a16="http://schemas.microsoft.com/office/drawing/2014/main" id="{00000000-0008-0000-0700-000013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0" name="Text Box 75">
          <a:extLst>
            <a:ext uri="{FF2B5EF4-FFF2-40B4-BE49-F238E27FC236}">
              <a16:creationId xmlns:a16="http://schemas.microsoft.com/office/drawing/2014/main" id="{00000000-0008-0000-0700-000014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1" name="Text Box 75">
          <a:extLst>
            <a:ext uri="{FF2B5EF4-FFF2-40B4-BE49-F238E27FC236}">
              <a16:creationId xmlns:a16="http://schemas.microsoft.com/office/drawing/2014/main" id="{00000000-0008-0000-0700-00001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2" name="Text Box 75">
          <a:extLst>
            <a:ext uri="{FF2B5EF4-FFF2-40B4-BE49-F238E27FC236}">
              <a16:creationId xmlns:a16="http://schemas.microsoft.com/office/drawing/2014/main" id="{00000000-0008-0000-0700-00001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3" name="Text Box 75">
          <a:extLst>
            <a:ext uri="{FF2B5EF4-FFF2-40B4-BE49-F238E27FC236}">
              <a16:creationId xmlns:a16="http://schemas.microsoft.com/office/drawing/2014/main" id="{00000000-0008-0000-0700-000017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4" name="Text Box 75">
          <a:extLst>
            <a:ext uri="{FF2B5EF4-FFF2-40B4-BE49-F238E27FC236}">
              <a16:creationId xmlns:a16="http://schemas.microsoft.com/office/drawing/2014/main" id="{00000000-0008-0000-0700-000018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5" name="Text Box 75">
          <a:extLst>
            <a:ext uri="{FF2B5EF4-FFF2-40B4-BE49-F238E27FC236}">
              <a16:creationId xmlns:a16="http://schemas.microsoft.com/office/drawing/2014/main" id="{00000000-0008-0000-0700-000019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6" name="Text Box 75">
          <a:extLst>
            <a:ext uri="{FF2B5EF4-FFF2-40B4-BE49-F238E27FC236}">
              <a16:creationId xmlns:a16="http://schemas.microsoft.com/office/drawing/2014/main" id="{00000000-0008-0000-0700-00001A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7" name="Text Box 75">
          <a:extLst>
            <a:ext uri="{FF2B5EF4-FFF2-40B4-BE49-F238E27FC236}">
              <a16:creationId xmlns:a16="http://schemas.microsoft.com/office/drawing/2014/main" id="{00000000-0008-0000-0700-00001B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8" name="Text Box 75">
          <a:extLst>
            <a:ext uri="{FF2B5EF4-FFF2-40B4-BE49-F238E27FC236}">
              <a16:creationId xmlns:a16="http://schemas.microsoft.com/office/drawing/2014/main" id="{00000000-0008-0000-0700-00001C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09" name="Text Box 75">
          <a:extLst>
            <a:ext uri="{FF2B5EF4-FFF2-40B4-BE49-F238E27FC236}">
              <a16:creationId xmlns:a16="http://schemas.microsoft.com/office/drawing/2014/main" id="{00000000-0008-0000-0700-00001D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0" name="Text Box 75">
          <a:extLst>
            <a:ext uri="{FF2B5EF4-FFF2-40B4-BE49-F238E27FC236}">
              <a16:creationId xmlns:a16="http://schemas.microsoft.com/office/drawing/2014/main" id="{00000000-0008-0000-0700-00001E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1" name="Text Box 75">
          <a:extLst>
            <a:ext uri="{FF2B5EF4-FFF2-40B4-BE49-F238E27FC236}">
              <a16:creationId xmlns:a16="http://schemas.microsoft.com/office/drawing/2014/main" id="{00000000-0008-0000-0700-00001F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2" name="Text Box 75">
          <a:extLst>
            <a:ext uri="{FF2B5EF4-FFF2-40B4-BE49-F238E27FC236}">
              <a16:creationId xmlns:a16="http://schemas.microsoft.com/office/drawing/2014/main" id="{00000000-0008-0000-0700-000020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3" name="Text Box 75">
          <a:extLst>
            <a:ext uri="{FF2B5EF4-FFF2-40B4-BE49-F238E27FC236}">
              <a16:creationId xmlns:a16="http://schemas.microsoft.com/office/drawing/2014/main" id="{00000000-0008-0000-0700-000021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4" name="Text Box 75">
          <a:extLst>
            <a:ext uri="{FF2B5EF4-FFF2-40B4-BE49-F238E27FC236}">
              <a16:creationId xmlns:a16="http://schemas.microsoft.com/office/drawing/2014/main" id="{00000000-0008-0000-0700-000022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5" name="Text Box 75">
          <a:extLst>
            <a:ext uri="{FF2B5EF4-FFF2-40B4-BE49-F238E27FC236}">
              <a16:creationId xmlns:a16="http://schemas.microsoft.com/office/drawing/2014/main" id="{00000000-0008-0000-0700-000023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6" name="Text Box 75">
          <a:extLst>
            <a:ext uri="{FF2B5EF4-FFF2-40B4-BE49-F238E27FC236}">
              <a16:creationId xmlns:a16="http://schemas.microsoft.com/office/drawing/2014/main" id="{00000000-0008-0000-0700-000024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7" name="Text Box 75">
          <a:extLst>
            <a:ext uri="{FF2B5EF4-FFF2-40B4-BE49-F238E27FC236}">
              <a16:creationId xmlns:a16="http://schemas.microsoft.com/office/drawing/2014/main" id="{00000000-0008-0000-0700-00002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8" name="Text Box 75">
          <a:extLst>
            <a:ext uri="{FF2B5EF4-FFF2-40B4-BE49-F238E27FC236}">
              <a16:creationId xmlns:a16="http://schemas.microsoft.com/office/drawing/2014/main" id="{00000000-0008-0000-0700-00002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19" name="Text Box 75">
          <a:extLst>
            <a:ext uri="{FF2B5EF4-FFF2-40B4-BE49-F238E27FC236}">
              <a16:creationId xmlns:a16="http://schemas.microsoft.com/office/drawing/2014/main" id="{00000000-0008-0000-0700-000027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0" name="Text Box 75">
          <a:extLst>
            <a:ext uri="{FF2B5EF4-FFF2-40B4-BE49-F238E27FC236}">
              <a16:creationId xmlns:a16="http://schemas.microsoft.com/office/drawing/2014/main" id="{00000000-0008-0000-0700-000028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1" name="Text Box 75">
          <a:extLst>
            <a:ext uri="{FF2B5EF4-FFF2-40B4-BE49-F238E27FC236}">
              <a16:creationId xmlns:a16="http://schemas.microsoft.com/office/drawing/2014/main" id="{00000000-0008-0000-0700-000029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2" name="Text Box 75">
          <a:extLst>
            <a:ext uri="{FF2B5EF4-FFF2-40B4-BE49-F238E27FC236}">
              <a16:creationId xmlns:a16="http://schemas.microsoft.com/office/drawing/2014/main" id="{00000000-0008-0000-0700-00002A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3" name="Text Box 75">
          <a:extLst>
            <a:ext uri="{FF2B5EF4-FFF2-40B4-BE49-F238E27FC236}">
              <a16:creationId xmlns:a16="http://schemas.microsoft.com/office/drawing/2014/main" id="{00000000-0008-0000-0700-00002B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4" name="Text Box 75">
          <a:extLst>
            <a:ext uri="{FF2B5EF4-FFF2-40B4-BE49-F238E27FC236}">
              <a16:creationId xmlns:a16="http://schemas.microsoft.com/office/drawing/2014/main" id="{00000000-0008-0000-0700-00002C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5" name="Text Box 75">
          <a:extLst>
            <a:ext uri="{FF2B5EF4-FFF2-40B4-BE49-F238E27FC236}">
              <a16:creationId xmlns:a16="http://schemas.microsoft.com/office/drawing/2014/main" id="{00000000-0008-0000-0700-00002D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6" name="Text Box 75">
          <a:extLst>
            <a:ext uri="{FF2B5EF4-FFF2-40B4-BE49-F238E27FC236}">
              <a16:creationId xmlns:a16="http://schemas.microsoft.com/office/drawing/2014/main" id="{00000000-0008-0000-0700-00002E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7" name="Text Box 75">
          <a:extLst>
            <a:ext uri="{FF2B5EF4-FFF2-40B4-BE49-F238E27FC236}">
              <a16:creationId xmlns:a16="http://schemas.microsoft.com/office/drawing/2014/main" id="{00000000-0008-0000-0700-00002F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8" name="Text Box 75">
          <a:extLst>
            <a:ext uri="{FF2B5EF4-FFF2-40B4-BE49-F238E27FC236}">
              <a16:creationId xmlns:a16="http://schemas.microsoft.com/office/drawing/2014/main" id="{00000000-0008-0000-0700-000030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29" name="Text Box 75">
          <a:extLst>
            <a:ext uri="{FF2B5EF4-FFF2-40B4-BE49-F238E27FC236}">
              <a16:creationId xmlns:a16="http://schemas.microsoft.com/office/drawing/2014/main" id="{00000000-0008-0000-0700-000031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30" name="Text Box 75">
          <a:extLst>
            <a:ext uri="{FF2B5EF4-FFF2-40B4-BE49-F238E27FC236}">
              <a16:creationId xmlns:a16="http://schemas.microsoft.com/office/drawing/2014/main" id="{00000000-0008-0000-0700-000032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31" name="Text Box 75">
          <a:extLst>
            <a:ext uri="{FF2B5EF4-FFF2-40B4-BE49-F238E27FC236}">
              <a16:creationId xmlns:a16="http://schemas.microsoft.com/office/drawing/2014/main" id="{00000000-0008-0000-0700-000033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32" name="Text Box 75">
          <a:extLst>
            <a:ext uri="{FF2B5EF4-FFF2-40B4-BE49-F238E27FC236}">
              <a16:creationId xmlns:a16="http://schemas.microsoft.com/office/drawing/2014/main" id="{00000000-0008-0000-0700-000034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33" name="Text Box 75">
          <a:extLst>
            <a:ext uri="{FF2B5EF4-FFF2-40B4-BE49-F238E27FC236}">
              <a16:creationId xmlns:a16="http://schemas.microsoft.com/office/drawing/2014/main" id="{00000000-0008-0000-0700-00003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334" name="Text Box 75">
          <a:extLst>
            <a:ext uri="{FF2B5EF4-FFF2-40B4-BE49-F238E27FC236}">
              <a16:creationId xmlns:a16="http://schemas.microsoft.com/office/drawing/2014/main" id="{00000000-0008-0000-0700-00003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35" name="Text Box 75">
          <a:extLst>
            <a:ext uri="{FF2B5EF4-FFF2-40B4-BE49-F238E27FC236}">
              <a16:creationId xmlns:a16="http://schemas.microsoft.com/office/drawing/2014/main" id="{00000000-0008-0000-0700-000037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36" name="Text Box 75">
          <a:extLst>
            <a:ext uri="{FF2B5EF4-FFF2-40B4-BE49-F238E27FC236}">
              <a16:creationId xmlns:a16="http://schemas.microsoft.com/office/drawing/2014/main" id="{00000000-0008-0000-0700-000038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37" name="Text Box 75">
          <a:extLst>
            <a:ext uri="{FF2B5EF4-FFF2-40B4-BE49-F238E27FC236}">
              <a16:creationId xmlns:a16="http://schemas.microsoft.com/office/drawing/2014/main" id="{00000000-0008-0000-0700-000039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38" name="Text Box 75">
          <a:extLst>
            <a:ext uri="{FF2B5EF4-FFF2-40B4-BE49-F238E27FC236}">
              <a16:creationId xmlns:a16="http://schemas.microsoft.com/office/drawing/2014/main" id="{00000000-0008-0000-0700-00003A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39" name="Text Box 75">
          <a:extLst>
            <a:ext uri="{FF2B5EF4-FFF2-40B4-BE49-F238E27FC236}">
              <a16:creationId xmlns:a16="http://schemas.microsoft.com/office/drawing/2014/main" id="{00000000-0008-0000-0700-00003B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40" name="Text Box 75">
          <a:extLst>
            <a:ext uri="{FF2B5EF4-FFF2-40B4-BE49-F238E27FC236}">
              <a16:creationId xmlns:a16="http://schemas.microsoft.com/office/drawing/2014/main" id="{00000000-0008-0000-0700-00003C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41" name="Text Box 75">
          <a:extLst>
            <a:ext uri="{FF2B5EF4-FFF2-40B4-BE49-F238E27FC236}">
              <a16:creationId xmlns:a16="http://schemas.microsoft.com/office/drawing/2014/main" id="{00000000-0008-0000-0700-00003D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42" name="Text Box 75">
          <a:extLst>
            <a:ext uri="{FF2B5EF4-FFF2-40B4-BE49-F238E27FC236}">
              <a16:creationId xmlns:a16="http://schemas.microsoft.com/office/drawing/2014/main" id="{00000000-0008-0000-0700-00003E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43" name="Text Box 75">
          <a:extLst>
            <a:ext uri="{FF2B5EF4-FFF2-40B4-BE49-F238E27FC236}">
              <a16:creationId xmlns:a16="http://schemas.microsoft.com/office/drawing/2014/main" id="{00000000-0008-0000-0700-00003F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44" name="Text Box 75">
          <a:extLst>
            <a:ext uri="{FF2B5EF4-FFF2-40B4-BE49-F238E27FC236}">
              <a16:creationId xmlns:a16="http://schemas.microsoft.com/office/drawing/2014/main" id="{00000000-0008-0000-0700-000040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45" name="Text Box 75">
          <a:extLst>
            <a:ext uri="{FF2B5EF4-FFF2-40B4-BE49-F238E27FC236}">
              <a16:creationId xmlns:a16="http://schemas.microsoft.com/office/drawing/2014/main" id="{00000000-0008-0000-0700-000041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46" name="Text Box 75">
          <a:extLst>
            <a:ext uri="{FF2B5EF4-FFF2-40B4-BE49-F238E27FC236}">
              <a16:creationId xmlns:a16="http://schemas.microsoft.com/office/drawing/2014/main" id="{00000000-0008-0000-0700-000042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47" name="Text Box 75">
          <a:extLst>
            <a:ext uri="{FF2B5EF4-FFF2-40B4-BE49-F238E27FC236}">
              <a16:creationId xmlns:a16="http://schemas.microsoft.com/office/drawing/2014/main" id="{00000000-0008-0000-0700-000043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48" name="Text Box 75">
          <a:extLst>
            <a:ext uri="{FF2B5EF4-FFF2-40B4-BE49-F238E27FC236}">
              <a16:creationId xmlns:a16="http://schemas.microsoft.com/office/drawing/2014/main" id="{00000000-0008-0000-0700-000044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49" name="Text Box 75">
          <a:extLst>
            <a:ext uri="{FF2B5EF4-FFF2-40B4-BE49-F238E27FC236}">
              <a16:creationId xmlns:a16="http://schemas.microsoft.com/office/drawing/2014/main" id="{00000000-0008-0000-0700-00004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50" name="Text Box 75">
          <a:extLst>
            <a:ext uri="{FF2B5EF4-FFF2-40B4-BE49-F238E27FC236}">
              <a16:creationId xmlns:a16="http://schemas.microsoft.com/office/drawing/2014/main" id="{00000000-0008-0000-0700-00004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51" name="Text Box 75">
          <a:extLst>
            <a:ext uri="{FF2B5EF4-FFF2-40B4-BE49-F238E27FC236}">
              <a16:creationId xmlns:a16="http://schemas.microsoft.com/office/drawing/2014/main" id="{00000000-0008-0000-0700-000047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52" name="Text Box 75">
          <a:extLst>
            <a:ext uri="{FF2B5EF4-FFF2-40B4-BE49-F238E27FC236}">
              <a16:creationId xmlns:a16="http://schemas.microsoft.com/office/drawing/2014/main" id="{00000000-0008-0000-0700-000048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53" name="Text Box 75">
          <a:extLst>
            <a:ext uri="{FF2B5EF4-FFF2-40B4-BE49-F238E27FC236}">
              <a16:creationId xmlns:a16="http://schemas.microsoft.com/office/drawing/2014/main" id="{00000000-0008-0000-0700-000049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54" name="Text Box 75">
          <a:extLst>
            <a:ext uri="{FF2B5EF4-FFF2-40B4-BE49-F238E27FC236}">
              <a16:creationId xmlns:a16="http://schemas.microsoft.com/office/drawing/2014/main" id="{00000000-0008-0000-0700-00004A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55" name="Text Box 75">
          <a:extLst>
            <a:ext uri="{FF2B5EF4-FFF2-40B4-BE49-F238E27FC236}">
              <a16:creationId xmlns:a16="http://schemas.microsoft.com/office/drawing/2014/main" id="{00000000-0008-0000-0700-00004B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56" name="Text Box 75">
          <a:extLst>
            <a:ext uri="{FF2B5EF4-FFF2-40B4-BE49-F238E27FC236}">
              <a16:creationId xmlns:a16="http://schemas.microsoft.com/office/drawing/2014/main" id="{00000000-0008-0000-0700-00004C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57" name="Text Box 75">
          <a:extLst>
            <a:ext uri="{FF2B5EF4-FFF2-40B4-BE49-F238E27FC236}">
              <a16:creationId xmlns:a16="http://schemas.microsoft.com/office/drawing/2014/main" id="{00000000-0008-0000-0700-00004D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58" name="Text Box 75">
          <a:extLst>
            <a:ext uri="{FF2B5EF4-FFF2-40B4-BE49-F238E27FC236}">
              <a16:creationId xmlns:a16="http://schemas.microsoft.com/office/drawing/2014/main" id="{00000000-0008-0000-0700-00004E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59" name="Text Box 75">
          <a:extLst>
            <a:ext uri="{FF2B5EF4-FFF2-40B4-BE49-F238E27FC236}">
              <a16:creationId xmlns:a16="http://schemas.microsoft.com/office/drawing/2014/main" id="{00000000-0008-0000-0700-00004F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60" name="Text Box 75">
          <a:extLst>
            <a:ext uri="{FF2B5EF4-FFF2-40B4-BE49-F238E27FC236}">
              <a16:creationId xmlns:a16="http://schemas.microsoft.com/office/drawing/2014/main" id="{00000000-0008-0000-0700-000050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61" name="Text Box 75">
          <a:extLst>
            <a:ext uri="{FF2B5EF4-FFF2-40B4-BE49-F238E27FC236}">
              <a16:creationId xmlns:a16="http://schemas.microsoft.com/office/drawing/2014/main" id="{00000000-0008-0000-0700-000051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62" name="Text Box 75">
          <a:extLst>
            <a:ext uri="{FF2B5EF4-FFF2-40B4-BE49-F238E27FC236}">
              <a16:creationId xmlns:a16="http://schemas.microsoft.com/office/drawing/2014/main" id="{00000000-0008-0000-0700-000052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63" name="Text Box 75">
          <a:extLst>
            <a:ext uri="{FF2B5EF4-FFF2-40B4-BE49-F238E27FC236}">
              <a16:creationId xmlns:a16="http://schemas.microsoft.com/office/drawing/2014/main" id="{00000000-0008-0000-0700-000053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64" name="Text Box 75">
          <a:extLst>
            <a:ext uri="{FF2B5EF4-FFF2-40B4-BE49-F238E27FC236}">
              <a16:creationId xmlns:a16="http://schemas.microsoft.com/office/drawing/2014/main" id="{00000000-0008-0000-0700-000054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65" name="Text Box 75">
          <a:extLst>
            <a:ext uri="{FF2B5EF4-FFF2-40B4-BE49-F238E27FC236}">
              <a16:creationId xmlns:a16="http://schemas.microsoft.com/office/drawing/2014/main" id="{00000000-0008-0000-0700-000055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66" name="Text Box 75">
          <a:extLst>
            <a:ext uri="{FF2B5EF4-FFF2-40B4-BE49-F238E27FC236}">
              <a16:creationId xmlns:a16="http://schemas.microsoft.com/office/drawing/2014/main" id="{00000000-0008-0000-0700-000056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67" name="Text Box 75">
          <a:extLst>
            <a:ext uri="{FF2B5EF4-FFF2-40B4-BE49-F238E27FC236}">
              <a16:creationId xmlns:a16="http://schemas.microsoft.com/office/drawing/2014/main" id="{00000000-0008-0000-0700-000057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68" name="Text Box 75">
          <a:extLst>
            <a:ext uri="{FF2B5EF4-FFF2-40B4-BE49-F238E27FC236}">
              <a16:creationId xmlns:a16="http://schemas.microsoft.com/office/drawing/2014/main" id="{00000000-0008-0000-0700-000058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69" name="Text Box 75">
          <a:extLst>
            <a:ext uri="{FF2B5EF4-FFF2-40B4-BE49-F238E27FC236}">
              <a16:creationId xmlns:a16="http://schemas.microsoft.com/office/drawing/2014/main" id="{00000000-0008-0000-0700-000059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70" name="Text Box 75">
          <a:extLst>
            <a:ext uri="{FF2B5EF4-FFF2-40B4-BE49-F238E27FC236}">
              <a16:creationId xmlns:a16="http://schemas.microsoft.com/office/drawing/2014/main" id="{00000000-0008-0000-0700-00005A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71" name="Text Box 75">
          <a:extLst>
            <a:ext uri="{FF2B5EF4-FFF2-40B4-BE49-F238E27FC236}">
              <a16:creationId xmlns:a16="http://schemas.microsoft.com/office/drawing/2014/main" id="{00000000-0008-0000-0700-00005B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26</xdr:row>
      <xdr:rowOff>3295650</xdr:rowOff>
    </xdr:from>
    <xdr:to>
      <xdr:col>131</xdr:col>
      <xdr:colOff>85725</xdr:colOff>
      <xdr:row>27</xdr:row>
      <xdr:rowOff>328486</xdr:rowOff>
    </xdr:to>
    <xdr:sp macro="" textlink="">
      <xdr:nvSpPr>
        <xdr:cNvPr id="1372" name="Text Box 75">
          <a:extLst>
            <a:ext uri="{FF2B5EF4-FFF2-40B4-BE49-F238E27FC236}">
              <a16:creationId xmlns:a16="http://schemas.microsoft.com/office/drawing/2014/main" id="{00000000-0008-0000-0700-00005C050000}"/>
            </a:ext>
          </a:extLst>
        </xdr:cNvPr>
        <xdr:cNvSpPr txBox="1">
          <a:spLocks noChangeArrowheads="1"/>
        </xdr:cNvSpPr>
      </xdr:nvSpPr>
      <xdr:spPr bwMode="auto">
        <a:xfrm>
          <a:off x="7543800" y="22974300"/>
          <a:ext cx="85725" cy="319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73" name="Text Box 75">
          <a:extLst>
            <a:ext uri="{FF2B5EF4-FFF2-40B4-BE49-F238E27FC236}">
              <a16:creationId xmlns:a16="http://schemas.microsoft.com/office/drawing/2014/main" id="{00000000-0008-0000-0700-00005D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74" name="Text Box 75">
          <a:extLst>
            <a:ext uri="{FF2B5EF4-FFF2-40B4-BE49-F238E27FC236}">
              <a16:creationId xmlns:a16="http://schemas.microsoft.com/office/drawing/2014/main" id="{00000000-0008-0000-0700-00005E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75" name="Text Box 75">
          <a:extLst>
            <a:ext uri="{FF2B5EF4-FFF2-40B4-BE49-F238E27FC236}">
              <a16:creationId xmlns:a16="http://schemas.microsoft.com/office/drawing/2014/main" id="{00000000-0008-0000-0700-00005F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76" name="Text Box 75">
          <a:extLst>
            <a:ext uri="{FF2B5EF4-FFF2-40B4-BE49-F238E27FC236}">
              <a16:creationId xmlns:a16="http://schemas.microsoft.com/office/drawing/2014/main" id="{00000000-0008-0000-0700-000060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77" name="Text Box 75">
          <a:extLst>
            <a:ext uri="{FF2B5EF4-FFF2-40B4-BE49-F238E27FC236}">
              <a16:creationId xmlns:a16="http://schemas.microsoft.com/office/drawing/2014/main" id="{00000000-0008-0000-0700-000061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78" name="Text Box 75">
          <a:extLst>
            <a:ext uri="{FF2B5EF4-FFF2-40B4-BE49-F238E27FC236}">
              <a16:creationId xmlns:a16="http://schemas.microsoft.com/office/drawing/2014/main" id="{00000000-0008-0000-0700-000062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79" name="Text Box 75">
          <a:extLst>
            <a:ext uri="{FF2B5EF4-FFF2-40B4-BE49-F238E27FC236}">
              <a16:creationId xmlns:a16="http://schemas.microsoft.com/office/drawing/2014/main" id="{00000000-0008-0000-0700-000063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0" name="Text Box 75">
          <a:extLst>
            <a:ext uri="{FF2B5EF4-FFF2-40B4-BE49-F238E27FC236}">
              <a16:creationId xmlns:a16="http://schemas.microsoft.com/office/drawing/2014/main" id="{00000000-0008-0000-0700-000064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1" name="Text Box 75">
          <a:extLst>
            <a:ext uri="{FF2B5EF4-FFF2-40B4-BE49-F238E27FC236}">
              <a16:creationId xmlns:a16="http://schemas.microsoft.com/office/drawing/2014/main" id="{00000000-0008-0000-0700-00006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2" name="Text Box 75">
          <a:extLst>
            <a:ext uri="{FF2B5EF4-FFF2-40B4-BE49-F238E27FC236}">
              <a16:creationId xmlns:a16="http://schemas.microsoft.com/office/drawing/2014/main" id="{00000000-0008-0000-0700-00006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3" name="Text Box 75">
          <a:extLst>
            <a:ext uri="{FF2B5EF4-FFF2-40B4-BE49-F238E27FC236}">
              <a16:creationId xmlns:a16="http://schemas.microsoft.com/office/drawing/2014/main" id="{00000000-0008-0000-0700-000067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4" name="Text Box 75">
          <a:extLst>
            <a:ext uri="{FF2B5EF4-FFF2-40B4-BE49-F238E27FC236}">
              <a16:creationId xmlns:a16="http://schemas.microsoft.com/office/drawing/2014/main" id="{00000000-0008-0000-0700-000068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5" name="Text Box 75">
          <a:extLst>
            <a:ext uri="{FF2B5EF4-FFF2-40B4-BE49-F238E27FC236}">
              <a16:creationId xmlns:a16="http://schemas.microsoft.com/office/drawing/2014/main" id="{00000000-0008-0000-0700-000069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6" name="Text Box 75">
          <a:extLst>
            <a:ext uri="{FF2B5EF4-FFF2-40B4-BE49-F238E27FC236}">
              <a16:creationId xmlns:a16="http://schemas.microsoft.com/office/drawing/2014/main" id="{00000000-0008-0000-0700-00006A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7" name="Text Box 75">
          <a:extLst>
            <a:ext uri="{FF2B5EF4-FFF2-40B4-BE49-F238E27FC236}">
              <a16:creationId xmlns:a16="http://schemas.microsoft.com/office/drawing/2014/main" id="{00000000-0008-0000-0700-00006B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8" name="Text Box 75">
          <a:extLst>
            <a:ext uri="{FF2B5EF4-FFF2-40B4-BE49-F238E27FC236}">
              <a16:creationId xmlns:a16="http://schemas.microsoft.com/office/drawing/2014/main" id="{00000000-0008-0000-0700-00006C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89" name="Text Box 75">
          <a:extLst>
            <a:ext uri="{FF2B5EF4-FFF2-40B4-BE49-F238E27FC236}">
              <a16:creationId xmlns:a16="http://schemas.microsoft.com/office/drawing/2014/main" id="{00000000-0008-0000-0700-00006D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0" name="Text Box 75">
          <a:extLst>
            <a:ext uri="{FF2B5EF4-FFF2-40B4-BE49-F238E27FC236}">
              <a16:creationId xmlns:a16="http://schemas.microsoft.com/office/drawing/2014/main" id="{00000000-0008-0000-0700-00006E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1" name="Text Box 75">
          <a:extLst>
            <a:ext uri="{FF2B5EF4-FFF2-40B4-BE49-F238E27FC236}">
              <a16:creationId xmlns:a16="http://schemas.microsoft.com/office/drawing/2014/main" id="{00000000-0008-0000-0700-00006F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2" name="Text Box 75">
          <a:extLst>
            <a:ext uri="{FF2B5EF4-FFF2-40B4-BE49-F238E27FC236}">
              <a16:creationId xmlns:a16="http://schemas.microsoft.com/office/drawing/2014/main" id="{00000000-0008-0000-0700-000070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3" name="Text Box 75">
          <a:extLst>
            <a:ext uri="{FF2B5EF4-FFF2-40B4-BE49-F238E27FC236}">
              <a16:creationId xmlns:a16="http://schemas.microsoft.com/office/drawing/2014/main" id="{00000000-0008-0000-0700-000071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4" name="Text Box 75">
          <a:extLst>
            <a:ext uri="{FF2B5EF4-FFF2-40B4-BE49-F238E27FC236}">
              <a16:creationId xmlns:a16="http://schemas.microsoft.com/office/drawing/2014/main" id="{00000000-0008-0000-0700-000072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5" name="Text Box 75">
          <a:extLst>
            <a:ext uri="{FF2B5EF4-FFF2-40B4-BE49-F238E27FC236}">
              <a16:creationId xmlns:a16="http://schemas.microsoft.com/office/drawing/2014/main" id="{00000000-0008-0000-0700-000073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6" name="Text Box 75">
          <a:extLst>
            <a:ext uri="{FF2B5EF4-FFF2-40B4-BE49-F238E27FC236}">
              <a16:creationId xmlns:a16="http://schemas.microsoft.com/office/drawing/2014/main" id="{00000000-0008-0000-0700-000074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7" name="Text Box 75">
          <a:extLst>
            <a:ext uri="{FF2B5EF4-FFF2-40B4-BE49-F238E27FC236}">
              <a16:creationId xmlns:a16="http://schemas.microsoft.com/office/drawing/2014/main" id="{00000000-0008-0000-0700-00007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8" name="Text Box 75">
          <a:extLst>
            <a:ext uri="{FF2B5EF4-FFF2-40B4-BE49-F238E27FC236}">
              <a16:creationId xmlns:a16="http://schemas.microsoft.com/office/drawing/2014/main" id="{00000000-0008-0000-0700-00007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399" name="Text Box 75">
          <a:extLst>
            <a:ext uri="{FF2B5EF4-FFF2-40B4-BE49-F238E27FC236}">
              <a16:creationId xmlns:a16="http://schemas.microsoft.com/office/drawing/2014/main" id="{00000000-0008-0000-0700-000077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0" name="Text Box 75">
          <a:extLst>
            <a:ext uri="{FF2B5EF4-FFF2-40B4-BE49-F238E27FC236}">
              <a16:creationId xmlns:a16="http://schemas.microsoft.com/office/drawing/2014/main" id="{00000000-0008-0000-0700-000078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1" name="Text Box 75">
          <a:extLst>
            <a:ext uri="{FF2B5EF4-FFF2-40B4-BE49-F238E27FC236}">
              <a16:creationId xmlns:a16="http://schemas.microsoft.com/office/drawing/2014/main" id="{00000000-0008-0000-0700-000079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2" name="Text Box 75">
          <a:extLst>
            <a:ext uri="{FF2B5EF4-FFF2-40B4-BE49-F238E27FC236}">
              <a16:creationId xmlns:a16="http://schemas.microsoft.com/office/drawing/2014/main" id="{00000000-0008-0000-0700-00007A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3" name="Text Box 75">
          <a:extLst>
            <a:ext uri="{FF2B5EF4-FFF2-40B4-BE49-F238E27FC236}">
              <a16:creationId xmlns:a16="http://schemas.microsoft.com/office/drawing/2014/main" id="{00000000-0008-0000-0700-00007B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4" name="Text Box 75">
          <a:extLst>
            <a:ext uri="{FF2B5EF4-FFF2-40B4-BE49-F238E27FC236}">
              <a16:creationId xmlns:a16="http://schemas.microsoft.com/office/drawing/2014/main" id="{00000000-0008-0000-0700-00007C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5" name="Text Box 75">
          <a:extLst>
            <a:ext uri="{FF2B5EF4-FFF2-40B4-BE49-F238E27FC236}">
              <a16:creationId xmlns:a16="http://schemas.microsoft.com/office/drawing/2014/main" id="{00000000-0008-0000-0700-00007D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6" name="Text Box 75">
          <a:extLst>
            <a:ext uri="{FF2B5EF4-FFF2-40B4-BE49-F238E27FC236}">
              <a16:creationId xmlns:a16="http://schemas.microsoft.com/office/drawing/2014/main" id="{00000000-0008-0000-0700-00007E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7" name="Text Box 75">
          <a:extLst>
            <a:ext uri="{FF2B5EF4-FFF2-40B4-BE49-F238E27FC236}">
              <a16:creationId xmlns:a16="http://schemas.microsoft.com/office/drawing/2014/main" id="{00000000-0008-0000-0700-00007F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8" name="Text Box 75">
          <a:extLst>
            <a:ext uri="{FF2B5EF4-FFF2-40B4-BE49-F238E27FC236}">
              <a16:creationId xmlns:a16="http://schemas.microsoft.com/office/drawing/2014/main" id="{00000000-0008-0000-0700-000080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09" name="Text Box 75">
          <a:extLst>
            <a:ext uri="{FF2B5EF4-FFF2-40B4-BE49-F238E27FC236}">
              <a16:creationId xmlns:a16="http://schemas.microsoft.com/office/drawing/2014/main" id="{00000000-0008-0000-0700-000081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0" name="Text Box 75">
          <a:extLst>
            <a:ext uri="{FF2B5EF4-FFF2-40B4-BE49-F238E27FC236}">
              <a16:creationId xmlns:a16="http://schemas.microsoft.com/office/drawing/2014/main" id="{00000000-0008-0000-0700-000082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1" name="Text Box 75">
          <a:extLst>
            <a:ext uri="{FF2B5EF4-FFF2-40B4-BE49-F238E27FC236}">
              <a16:creationId xmlns:a16="http://schemas.microsoft.com/office/drawing/2014/main" id="{00000000-0008-0000-0700-000083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2" name="Text Box 75">
          <a:extLst>
            <a:ext uri="{FF2B5EF4-FFF2-40B4-BE49-F238E27FC236}">
              <a16:creationId xmlns:a16="http://schemas.microsoft.com/office/drawing/2014/main" id="{00000000-0008-0000-0700-000084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3" name="Text Box 75">
          <a:extLst>
            <a:ext uri="{FF2B5EF4-FFF2-40B4-BE49-F238E27FC236}">
              <a16:creationId xmlns:a16="http://schemas.microsoft.com/office/drawing/2014/main" id="{00000000-0008-0000-0700-00008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4" name="Text Box 75">
          <a:extLst>
            <a:ext uri="{FF2B5EF4-FFF2-40B4-BE49-F238E27FC236}">
              <a16:creationId xmlns:a16="http://schemas.microsoft.com/office/drawing/2014/main" id="{00000000-0008-0000-0700-00008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5" name="Text Box 75">
          <a:extLst>
            <a:ext uri="{FF2B5EF4-FFF2-40B4-BE49-F238E27FC236}">
              <a16:creationId xmlns:a16="http://schemas.microsoft.com/office/drawing/2014/main" id="{00000000-0008-0000-0700-000087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6" name="Text Box 75">
          <a:extLst>
            <a:ext uri="{FF2B5EF4-FFF2-40B4-BE49-F238E27FC236}">
              <a16:creationId xmlns:a16="http://schemas.microsoft.com/office/drawing/2014/main" id="{00000000-0008-0000-0700-000088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7" name="Text Box 75">
          <a:extLst>
            <a:ext uri="{FF2B5EF4-FFF2-40B4-BE49-F238E27FC236}">
              <a16:creationId xmlns:a16="http://schemas.microsoft.com/office/drawing/2014/main" id="{00000000-0008-0000-0700-000089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8" name="Text Box 75">
          <a:extLst>
            <a:ext uri="{FF2B5EF4-FFF2-40B4-BE49-F238E27FC236}">
              <a16:creationId xmlns:a16="http://schemas.microsoft.com/office/drawing/2014/main" id="{00000000-0008-0000-0700-00008A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19" name="Text Box 75">
          <a:extLst>
            <a:ext uri="{FF2B5EF4-FFF2-40B4-BE49-F238E27FC236}">
              <a16:creationId xmlns:a16="http://schemas.microsoft.com/office/drawing/2014/main" id="{00000000-0008-0000-0700-00008B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0" name="Text Box 75">
          <a:extLst>
            <a:ext uri="{FF2B5EF4-FFF2-40B4-BE49-F238E27FC236}">
              <a16:creationId xmlns:a16="http://schemas.microsoft.com/office/drawing/2014/main" id="{00000000-0008-0000-0700-00008C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1" name="Text Box 75">
          <a:extLst>
            <a:ext uri="{FF2B5EF4-FFF2-40B4-BE49-F238E27FC236}">
              <a16:creationId xmlns:a16="http://schemas.microsoft.com/office/drawing/2014/main" id="{00000000-0008-0000-0700-00008D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2" name="Text Box 75">
          <a:extLst>
            <a:ext uri="{FF2B5EF4-FFF2-40B4-BE49-F238E27FC236}">
              <a16:creationId xmlns:a16="http://schemas.microsoft.com/office/drawing/2014/main" id="{00000000-0008-0000-0700-00008E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3" name="Text Box 75">
          <a:extLst>
            <a:ext uri="{FF2B5EF4-FFF2-40B4-BE49-F238E27FC236}">
              <a16:creationId xmlns:a16="http://schemas.microsoft.com/office/drawing/2014/main" id="{00000000-0008-0000-0700-00008F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4" name="Text Box 75">
          <a:extLst>
            <a:ext uri="{FF2B5EF4-FFF2-40B4-BE49-F238E27FC236}">
              <a16:creationId xmlns:a16="http://schemas.microsoft.com/office/drawing/2014/main" id="{00000000-0008-0000-0700-000090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5" name="Text Box 75">
          <a:extLst>
            <a:ext uri="{FF2B5EF4-FFF2-40B4-BE49-F238E27FC236}">
              <a16:creationId xmlns:a16="http://schemas.microsoft.com/office/drawing/2014/main" id="{00000000-0008-0000-0700-000091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6" name="Text Box 75">
          <a:extLst>
            <a:ext uri="{FF2B5EF4-FFF2-40B4-BE49-F238E27FC236}">
              <a16:creationId xmlns:a16="http://schemas.microsoft.com/office/drawing/2014/main" id="{00000000-0008-0000-0700-000092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7" name="Text Box 75">
          <a:extLst>
            <a:ext uri="{FF2B5EF4-FFF2-40B4-BE49-F238E27FC236}">
              <a16:creationId xmlns:a16="http://schemas.microsoft.com/office/drawing/2014/main" id="{00000000-0008-0000-0700-000093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8" name="Text Box 75">
          <a:extLst>
            <a:ext uri="{FF2B5EF4-FFF2-40B4-BE49-F238E27FC236}">
              <a16:creationId xmlns:a16="http://schemas.microsoft.com/office/drawing/2014/main" id="{00000000-0008-0000-0700-000094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29" name="Text Box 75">
          <a:extLst>
            <a:ext uri="{FF2B5EF4-FFF2-40B4-BE49-F238E27FC236}">
              <a16:creationId xmlns:a16="http://schemas.microsoft.com/office/drawing/2014/main" id="{00000000-0008-0000-0700-00009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30" name="Text Box 75">
          <a:extLst>
            <a:ext uri="{FF2B5EF4-FFF2-40B4-BE49-F238E27FC236}">
              <a16:creationId xmlns:a16="http://schemas.microsoft.com/office/drawing/2014/main" id="{00000000-0008-0000-0700-00009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31" name="Text Box 75">
          <a:extLst>
            <a:ext uri="{FF2B5EF4-FFF2-40B4-BE49-F238E27FC236}">
              <a16:creationId xmlns:a16="http://schemas.microsoft.com/office/drawing/2014/main" id="{00000000-0008-0000-0700-000097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32" name="Text Box 75">
          <a:extLst>
            <a:ext uri="{FF2B5EF4-FFF2-40B4-BE49-F238E27FC236}">
              <a16:creationId xmlns:a16="http://schemas.microsoft.com/office/drawing/2014/main" id="{00000000-0008-0000-0700-000098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33" name="Text Box 75">
          <a:extLst>
            <a:ext uri="{FF2B5EF4-FFF2-40B4-BE49-F238E27FC236}">
              <a16:creationId xmlns:a16="http://schemas.microsoft.com/office/drawing/2014/main" id="{00000000-0008-0000-0700-000099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34" name="Text Box 75">
          <a:extLst>
            <a:ext uri="{FF2B5EF4-FFF2-40B4-BE49-F238E27FC236}">
              <a16:creationId xmlns:a16="http://schemas.microsoft.com/office/drawing/2014/main" id="{00000000-0008-0000-0700-00009A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35" name="Text Box 75">
          <a:extLst>
            <a:ext uri="{FF2B5EF4-FFF2-40B4-BE49-F238E27FC236}">
              <a16:creationId xmlns:a16="http://schemas.microsoft.com/office/drawing/2014/main" id="{00000000-0008-0000-0700-00009B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36" name="Text Box 75">
          <a:extLst>
            <a:ext uri="{FF2B5EF4-FFF2-40B4-BE49-F238E27FC236}">
              <a16:creationId xmlns:a16="http://schemas.microsoft.com/office/drawing/2014/main" id="{00000000-0008-0000-0700-00009C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37" name="Text Box 75">
          <a:extLst>
            <a:ext uri="{FF2B5EF4-FFF2-40B4-BE49-F238E27FC236}">
              <a16:creationId xmlns:a16="http://schemas.microsoft.com/office/drawing/2014/main" id="{00000000-0008-0000-0700-00009D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38" name="Text Box 75">
          <a:extLst>
            <a:ext uri="{FF2B5EF4-FFF2-40B4-BE49-F238E27FC236}">
              <a16:creationId xmlns:a16="http://schemas.microsoft.com/office/drawing/2014/main" id="{00000000-0008-0000-0700-00009E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39" name="Text Box 75">
          <a:extLst>
            <a:ext uri="{FF2B5EF4-FFF2-40B4-BE49-F238E27FC236}">
              <a16:creationId xmlns:a16="http://schemas.microsoft.com/office/drawing/2014/main" id="{00000000-0008-0000-0700-00009F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40" name="Text Box 75">
          <a:extLst>
            <a:ext uri="{FF2B5EF4-FFF2-40B4-BE49-F238E27FC236}">
              <a16:creationId xmlns:a16="http://schemas.microsoft.com/office/drawing/2014/main" id="{00000000-0008-0000-0700-0000A0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41" name="Text Box 75">
          <a:extLst>
            <a:ext uri="{FF2B5EF4-FFF2-40B4-BE49-F238E27FC236}">
              <a16:creationId xmlns:a16="http://schemas.microsoft.com/office/drawing/2014/main" id="{00000000-0008-0000-0700-0000A1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42" name="Text Box 75">
          <a:extLst>
            <a:ext uri="{FF2B5EF4-FFF2-40B4-BE49-F238E27FC236}">
              <a16:creationId xmlns:a16="http://schemas.microsoft.com/office/drawing/2014/main" id="{00000000-0008-0000-0700-0000A2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43" name="Text Box 75">
          <a:extLst>
            <a:ext uri="{FF2B5EF4-FFF2-40B4-BE49-F238E27FC236}">
              <a16:creationId xmlns:a16="http://schemas.microsoft.com/office/drawing/2014/main" id="{00000000-0008-0000-0700-0000A3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44" name="Text Box 75">
          <a:extLst>
            <a:ext uri="{FF2B5EF4-FFF2-40B4-BE49-F238E27FC236}">
              <a16:creationId xmlns:a16="http://schemas.microsoft.com/office/drawing/2014/main" id="{00000000-0008-0000-0700-0000A4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45" name="Text Box 75">
          <a:extLst>
            <a:ext uri="{FF2B5EF4-FFF2-40B4-BE49-F238E27FC236}">
              <a16:creationId xmlns:a16="http://schemas.microsoft.com/office/drawing/2014/main" id="{00000000-0008-0000-0700-0000A5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46" name="Text Box 75">
          <a:extLst>
            <a:ext uri="{FF2B5EF4-FFF2-40B4-BE49-F238E27FC236}">
              <a16:creationId xmlns:a16="http://schemas.microsoft.com/office/drawing/2014/main" id="{00000000-0008-0000-0700-0000A6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47" name="Text Box 75">
          <a:extLst>
            <a:ext uri="{FF2B5EF4-FFF2-40B4-BE49-F238E27FC236}">
              <a16:creationId xmlns:a16="http://schemas.microsoft.com/office/drawing/2014/main" id="{00000000-0008-0000-0700-0000A7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48" name="Text Box 75">
          <a:extLst>
            <a:ext uri="{FF2B5EF4-FFF2-40B4-BE49-F238E27FC236}">
              <a16:creationId xmlns:a16="http://schemas.microsoft.com/office/drawing/2014/main" id="{00000000-0008-0000-0700-0000A8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49" name="Text Box 75">
          <a:extLst>
            <a:ext uri="{FF2B5EF4-FFF2-40B4-BE49-F238E27FC236}">
              <a16:creationId xmlns:a16="http://schemas.microsoft.com/office/drawing/2014/main" id="{00000000-0008-0000-0700-0000A9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50" name="Text Box 75">
          <a:extLst>
            <a:ext uri="{FF2B5EF4-FFF2-40B4-BE49-F238E27FC236}">
              <a16:creationId xmlns:a16="http://schemas.microsoft.com/office/drawing/2014/main" id="{00000000-0008-0000-0700-0000AA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51" name="Text Box 75">
          <a:extLst>
            <a:ext uri="{FF2B5EF4-FFF2-40B4-BE49-F238E27FC236}">
              <a16:creationId xmlns:a16="http://schemas.microsoft.com/office/drawing/2014/main" id="{00000000-0008-0000-0700-0000AB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52" name="Text Box 75">
          <a:extLst>
            <a:ext uri="{FF2B5EF4-FFF2-40B4-BE49-F238E27FC236}">
              <a16:creationId xmlns:a16="http://schemas.microsoft.com/office/drawing/2014/main" id="{00000000-0008-0000-0700-0000AC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28</xdr:row>
      <xdr:rowOff>3295650</xdr:rowOff>
    </xdr:from>
    <xdr:to>
      <xdr:col>131</xdr:col>
      <xdr:colOff>85725</xdr:colOff>
      <xdr:row>29</xdr:row>
      <xdr:rowOff>358987</xdr:rowOff>
    </xdr:to>
    <xdr:sp macro="" textlink="">
      <xdr:nvSpPr>
        <xdr:cNvPr id="1453" name="Text Box 75">
          <a:extLst>
            <a:ext uri="{FF2B5EF4-FFF2-40B4-BE49-F238E27FC236}">
              <a16:creationId xmlns:a16="http://schemas.microsoft.com/office/drawing/2014/main" id="{00000000-0008-0000-0700-0000AD05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55" name="Text Box 75">
          <a:extLst>
            <a:ext uri="{FF2B5EF4-FFF2-40B4-BE49-F238E27FC236}">
              <a16:creationId xmlns:a16="http://schemas.microsoft.com/office/drawing/2014/main" id="{00000000-0008-0000-0700-0000AF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56" name="Text Box 75">
          <a:extLst>
            <a:ext uri="{FF2B5EF4-FFF2-40B4-BE49-F238E27FC236}">
              <a16:creationId xmlns:a16="http://schemas.microsoft.com/office/drawing/2014/main" id="{00000000-0008-0000-0700-0000B0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57" name="Text Box 75">
          <a:extLst>
            <a:ext uri="{FF2B5EF4-FFF2-40B4-BE49-F238E27FC236}">
              <a16:creationId xmlns:a16="http://schemas.microsoft.com/office/drawing/2014/main" id="{00000000-0008-0000-0700-0000B1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58" name="Text Box 75">
          <a:extLst>
            <a:ext uri="{FF2B5EF4-FFF2-40B4-BE49-F238E27FC236}">
              <a16:creationId xmlns:a16="http://schemas.microsoft.com/office/drawing/2014/main" id="{00000000-0008-0000-0700-0000B2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59" name="Text Box 75">
          <a:extLst>
            <a:ext uri="{FF2B5EF4-FFF2-40B4-BE49-F238E27FC236}">
              <a16:creationId xmlns:a16="http://schemas.microsoft.com/office/drawing/2014/main" id="{00000000-0008-0000-0700-0000B3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0" name="Text Box 75">
          <a:extLst>
            <a:ext uri="{FF2B5EF4-FFF2-40B4-BE49-F238E27FC236}">
              <a16:creationId xmlns:a16="http://schemas.microsoft.com/office/drawing/2014/main" id="{00000000-0008-0000-0700-0000B4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1" name="Text Box 75">
          <a:extLst>
            <a:ext uri="{FF2B5EF4-FFF2-40B4-BE49-F238E27FC236}">
              <a16:creationId xmlns:a16="http://schemas.microsoft.com/office/drawing/2014/main" id="{00000000-0008-0000-0700-0000B5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2" name="Text Box 75">
          <a:extLst>
            <a:ext uri="{FF2B5EF4-FFF2-40B4-BE49-F238E27FC236}">
              <a16:creationId xmlns:a16="http://schemas.microsoft.com/office/drawing/2014/main" id="{00000000-0008-0000-0700-0000B6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3" name="Text Box 75">
          <a:extLst>
            <a:ext uri="{FF2B5EF4-FFF2-40B4-BE49-F238E27FC236}">
              <a16:creationId xmlns:a16="http://schemas.microsoft.com/office/drawing/2014/main" id="{00000000-0008-0000-0700-0000B7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4" name="Text Box 75">
          <a:extLst>
            <a:ext uri="{FF2B5EF4-FFF2-40B4-BE49-F238E27FC236}">
              <a16:creationId xmlns:a16="http://schemas.microsoft.com/office/drawing/2014/main" id="{00000000-0008-0000-0700-0000B8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5" name="Text Box 75">
          <a:extLst>
            <a:ext uri="{FF2B5EF4-FFF2-40B4-BE49-F238E27FC236}">
              <a16:creationId xmlns:a16="http://schemas.microsoft.com/office/drawing/2014/main" id="{00000000-0008-0000-0700-0000B9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6" name="Text Box 75">
          <a:extLst>
            <a:ext uri="{FF2B5EF4-FFF2-40B4-BE49-F238E27FC236}">
              <a16:creationId xmlns:a16="http://schemas.microsoft.com/office/drawing/2014/main" id="{00000000-0008-0000-0700-0000BA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7" name="Text Box 75">
          <a:extLst>
            <a:ext uri="{FF2B5EF4-FFF2-40B4-BE49-F238E27FC236}">
              <a16:creationId xmlns:a16="http://schemas.microsoft.com/office/drawing/2014/main" id="{00000000-0008-0000-0700-0000BB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8" name="Text Box 75">
          <a:extLst>
            <a:ext uri="{FF2B5EF4-FFF2-40B4-BE49-F238E27FC236}">
              <a16:creationId xmlns:a16="http://schemas.microsoft.com/office/drawing/2014/main" id="{00000000-0008-0000-0700-0000BC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69" name="Text Box 75">
          <a:extLst>
            <a:ext uri="{FF2B5EF4-FFF2-40B4-BE49-F238E27FC236}">
              <a16:creationId xmlns:a16="http://schemas.microsoft.com/office/drawing/2014/main" id="{00000000-0008-0000-0700-0000BD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0" name="Text Box 75">
          <a:extLst>
            <a:ext uri="{FF2B5EF4-FFF2-40B4-BE49-F238E27FC236}">
              <a16:creationId xmlns:a16="http://schemas.microsoft.com/office/drawing/2014/main" id="{00000000-0008-0000-0700-0000BE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1" name="Text Box 75">
          <a:extLst>
            <a:ext uri="{FF2B5EF4-FFF2-40B4-BE49-F238E27FC236}">
              <a16:creationId xmlns:a16="http://schemas.microsoft.com/office/drawing/2014/main" id="{00000000-0008-0000-0700-0000BF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2" name="Text Box 75">
          <a:extLst>
            <a:ext uri="{FF2B5EF4-FFF2-40B4-BE49-F238E27FC236}">
              <a16:creationId xmlns:a16="http://schemas.microsoft.com/office/drawing/2014/main" id="{00000000-0008-0000-0700-0000C0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3" name="Text Box 75">
          <a:extLst>
            <a:ext uri="{FF2B5EF4-FFF2-40B4-BE49-F238E27FC236}">
              <a16:creationId xmlns:a16="http://schemas.microsoft.com/office/drawing/2014/main" id="{00000000-0008-0000-0700-0000C1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4" name="Text Box 75">
          <a:extLst>
            <a:ext uri="{FF2B5EF4-FFF2-40B4-BE49-F238E27FC236}">
              <a16:creationId xmlns:a16="http://schemas.microsoft.com/office/drawing/2014/main" id="{00000000-0008-0000-0700-0000C2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5" name="Text Box 75">
          <a:extLst>
            <a:ext uri="{FF2B5EF4-FFF2-40B4-BE49-F238E27FC236}">
              <a16:creationId xmlns:a16="http://schemas.microsoft.com/office/drawing/2014/main" id="{00000000-0008-0000-0700-0000C3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6" name="Text Box 75">
          <a:extLst>
            <a:ext uri="{FF2B5EF4-FFF2-40B4-BE49-F238E27FC236}">
              <a16:creationId xmlns:a16="http://schemas.microsoft.com/office/drawing/2014/main" id="{00000000-0008-0000-0700-0000C4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7" name="Text Box 75">
          <a:extLst>
            <a:ext uri="{FF2B5EF4-FFF2-40B4-BE49-F238E27FC236}">
              <a16:creationId xmlns:a16="http://schemas.microsoft.com/office/drawing/2014/main" id="{00000000-0008-0000-0700-0000C5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8" name="Text Box 75">
          <a:extLst>
            <a:ext uri="{FF2B5EF4-FFF2-40B4-BE49-F238E27FC236}">
              <a16:creationId xmlns:a16="http://schemas.microsoft.com/office/drawing/2014/main" id="{00000000-0008-0000-0700-0000C6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79" name="Text Box 75">
          <a:extLst>
            <a:ext uri="{FF2B5EF4-FFF2-40B4-BE49-F238E27FC236}">
              <a16:creationId xmlns:a16="http://schemas.microsoft.com/office/drawing/2014/main" id="{00000000-0008-0000-0700-0000C7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0" name="Text Box 75">
          <a:extLst>
            <a:ext uri="{FF2B5EF4-FFF2-40B4-BE49-F238E27FC236}">
              <a16:creationId xmlns:a16="http://schemas.microsoft.com/office/drawing/2014/main" id="{00000000-0008-0000-0700-0000C8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1" name="Text Box 75">
          <a:extLst>
            <a:ext uri="{FF2B5EF4-FFF2-40B4-BE49-F238E27FC236}">
              <a16:creationId xmlns:a16="http://schemas.microsoft.com/office/drawing/2014/main" id="{00000000-0008-0000-0700-0000C9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2" name="Text Box 75">
          <a:extLst>
            <a:ext uri="{FF2B5EF4-FFF2-40B4-BE49-F238E27FC236}">
              <a16:creationId xmlns:a16="http://schemas.microsoft.com/office/drawing/2014/main" id="{00000000-0008-0000-0700-0000CA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3" name="Text Box 75">
          <a:extLst>
            <a:ext uri="{FF2B5EF4-FFF2-40B4-BE49-F238E27FC236}">
              <a16:creationId xmlns:a16="http://schemas.microsoft.com/office/drawing/2014/main" id="{00000000-0008-0000-0700-0000CB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4" name="Text Box 75">
          <a:extLst>
            <a:ext uri="{FF2B5EF4-FFF2-40B4-BE49-F238E27FC236}">
              <a16:creationId xmlns:a16="http://schemas.microsoft.com/office/drawing/2014/main" id="{00000000-0008-0000-0700-0000CC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5" name="Text Box 75">
          <a:extLst>
            <a:ext uri="{FF2B5EF4-FFF2-40B4-BE49-F238E27FC236}">
              <a16:creationId xmlns:a16="http://schemas.microsoft.com/office/drawing/2014/main" id="{00000000-0008-0000-0700-0000CD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6" name="Text Box 75">
          <a:extLst>
            <a:ext uri="{FF2B5EF4-FFF2-40B4-BE49-F238E27FC236}">
              <a16:creationId xmlns:a16="http://schemas.microsoft.com/office/drawing/2014/main" id="{00000000-0008-0000-0700-0000CE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7" name="Text Box 75">
          <a:extLst>
            <a:ext uri="{FF2B5EF4-FFF2-40B4-BE49-F238E27FC236}">
              <a16:creationId xmlns:a16="http://schemas.microsoft.com/office/drawing/2014/main" id="{00000000-0008-0000-0700-0000CF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8" name="Text Box 75">
          <a:extLst>
            <a:ext uri="{FF2B5EF4-FFF2-40B4-BE49-F238E27FC236}">
              <a16:creationId xmlns:a16="http://schemas.microsoft.com/office/drawing/2014/main" id="{00000000-0008-0000-0700-0000D0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89" name="Text Box 75">
          <a:extLst>
            <a:ext uri="{FF2B5EF4-FFF2-40B4-BE49-F238E27FC236}">
              <a16:creationId xmlns:a16="http://schemas.microsoft.com/office/drawing/2014/main" id="{00000000-0008-0000-0700-0000D1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0" name="Text Box 75">
          <a:extLst>
            <a:ext uri="{FF2B5EF4-FFF2-40B4-BE49-F238E27FC236}">
              <a16:creationId xmlns:a16="http://schemas.microsoft.com/office/drawing/2014/main" id="{00000000-0008-0000-0700-0000D2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1" name="Text Box 75">
          <a:extLst>
            <a:ext uri="{FF2B5EF4-FFF2-40B4-BE49-F238E27FC236}">
              <a16:creationId xmlns:a16="http://schemas.microsoft.com/office/drawing/2014/main" id="{00000000-0008-0000-0700-0000D3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2" name="Text Box 75">
          <a:extLst>
            <a:ext uri="{FF2B5EF4-FFF2-40B4-BE49-F238E27FC236}">
              <a16:creationId xmlns:a16="http://schemas.microsoft.com/office/drawing/2014/main" id="{00000000-0008-0000-0700-0000D4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3" name="Text Box 75">
          <a:extLst>
            <a:ext uri="{FF2B5EF4-FFF2-40B4-BE49-F238E27FC236}">
              <a16:creationId xmlns:a16="http://schemas.microsoft.com/office/drawing/2014/main" id="{00000000-0008-0000-0700-0000D5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4" name="Text Box 75">
          <a:extLst>
            <a:ext uri="{FF2B5EF4-FFF2-40B4-BE49-F238E27FC236}">
              <a16:creationId xmlns:a16="http://schemas.microsoft.com/office/drawing/2014/main" id="{00000000-0008-0000-0700-0000D6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5" name="Text Box 75">
          <a:extLst>
            <a:ext uri="{FF2B5EF4-FFF2-40B4-BE49-F238E27FC236}">
              <a16:creationId xmlns:a16="http://schemas.microsoft.com/office/drawing/2014/main" id="{00000000-0008-0000-0700-0000D7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6" name="Text Box 75">
          <a:extLst>
            <a:ext uri="{FF2B5EF4-FFF2-40B4-BE49-F238E27FC236}">
              <a16:creationId xmlns:a16="http://schemas.microsoft.com/office/drawing/2014/main" id="{00000000-0008-0000-0700-0000D8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7" name="Text Box 75">
          <a:extLst>
            <a:ext uri="{FF2B5EF4-FFF2-40B4-BE49-F238E27FC236}">
              <a16:creationId xmlns:a16="http://schemas.microsoft.com/office/drawing/2014/main" id="{00000000-0008-0000-0700-0000D9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8" name="Text Box 75">
          <a:extLst>
            <a:ext uri="{FF2B5EF4-FFF2-40B4-BE49-F238E27FC236}">
              <a16:creationId xmlns:a16="http://schemas.microsoft.com/office/drawing/2014/main" id="{00000000-0008-0000-0700-0000DA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499" name="Text Box 75">
          <a:extLst>
            <a:ext uri="{FF2B5EF4-FFF2-40B4-BE49-F238E27FC236}">
              <a16:creationId xmlns:a16="http://schemas.microsoft.com/office/drawing/2014/main" id="{00000000-0008-0000-0700-0000DB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0" name="Text Box 75">
          <a:extLst>
            <a:ext uri="{FF2B5EF4-FFF2-40B4-BE49-F238E27FC236}">
              <a16:creationId xmlns:a16="http://schemas.microsoft.com/office/drawing/2014/main" id="{00000000-0008-0000-0700-0000DC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1" name="Text Box 75">
          <a:extLst>
            <a:ext uri="{FF2B5EF4-FFF2-40B4-BE49-F238E27FC236}">
              <a16:creationId xmlns:a16="http://schemas.microsoft.com/office/drawing/2014/main" id="{00000000-0008-0000-0700-0000DD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2" name="Text Box 75">
          <a:extLst>
            <a:ext uri="{FF2B5EF4-FFF2-40B4-BE49-F238E27FC236}">
              <a16:creationId xmlns:a16="http://schemas.microsoft.com/office/drawing/2014/main" id="{00000000-0008-0000-0700-0000DE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3" name="Text Box 75">
          <a:extLst>
            <a:ext uri="{FF2B5EF4-FFF2-40B4-BE49-F238E27FC236}">
              <a16:creationId xmlns:a16="http://schemas.microsoft.com/office/drawing/2014/main" id="{00000000-0008-0000-0700-0000DF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4" name="Text Box 75">
          <a:extLst>
            <a:ext uri="{FF2B5EF4-FFF2-40B4-BE49-F238E27FC236}">
              <a16:creationId xmlns:a16="http://schemas.microsoft.com/office/drawing/2014/main" id="{00000000-0008-0000-0700-0000E0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5" name="Text Box 75">
          <a:extLst>
            <a:ext uri="{FF2B5EF4-FFF2-40B4-BE49-F238E27FC236}">
              <a16:creationId xmlns:a16="http://schemas.microsoft.com/office/drawing/2014/main" id="{00000000-0008-0000-0700-0000E1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6" name="Text Box 75">
          <a:extLst>
            <a:ext uri="{FF2B5EF4-FFF2-40B4-BE49-F238E27FC236}">
              <a16:creationId xmlns:a16="http://schemas.microsoft.com/office/drawing/2014/main" id="{00000000-0008-0000-0700-0000E2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7" name="Text Box 75">
          <a:extLst>
            <a:ext uri="{FF2B5EF4-FFF2-40B4-BE49-F238E27FC236}">
              <a16:creationId xmlns:a16="http://schemas.microsoft.com/office/drawing/2014/main" id="{00000000-0008-0000-0700-0000E3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8" name="Text Box 75">
          <a:extLst>
            <a:ext uri="{FF2B5EF4-FFF2-40B4-BE49-F238E27FC236}">
              <a16:creationId xmlns:a16="http://schemas.microsoft.com/office/drawing/2014/main" id="{00000000-0008-0000-0700-0000E4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09" name="Text Box 75">
          <a:extLst>
            <a:ext uri="{FF2B5EF4-FFF2-40B4-BE49-F238E27FC236}">
              <a16:creationId xmlns:a16="http://schemas.microsoft.com/office/drawing/2014/main" id="{00000000-0008-0000-0700-0000E5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0" name="Text Box 75">
          <a:extLst>
            <a:ext uri="{FF2B5EF4-FFF2-40B4-BE49-F238E27FC236}">
              <a16:creationId xmlns:a16="http://schemas.microsoft.com/office/drawing/2014/main" id="{00000000-0008-0000-0700-0000E6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1" name="Text Box 75">
          <a:extLst>
            <a:ext uri="{FF2B5EF4-FFF2-40B4-BE49-F238E27FC236}">
              <a16:creationId xmlns:a16="http://schemas.microsoft.com/office/drawing/2014/main" id="{00000000-0008-0000-0700-0000E7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2" name="Text Box 75">
          <a:extLst>
            <a:ext uri="{FF2B5EF4-FFF2-40B4-BE49-F238E27FC236}">
              <a16:creationId xmlns:a16="http://schemas.microsoft.com/office/drawing/2014/main" id="{00000000-0008-0000-0700-0000E8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3" name="Text Box 75">
          <a:extLst>
            <a:ext uri="{FF2B5EF4-FFF2-40B4-BE49-F238E27FC236}">
              <a16:creationId xmlns:a16="http://schemas.microsoft.com/office/drawing/2014/main" id="{00000000-0008-0000-0700-0000E9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4" name="Text Box 75">
          <a:extLst>
            <a:ext uri="{FF2B5EF4-FFF2-40B4-BE49-F238E27FC236}">
              <a16:creationId xmlns:a16="http://schemas.microsoft.com/office/drawing/2014/main" id="{00000000-0008-0000-0700-0000EA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5" name="Text Box 75">
          <a:extLst>
            <a:ext uri="{FF2B5EF4-FFF2-40B4-BE49-F238E27FC236}">
              <a16:creationId xmlns:a16="http://schemas.microsoft.com/office/drawing/2014/main" id="{00000000-0008-0000-0700-0000EB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6" name="Text Box 75">
          <a:extLst>
            <a:ext uri="{FF2B5EF4-FFF2-40B4-BE49-F238E27FC236}">
              <a16:creationId xmlns:a16="http://schemas.microsoft.com/office/drawing/2014/main" id="{00000000-0008-0000-0700-0000EC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7" name="Text Box 75">
          <a:extLst>
            <a:ext uri="{FF2B5EF4-FFF2-40B4-BE49-F238E27FC236}">
              <a16:creationId xmlns:a16="http://schemas.microsoft.com/office/drawing/2014/main" id="{00000000-0008-0000-0700-0000ED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8" name="Text Box 75">
          <a:extLst>
            <a:ext uri="{FF2B5EF4-FFF2-40B4-BE49-F238E27FC236}">
              <a16:creationId xmlns:a16="http://schemas.microsoft.com/office/drawing/2014/main" id="{00000000-0008-0000-0700-0000EE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19" name="Text Box 75">
          <a:extLst>
            <a:ext uri="{FF2B5EF4-FFF2-40B4-BE49-F238E27FC236}">
              <a16:creationId xmlns:a16="http://schemas.microsoft.com/office/drawing/2014/main" id="{00000000-0008-0000-0700-0000EF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0" name="Text Box 75">
          <a:extLst>
            <a:ext uri="{FF2B5EF4-FFF2-40B4-BE49-F238E27FC236}">
              <a16:creationId xmlns:a16="http://schemas.microsoft.com/office/drawing/2014/main" id="{00000000-0008-0000-0700-0000F0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1" name="Text Box 75">
          <a:extLst>
            <a:ext uri="{FF2B5EF4-FFF2-40B4-BE49-F238E27FC236}">
              <a16:creationId xmlns:a16="http://schemas.microsoft.com/office/drawing/2014/main" id="{00000000-0008-0000-0700-0000F1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2" name="Text Box 75">
          <a:extLst>
            <a:ext uri="{FF2B5EF4-FFF2-40B4-BE49-F238E27FC236}">
              <a16:creationId xmlns:a16="http://schemas.microsoft.com/office/drawing/2014/main" id="{00000000-0008-0000-0700-0000F2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3" name="Text Box 75">
          <a:extLst>
            <a:ext uri="{FF2B5EF4-FFF2-40B4-BE49-F238E27FC236}">
              <a16:creationId xmlns:a16="http://schemas.microsoft.com/office/drawing/2014/main" id="{00000000-0008-0000-0700-0000F3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4" name="Text Box 75">
          <a:extLst>
            <a:ext uri="{FF2B5EF4-FFF2-40B4-BE49-F238E27FC236}">
              <a16:creationId xmlns:a16="http://schemas.microsoft.com/office/drawing/2014/main" id="{00000000-0008-0000-0700-0000F4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5" name="Text Box 75">
          <a:extLst>
            <a:ext uri="{FF2B5EF4-FFF2-40B4-BE49-F238E27FC236}">
              <a16:creationId xmlns:a16="http://schemas.microsoft.com/office/drawing/2014/main" id="{00000000-0008-0000-0700-0000F5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6" name="Text Box 75">
          <a:extLst>
            <a:ext uri="{FF2B5EF4-FFF2-40B4-BE49-F238E27FC236}">
              <a16:creationId xmlns:a16="http://schemas.microsoft.com/office/drawing/2014/main" id="{00000000-0008-0000-0700-0000F6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7" name="Text Box 75">
          <a:extLst>
            <a:ext uri="{FF2B5EF4-FFF2-40B4-BE49-F238E27FC236}">
              <a16:creationId xmlns:a16="http://schemas.microsoft.com/office/drawing/2014/main" id="{00000000-0008-0000-0700-0000F7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8" name="Text Box 75">
          <a:extLst>
            <a:ext uri="{FF2B5EF4-FFF2-40B4-BE49-F238E27FC236}">
              <a16:creationId xmlns:a16="http://schemas.microsoft.com/office/drawing/2014/main" id="{00000000-0008-0000-0700-0000F8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29" name="Text Box 75">
          <a:extLst>
            <a:ext uri="{FF2B5EF4-FFF2-40B4-BE49-F238E27FC236}">
              <a16:creationId xmlns:a16="http://schemas.microsoft.com/office/drawing/2014/main" id="{00000000-0008-0000-0700-0000F9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0" name="Text Box 75">
          <a:extLst>
            <a:ext uri="{FF2B5EF4-FFF2-40B4-BE49-F238E27FC236}">
              <a16:creationId xmlns:a16="http://schemas.microsoft.com/office/drawing/2014/main" id="{00000000-0008-0000-0700-0000FA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1" name="Text Box 75">
          <a:extLst>
            <a:ext uri="{FF2B5EF4-FFF2-40B4-BE49-F238E27FC236}">
              <a16:creationId xmlns:a16="http://schemas.microsoft.com/office/drawing/2014/main" id="{00000000-0008-0000-0700-0000FB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2" name="Text Box 75">
          <a:extLst>
            <a:ext uri="{FF2B5EF4-FFF2-40B4-BE49-F238E27FC236}">
              <a16:creationId xmlns:a16="http://schemas.microsoft.com/office/drawing/2014/main" id="{00000000-0008-0000-0700-0000FC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3" name="Text Box 75">
          <a:extLst>
            <a:ext uri="{FF2B5EF4-FFF2-40B4-BE49-F238E27FC236}">
              <a16:creationId xmlns:a16="http://schemas.microsoft.com/office/drawing/2014/main" id="{00000000-0008-0000-0700-0000FD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4" name="Text Box 75">
          <a:extLst>
            <a:ext uri="{FF2B5EF4-FFF2-40B4-BE49-F238E27FC236}">
              <a16:creationId xmlns:a16="http://schemas.microsoft.com/office/drawing/2014/main" id="{00000000-0008-0000-0700-0000FE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5" name="Text Box 75">
          <a:extLst>
            <a:ext uri="{FF2B5EF4-FFF2-40B4-BE49-F238E27FC236}">
              <a16:creationId xmlns:a16="http://schemas.microsoft.com/office/drawing/2014/main" id="{00000000-0008-0000-0700-0000FF05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6" name="Text Box 75">
          <a:extLst>
            <a:ext uri="{FF2B5EF4-FFF2-40B4-BE49-F238E27FC236}">
              <a16:creationId xmlns:a16="http://schemas.microsoft.com/office/drawing/2014/main" id="{00000000-0008-0000-0700-000000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7" name="Text Box 75">
          <a:extLst>
            <a:ext uri="{FF2B5EF4-FFF2-40B4-BE49-F238E27FC236}">
              <a16:creationId xmlns:a16="http://schemas.microsoft.com/office/drawing/2014/main" id="{00000000-0008-0000-0700-000001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8" name="Text Box 75">
          <a:extLst>
            <a:ext uri="{FF2B5EF4-FFF2-40B4-BE49-F238E27FC236}">
              <a16:creationId xmlns:a16="http://schemas.microsoft.com/office/drawing/2014/main" id="{00000000-0008-0000-0700-000002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39" name="Text Box 75">
          <a:extLst>
            <a:ext uri="{FF2B5EF4-FFF2-40B4-BE49-F238E27FC236}">
              <a16:creationId xmlns:a16="http://schemas.microsoft.com/office/drawing/2014/main" id="{00000000-0008-0000-0700-000003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40" name="Text Box 75">
          <a:extLst>
            <a:ext uri="{FF2B5EF4-FFF2-40B4-BE49-F238E27FC236}">
              <a16:creationId xmlns:a16="http://schemas.microsoft.com/office/drawing/2014/main" id="{00000000-0008-0000-0700-000004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41" name="Text Box 75">
          <a:extLst>
            <a:ext uri="{FF2B5EF4-FFF2-40B4-BE49-F238E27FC236}">
              <a16:creationId xmlns:a16="http://schemas.microsoft.com/office/drawing/2014/main" id="{00000000-0008-0000-0700-00000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42" name="Text Box 75">
          <a:extLst>
            <a:ext uri="{FF2B5EF4-FFF2-40B4-BE49-F238E27FC236}">
              <a16:creationId xmlns:a16="http://schemas.microsoft.com/office/drawing/2014/main" id="{00000000-0008-0000-0700-00000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43" name="Text Box 75">
          <a:extLst>
            <a:ext uri="{FF2B5EF4-FFF2-40B4-BE49-F238E27FC236}">
              <a16:creationId xmlns:a16="http://schemas.microsoft.com/office/drawing/2014/main" id="{00000000-0008-0000-0700-000007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44" name="Text Box 75">
          <a:extLst>
            <a:ext uri="{FF2B5EF4-FFF2-40B4-BE49-F238E27FC236}">
              <a16:creationId xmlns:a16="http://schemas.microsoft.com/office/drawing/2014/main" id="{00000000-0008-0000-0700-000008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45" name="Text Box 75">
          <a:extLst>
            <a:ext uri="{FF2B5EF4-FFF2-40B4-BE49-F238E27FC236}">
              <a16:creationId xmlns:a16="http://schemas.microsoft.com/office/drawing/2014/main" id="{00000000-0008-0000-0700-000009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46" name="Text Box 75">
          <a:extLst>
            <a:ext uri="{FF2B5EF4-FFF2-40B4-BE49-F238E27FC236}">
              <a16:creationId xmlns:a16="http://schemas.microsoft.com/office/drawing/2014/main" id="{00000000-0008-0000-0700-00000A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47" name="Text Box 75">
          <a:extLst>
            <a:ext uri="{FF2B5EF4-FFF2-40B4-BE49-F238E27FC236}">
              <a16:creationId xmlns:a16="http://schemas.microsoft.com/office/drawing/2014/main" id="{00000000-0008-0000-0700-00000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48" name="Text Box 75">
          <a:extLst>
            <a:ext uri="{FF2B5EF4-FFF2-40B4-BE49-F238E27FC236}">
              <a16:creationId xmlns:a16="http://schemas.microsoft.com/office/drawing/2014/main" id="{00000000-0008-0000-0700-00000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49" name="Text Box 75">
          <a:extLst>
            <a:ext uri="{FF2B5EF4-FFF2-40B4-BE49-F238E27FC236}">
              <a16:creationId xmlns:a16="http://schemas.microsoft.com/office/drawing/2014/main" id="{00000000-0008-0000-0700-00000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50" name="Text Box 75">
          <a:extLst>
            <a:ext uri="{FF2B5EF4-FFF2-40B4-BE49-F238E27FC236}">
              <a16:creationId xmlns:a16="http://schemas.microsoft.com/office/drawing/2014/main" id="{00000000-0008-0000-0700-00000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51" name="Text Box 75">
          <a:extLst>
            <a:ext uri="{FF2B5EF4-FFF2-40B4-BE49-F238E27FC236}">
              <a16:creationId xmlns:a16="http://schemas.microsoft.com/office/drawing/2014/main" id="{00000000-0008-0000-0700-00000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52" name="Text Box 75">
          <a:extLst>
            <a:ext uri="{FF2B5EF4-FFF2-40B4-BE49-F238E27FC236}">
              <a16:creationId xmlns:a16="http://schemas.microsoft.com/office/drawing/2014/main" id="{00000000-0008-0000-0700-00001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53" name="Text Box 75">
          <a:extLst>
            <a:ext uri="{FF2B5EF4-FFF2-40B4-BE49-F238E27FC236}">
              <a16:creationId xmlns:a16="http://schemas.microsoft.com/office/drawing/2014/main" id="{00000000-0008-0000-0700-000011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54" name="Text Box 75">
          <a:extLst>
            <a:ext uri="{FF2B5EF4-FFF2-40B4-BE49-F238E27FC236}">
              <a16:creationId xmlns:a16="http://schemas.microsoft.com/office/drawing/2014/main" id="{00000000-0008-0000-0700-000012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55" name="Text Box 75">
          <a:extLst>
            <a:ext uri="{FF2B5EF4-FFF2-40B4-BE49-F238E27FC236}">
              <a16:creationId xmlns:a16="http://schemas.microsoft.com/office/drawing/2014/main" id="{00000000-0008-0000-0700-000013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56" name="Text Box 75">
          <a:extLst>
            <a:ext uri="{FF2B5EF4-FFF2-40B4-BE49-F238E27FC236}">
              <a16:creationId xmlns:a16="http://schemas.microsoft.com/office/drawing/2014/main" id="{00000000-0008-0000-0700-000014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57" name="Text Box 75">
          <a:extLst>
            <a:ext uri="{FF2B5EF4-FFF2-40B4-BE49-F238E27FC236}">
              <a16:creationId xmlns:a16="http://schemas.microsoft.com/office/drawing/2014/main" id="{00000000-0008-0000-0700-000015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58" name="Text Box 75">
          <a:extLst>
            <a:ext uri="{FF2B5EF4-FFF2-40B4-BE49-F238E27FC236}">
              <a16:creationId xmlns:a16="http://schemas.microsoft.com/office/drawing/2014/main" id="{00000000-0008-0000-0700-000016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59" name="Text Box 75">
          <a:extLst>
            <a:ext uri="{FF2B5EF4-FFF2-40B4-BE49-F238E27FC236}">
              <a16:creationId xmlns:a16="http://schemas.microsoft.com/office/drawing/2014/main" id="{00000000-0008-0000-0700-00001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60" name="Text Box 75">
          <a:extLst>
            <a:ext uri="{FF2B5EF4-FFF2-40B4-BE49-F238E27FC236}">
              <a16:creationId xmlns:a16="http://schemas.microsoft.com/office/drawing/2014/main" id="{00000000-0008-0000-0700-00001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61" name="Text Box 75">
          <a:extLst>
            <a:ext uri="{FF2B5EF4-FFF2-40B4-BE49-F238E27FC236}">
              <a16:creationId xmlns:a16="http://schemas.microsoft.com/office/drawing/2014/main" id="{00000000-0008-0000-0700-000019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62" name="Text Box 75">
          <a:extLst>
            <a:ext uri="{FF2B5EF4-FFF2-40B4-BE49-F238E27FC236}">
              <a16:creationId xmlns:a16="http://schemas.microsoft.com/office/drawing/2014/main" id="{00000000-0008-0000-0700-00001A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29</xdr:row>
      <xdr:rowOff>3295650</xdr:rowOff>
    </xdr:from>
    <xdr:to>
      <xdr:col>131</xdr:col>
      <xdr:colOff>85725</xdr:colOff>
      <xdr:row>30</xdr:row>
      <xdr:rowOff>343621</xdr:rowOff>
    </xdr:to>
    <xdr:sp macro="" textlink="">
      <xdr:nvSpPr>
        <xdr:cNvPr id="1563" name="Text Box 75">
          <a:extLst>
            <a:ext uri="{FF2B5EF4-FFF2-40B4-BE49-F238E27FC236}">
              <a16:creationId xmlns:a16="http://schemas.microsoft.com/office/drawing/2014/main" id="{00000000-0008-0000-0700-00001B060000}"/>
            </a:ext>
          </a:extLst>
        </xdr:cNvPr>
        <xdr:cNvSpPr txBox="1">
          <a:spLocks noChangeArrowheads="1"/>
        </xdr:cNvSpPr>
      </xdr:nvSpPr>
      <xdr:spPr bwMode="auto">
        <a:xfrm>
          <a:off x="7543800" y="22974300"/>
          <a:ext cx="85725" cy="340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65" name="Text Box 75">
          <a:extLst>
            <a:ext uri="{FF2B5EF4-FFF2-40B4-BE49-F238E27FC236}">
              <a16:creationId xmlns:a16="http://schemas.microsoft.com/office/drawing/2014/main" id="{00000000-0008-0000-0700-00001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66" name="Text Box 75">
          <a:extLst>
            <a:ext uri="{FF2B5EF4-FFF2-40B4-BE49-F238E27FC236}">
              <a16:creationId xmlns:a16="http://schemas.microsoft.com/office/drawing/2014/main" id="{00000000-0008-0000-0700-00001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67" name="Text Box 75">
          <a:extLst>
            <a:ext uri="{FF2B5EF4-FFF2-40B4-BE49-F238E27FC236}">
              <a16:creationId xmlns:a16="http://schemas.microsoft.com/office/drawing/2014/main" id="{00000000-0008-0000-0700-00001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68" name="Text Box 75">
          <a:extLst>
            <a:ext uri="{FF2B5EF4-FFF2-40B4-BE49-F238E27FC236}">
              <a16:creationId xmlns:a16="http://schemas.microsoft.com/office/drawing/2014/main" id="{00000000-0008-0000-0700-00002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69" name="Text Box 75">
          <a:extLst>
            <a:ext uri="{FF2B5EF4-FFF2-40B4-BE49-F238E27FC236}">
              <a16:creationId xmlns:a16="http://schemas.microsoft.com/office/drawing/2014/main" id="{00000000-0008-0000-0700-00002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0" name="Text Box 75">
          <a:extLst>
            <a:ext uri="{FF2B5EF4-FFF2-40B4-BE49-F238E27FC236}">
              <a16:creationId xmlns:a16="http://schemas.microsoft.com/office/drawing/2014/main" id="{00000000-0008-0000-0700-00002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1" name="Text Box 75">
          <a:extLst>
            <a:ext uri="{FF2B5EF4-FFF2-40B4-BE49-F238E27FC236}">
              <a16:creationId xmlns:a16="http://schemas.microsoft.com/office/drawing/2014/main" id="{00000000-0008-0000-0700-00002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2" name="Text Box 75">
          <a:extLst>
            <a:ext uri="{FF2B5EF4-FFF2-40B4-BE49-F238E27FC236}">
              <a16:creationId xmlns:a16="http://schemas.microsoft.com/office/drawing/2014/main" id="{00000000-0008-0000-0700-00002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3" name="Text Box 75">
          <a:extLst>
            <a:ext uri="{FF2B5EF4-FFF2-40B4-BE49-F238E27FC236}">
              <a16:creationId xmlns:a16="http://schemas.microsoft.com/office/drawing/2014/main" id="{00000000-0008-0000-0700-00002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4" name="Text Box 75">
          <a:extLst>
            <a:ext uri="{FF2B5EF4-FFF2-40B4-BE49-F238E27FC236}">
              <a16:creationId xmlns:a16="http://schemas.microsoft.com/office/drawing/2014/main" id="{00000000-0008-0000-0700-00002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5" name="Text Box 75">
          <a:extLst>
            <a:ext uri="{FF2B5EF4-FFF2-40B4-BE49-F238E27FC236}">
              <a16:creationId xmlns:a16="http://schemas.microsoft.com/office/drawing/2014/main" id="{00000000-0008-0000-0700-00002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6" name="Text Box 75">
          <a:extLst>
            <a:ext uri="{FF2B5EF4-FFF2-40B4-BE49-F238E27FC236}">
              <a16:creationId xmlns:a16="http://schemas.microsoft.com/office/drawing/2014/main" id="{00000000-0008-0000-0700-00002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7" name="Text Box 75">
          <a:extLst>
            <a:ext uri="{FF2B5EF4-FFF2-40B4-BE49-F238E27FC236}">
              <a16:creationId xmlns:a16="http://schemas.microsoft.com/office/drawing/2014/main" id="{00000000-0008-0000-0700-00002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8" name="Text Box 75">
          <a:extLst>
            <a:ext uri="{FF2B5EF4-FFF2-40B4-BE49-F238E27FC236}">
              <a16:creationId xmlns:a16="http://schemas.microsoft.com/office/drawing/2014/main" id="{00000000-0008-0000-0700-00002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79" name="Text Box 75">
          <a:extLst>
            <a:ext uri="{FF2B5EF4-FFF2-40B4-BE49-F238E27FC236}">
              <a16:creationId xmlns:a16="http://schemas.microsoft.com/office/drawing/2014/main" id="{00000000-0008-0000-0700-00002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0" name="Text Box 75">
          <a:extLst>
            <a:ext uri="{FF2B5EF4-FFF2-40B4-BE49-F238E27FC236}">
              <a16:creationId xmlns:a16="http://schemas.microsoft.com/office/drawing/2014/main" id="{00000000-0008-0000-0700-00002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1" name="Text Box 75">
          <a:extLst>
            <a:ext uri="{FF2B5EF4-FFF2-40B4-BE49-F238E27FC236}">
              <a16:creationId xmlns:a16="http://schemas.microsoft.com/office/drawing/2014/main" id="{00000000-0008-0000-0700-00002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2" name="Text Box 75">
          <a:extLst>
            <a:ext uri="{FF2B5EF4-FFF2-40B4-BE49-F238E27FC236}">
              <a16:creationId xmlns:a16="http://schemas.microsoft.com/office/drawing/2014/main" id="{00000000-0008-0000-0700-00002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3" name="Text Box 75">
          <a:extLst>
            <a:ext uri="{FF2B5EF4-FFF2-40B4-BE49-F238E27FC236}">
              <a16:creationId xmlns:a16="http://schemas.microsoft.com/office/drawing/2014/main" id="{00000000-0008-0000-0700-00002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4" name="Text Box 75">
          <a:extLst>
            <a:ext uri="{FF2B5EF4-FFF2-40B4-BE49-F238E27FC236}">
              <a16:creationId xmlns:a16="http://schemas.microsoft.com/office/drawing/2014/main" id="{00000000-0008-0000-0700-00003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5" name="Text Box 75">
          <a:extLst>
            <a:ext uri="{FF2B5EF4-FFF2-40B4-BE49-F238E27FC236}">
              <a16:creationId xmlns:a16="http://schemas.microsoft.com/office/drawing/2014/main" id="{00000000-0008-0000-0700-00003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6" name="Text Box 75">
          <a:extLst>
            <a:ext uri="{FF2B5EF4-FFF2-40B4-BE49-F238E27FC236}">
              <a16:creationId xmlns:a16="http://schemas.microsoft.com/office/drawing/2014/main" id="{00000000-0008-0000-0700-00003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7" name="Text Box 75">
          <a:extLst>
            <a:ext uri="{FF2B5EF4-FFF2-40B4-BE49-F238E27FC236}">
              <a16:creationId xmlns:a16="http://schemas.microsoft.com/office/drawing/2014/main" id="{00000000-0008-0000-0700-00003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8" name="Text Box 75">
          <a:extLst>
            <a:ext uri="{FF2B5EF4-FFF2-40B4-BE49-F238E27FC236}">
              <a16:creationId xmlns:a16="http://schemas.microsoft.com/office/drawing/2014/main" id="{00000000-0008-0000-0700-00003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89" name="Text Box 75">
          <a:extLst>
            <a:ext uri="{FF2B5EF4-FFF2-40B4-BE49-F238E27FC236}">
              <a16:creationId xmlns:a16="http://schemas.microsoft.com/office/drawing/2014/main" id="{00000000-0008-0000-0700-00003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0" name="Text Box 75">
          <a:extLst>
            <a:ext uri="{FF2B5EF4-FFF2-40B4-BE49-F238E27FC236}">
              <a16:creationId xmlns:a16="http://schemas.microsoft.com/office/drawing/2014/main" id="{00000000-0008-0000-0700-00003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1" name="Text Box 75">
          <a:extLst>
            <a:ext uri="{FF2B5EF4-FFF2-40B4-BE49-F238E27FC236}">
              <a16:creationId xmlns:a16="http://schemas.microsoft.com/office/drawing/2014/main" id="{00000000-0008-0000-0700-00003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2" name="Text Box 75">
          <a:extLst>
            <a:ext uri="{FF2B5EF4-FFF2-40B4-BE49-F238E27FC236}">
              <a16:creationId xmlns:a16="http://schemas.microsoft.com/office/drawing/2014/main" id="{00000000-0008-0000-0700-00003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3" name="Text Box 75">
          <a:extLst>
            <a:ext uri="{FF2B5EF4-FFF2-40B4-BE49-F238E27FC236}">
              <a16:creationId xmlns:a16="http://schemas.microsoft.com/office/drawing/2014/main" id="{00000000-0008-0000-0700-00003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4" name="Text Box 75">
          <a:extLst>
            <a:ext uri="{FF2B5EF4-FFF2-40B4-BE49-F238E27FC236}">
              <a16:creationId xmlns:a16="http://schemas.microsoft.com/office/drawing/2014/main" id="{00000000-0008-0000-0700-00003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5" name="Text Box 75">
          <a:extLst>
            <a:ext uri="{FF2B5EF4-FFF2-40B4-BE49-F238E27FC236}">
              <a16:creationId xmlns:a16="http://schemas.microsoft.com/office/drawing/2014/main" id="{00000000-0008-0000-0700-00003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6" name="Text Box 75">
          <a:extLst>
            <a:ext uri="{FF2B5EF4-FFF2-40B4-BE49-F238E27FC236}">
              <a16:creationId xmlns:a16="http://schemas.microsoft.com/office/drawing/2014/main" id="{00000000-0008-0000-0700-00003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7" name="Text Box 75">
          <a:extLst>
            <a:ext uri="{FF2B5EF4-FFF2-40B4-BE49-F238E27FC236}">
              <a16:creationId xmlns:a16="http://schemas.microsoft.com/office/drawing/2014/main" id="{00000000-0008-0000-0700-00003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8" name="Text Box 75">
          <a:extLst>
            <a:ext uri="{FF2B5EF4-FFF2-40B4-BE49-F238E27FC236}">
              <a16:creationId xmlns:a16="http://schemas.microsoft.com/office/drawing/2014/main" id="{00000000-0008-0000-0700-00003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599" name="Text Box 75">
          <a:extLst>
            <a:ext uri="{FF2B5EF4-FFF2-40B4-BE49-F238E27FC236}">
              <a16:creationId xmlns:a16="http://schemas.microsoft.com/office/drawing/2014/main" id="{00000000-0008-0000-0700-00003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0" name="Text Box 75">
          <a:extLst>
            <a:ext uri="{FF2B5EF4-FFF2-40B4-BE49-F238E27FC236}">
              <a16:creationId xmlns:a16="http://schemas.microsoft.com/office/drawing/2014/main" id="{00000000-0008-0000-0700-00004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1" name="Text Box 75">
          <a:extLst>
            <a:ext uri="{FF2B5EF4-FFF2-40B4-BE49-F238E27FC236}">
              <a16:creationId xmlns:a16="http://schemas.microsoft.com/office/drawing/2014/main" id="{00000000-0008-0000-0700-00004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2" name="Text Box 75">
          <a:extLst>
            <a:ext uri="{FF2B5EF4-FFF2-40B4-BE49-F238E27FC236}">
              <a16:creationId xmlns:a16="http://schemas.microsoft.com/office/drawing/2014/main" id="{00000000-0008-0000-0700-00004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3" name="Text Box 75">
          <a:extLst>
            <a:ext uri="{FF2B5EF4-FFF2-40B4-BE49-F238E27FC236}">
              <a16:creationId xmlns:a16="http://schemas.microsoft.com/office/drawing/2014/main" id="{00000000-0008-0000-0700-00004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4" name="Text Box 75">
          <a:extLst>
            <a:ext uri="{FF2B5EF4-FFF2-40B4-BE49-F238E27FC236}">
              <a16:creationId xmlns:a16="http://schemas.microsoft.com/office/drawing/2014/main" id="{00000000-0008-0000-0700-00004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5" name="Text Box 75">
          <a:extLst>
            <a:ext uri="{FF2B5EF4-FFF2-40B4-BE49-F238E27FC236}">
              <a16:creationId xmlns:a16="http://schemas.microsoft.com/office/drawing/2014/main" id="{00000000-0008-0000-0700-00004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6" name="Text Box 75">
          <a:extLst>
            <a:ext uri="{FF2B5EF4-FFF2-40B4-BE49-F238E27FC236}">
              <a16:creationId xmlns:a16="http://schemas.microsoft.com/office/drawing/2014/main" id="{00000000-0008-0000-0700-00004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7" name="Text Box 75">
          <a:extLst>
            <a:ext uri="{FF2B5EF4-FFF2-40B4-BE49-F238E27FC236}">
              <a16:creationId xmlns:a16="http://schemas.microsoft.com/office/drawing/2014/main" id="{00000000-0008-0000-0700-00004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8" name="Text Box 75">
          <a:extLst>
            <a:ext uri="{FF2B5EF4-FFF2-40B4-BE49-F238E27FC236}">
              <a16:creationId xmlns:a16="http://schemas.microsoft.com/office/drawing/2014/main" id="{00000000-0008-0000-0700-00004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09" name="Text Box 75">
          <a:extLst>
            <a:ext uri="{FF2B5EF4-FFF2-40B4-BE49-F238E27FC236}">
              <a16:creationId xmlns:a16="http://schemas.microsoft.com/office/drawing/2014/main" id="{00000000-0008-0000-0700-00004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0" name="Text Box 75">
          <a:extLst>
            <a:ext uri="{FF2B5EF4-FFF2-40B4-BE49-F238E27FC236}">
              <a16:creationId xmlns:a16="http://schemas.microsoft.com/office/drawing/2014/main" id="{00000000-0008-0000-0700-00004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1" name="Text Box 75">
          <a:extLst>
            <a:ext uri="{FF2B5EF4-FFF2-40B4-BE49-F238E27FC236}">
              <a16:creationId xmlns:a16="http://schemas.microsoft.com/office/drawing/2014/main" id="{00000000-0008-0000-0700-00004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2" name="Text Box 75">
          <a:extLst>
            <a:ext uri="{FF2B5EF4-FFF2-40B4-BE49-F238E27FC236}">
              <a16:creationId xmlns:a16="http://schemas.microsoft.com/office/drawing/2014/main" id="{00000000-0008-0000-0700-00004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3" name="Text Box 75">
          <a:extLst>
            <a:ext uri="{FF2B5EF4-FFF2-40B4-BE49-F238E27FC236}">
              <a16:creationId xmlns:a16="http://schemas.microsoft.com/office/drawing/2014/main" id="{00000000-0008-0000-0700-00004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4" name="Text Box 75">
          <a:extLst>
            <a:ext uri="{FF2B5EF4-FFF2-40B4-BE49-F238E27FC236}">
              <a16:creationId xmlns:a16="http://schemas.microsoft.com/office/drawing/2014/main" id="{00000000-0008-0000-0700-00004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5" name="Text Box 75">
          <a:extLst>
            <a:ext uri="{FF2B5EF4-FFF2-40B4-BE49-F238E27FC236}">
              <a16:creationId xmlns:a16="http://schemas.microsoft.com/office/drawing/2014/main" id="{00000000-0008-0000-0700-00004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6" name="Text Box 75">
          <a:extLst>
            <a:ext uri="{FF2B5EF4-FFF2-40B4-BE49-F238E27FC236}">
              <a16:creationId xmlns:a16="http://schemas.microsoft.com/office/drawing/2014/main" id="{00000000-0008-0000-0700-00005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7" name="Text Box 75">
          <a:extLst>
            <a:ext uri="{FF2B5EF4-FFF2-40B4-BE49-F238E27FC236}">
              <a16:creationId xmlns:a16="http://schemas.microsoft.com/office/drawing/2014/main" id="{00000000-0008-0000-0700-00005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8" name="Text Box 75">
          <a:extLst>
            <a:ext uri="{FF2B5EF4-FFF2-40B4-BE49-F238E27FC236}">
              <a16:creationId xmlns:a16="http://schemas.microsoft.com/office/drawing/2014/main" id="{00000000-0008-0000-0700-00005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19" name="Text Box 75">
          <a:extLst>
            <a:ext uri="{FF2B5EF4-FFF2-40B4-BE49-F238E27FC236}">
              <a16:creationId xmlns:a16="http://schemas.microsoft.com/office/drawing/2014/main" id="{00000000-0008-0000-0700-00005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0" name="Text Box 75">
          <a:extLst>
            <a:ext uri="{FF2B5EF4-FFF2-40B4-BE49-F238E27FC236}">
              <a16:creationId xmlns:a16="http://schemas.microsoft.com/office/drawing/2014/main" id="{00000000-0008-0000-0700-00005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1" name="Text Box 75">
          <a:extLst>
            <a:ext uri="{FF2B5EF4-FFF2-40B4-BE49-F238E27FC236}">
              <a16:creationId xmlns:a16="http://schemas.microsoft.com/office/drawing/2014/main" id="{00000000-0008-0000-0700-00005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2" name="Text Box 75">
          <a:extLst>
            <a:ext uri="{FF2B5EF4-FFF2-40B4-BE49-F238E27FC236}">
              <a16:creationId xmlns:a16="http://schemas.microsoft.com/office/drawing/2014/main" id="{00000000-0008-0000-0700-00005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3" name="Text Box 75">
          <a:extLst>
            <a:ext uri="{FF2B5EF4-FFF2-40B4-BE49-F238E27FC236}">
              <a16:creationId xmlns:a16="http://schemas.microsoft.com/office/drawing/2014/main" id="{00000000-0008-0000-0700-00005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4" name="Text Box 75">
          <a:extLst>
            <a:ext uri="{FF2B5EF4-FFF2-40B4-BE49-F238E27FC236}">
              <a16:creationId xmlns:a16="http://schemas.microsoft.com/office/drawing/2014/main" id="{00000000-0008-0000-0700-00005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5" name="Text Box 75">
          <a:extLst>
            <a:ext uri="{FF2B5EF4-FFF2-40B4-BE49-F238E27FC236}">
              <a16:creationId xmlns:a16="http://schemas.microsoft.com/office/drawing/2014/main" id="{00000000-0008-0000-0700-00005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6" name="Text Box 75">
          <a:extLst>
            <a:ext uri="{FF2B5EF4-FFF2-40B4-BE49-F238E27FC236}">
              <a16:creationId xmlns:a16="http://schemas.microsoft.com/office/drawing/2014/main" id="{00000000-0008-0000-0700-00005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7" name="Text Box 75">
          <a:extLst>
            <a:ext uri="{FF2B5EF4-FFF2-40B4-BE49-F238E27FC236}">
              <a16:creationId xmlns:a16="http://schemas.microsoft.com/office/drawing/2014/main" id="{00000000-0008-0000-0700-00005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8" name="Text Box 75">
          <a:extLst>
            <a:ext uri="{FF2B5EF4-FFF2-40B4-BE49-F238E27FC236}">
              <a16:creationId xmlns:a16="http://schemas.microsoft.com/office/drawing/2014/main" id="{00000000-0008-0000-0700-00005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29" name="Text Box 75">
          <a:extLst>
            <a:ext uri="{FF2B5EF4-FFF2-40B4-BE49-F238E27FC236}">
              <a16:creationId xmlns:a16="http://schemas.microsoft.com/office/drawing/2014/main" id="{00000000-0008-0000-0700-00005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0" name="Text Box 75">
          <a:extLst>
            <a:ext uri="{FF2B5EF4-FFF2-40B4-BE49-F238E27FC236}">
              <a16:creationId xmlns:a16="http://schemas.microsoft.com/office/drawing/2014/main" id="{00000000-0008-0000-0700-00005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1" name="Text Box 75">
          <a:extLst>
            <a:ext uri="{FF2B5EF4-FFF2-40B4-BE49-F238E27FC236}">
              <a16:creationId xmlns:a16="http://schemas.microsoft.com/office/drawing/2014/main" id="{00000000-0008-0000-0700-00005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2" name="Text Box 75">
          <a:extLst>
            <a:ext uri="{FF2B5EF4-FFF2-40B4-BE49-F238E27FC236}">
              <a16:creationId xmlns:a16="http://schemas.microsoft.com/office/drawing/2014/main" id="{00000000-0008-0000-0700-00006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3" name="Text Box 75">
          <a:extLst>
            <a:ext uri="{FF2B5EF4-FFF2-40B4-BE49-F238E27FC236}">
              <a16:creationId xmlns:a16="http://schemas.microsoft.com/office/drawing/2014/main" id="{00000000-0008-0000-0700-00006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4" name="Text Box 75">
          <a:extLst>
            <a:ext uri="{FF2B5EF4-FFF2-40B4-BE49-F238E27FC236}">
              <a16:creationId xmlns:a16="http://schemas.microsoft.com/office/drawing/2014/main" id="{00000000-0008-0000-0700-00006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5" name="Text Box 75">
          <a:extLst>
            <a:ext uri="{FF2B5EF4-FFF2-40B4-BE49-F238E27FC236}">
              <a16:creationId xmlns:a16="http://schemas.microsoft.com/office/drawing/2014/main" id="{00000000-0008-0000-0700-00006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6" name="Text Box 75">
          <a:extLst>
            <a:ext uri="{FF2B5EF4-FFF2-40B4-BE49-F238E27FC236}">
              <a16:creationId xmlns:a16="http://schemas.microsoft.com/office/drawing/2014/main" id="{00000000-0008-0000-0700-00006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7" name="Text Box 75">
          <a:extLst>
            <a:ext uri="{FF2B5EF4-FFF2-40B4-BE49-F238E27FC236}">
              <a16:creationId xmlns:a16="http://schemas.microsoft.com/office/drawing/2014/main" id="{00000000-0008-0000-0700-00006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8" name="Text Box 75">
          <a:extLst>
            <a:ext uri="{FF2B5EF4-FFF2-40B4-BE49-F238E27FC236}">
              <a16:creationId xmlns:a16="http://schemas.microsoft.com/office/drawing/2014/main" id="{00000000-0008-0000-0700-00006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39" name="Text Box 75">
          <a:extLst>
            <a:ext uri="{FF2B5EF4-FFF2-40B4-BE49-F238E27FC236}">
              <a16:creationId xmlns:a16="http://schemas.microsoft.com/office/drawing/2014/main" id="{00000000-0008-0000-0700-00006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0" name="Text Box 75">
          <a:extLst>
            <a:ext uri="{FF2B5EF4-FFF2-40B4-BE49-F238E27FC236}">
              <a16:creationId xmlns:a16="http://schemas.microsoft.com/office/drawing/2014/main" id="{00000000-0008-0000-0700-00006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1" name="Text Box 75">
          <a:extLst>
            <a:ext uri="{FF2B5EF4-FFF2-40B4-BE49-F238E27FC236}">
              <a16:creationId xmlns:a16="http://schemas.microsoft.com/office/drawing/2014/main" id="{00000000-0008-0000-0700-00006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2" name="Text Box 75">
          <a:extLst>
            <a:ext uri="{FF2B5EF4-FFF2-40B4-BE49-F238E27FC236}">
              <a16:creationId xmlns:a16="http://schemas.microsoft.com/office/drawing/2014/main" id="{00000000-0008-0000-0700-00006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3" name="Text Box 75">
          <a:extLst>
            <a:ext uri="{FF2B5EF4-FFF2-40B4-BE49-F238E27FC236}">
              <a16:creationId xmlns:a16="http://schemas.microsoft.com/office/drawing/2014/main" id="{00000000-0008-0000-0700-00006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4" name="Text Box 75">
          <a:extLst>
            <a:ext uri="{FF2B5EF4-FFF2-40B4-BE49-F238E27FC236}">
              <a16:creationId xmlns:a16="http://schemas.microsoft.com/office/drawing/2014/main" id="{00000000-0008-0000-0700-00006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5" name="Text Box 75">
          <a:extLst>
            <a:ext uri="{FF2B5EF4-FFF2-40B4-BE49-F238E27FC236}">
              <a16:creationId xmlns:a16="http://schemas.microsoft.com/office/drawing/2014/main" id="{00000000-0008-0000-0700-00006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6" name="Text Box 75">
          <a:extLst>
            <a:ext uri="{FF2B5EF4-FFF2-40B4-BE49-F238E27FC236}">
              <a16:creationId xmlns:a16="http://schemas.microsoft.com/office/drawing/2014/main" id="{00000000-0008-0000-0700-00006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7" name="Text Box 75">
          <a:extLst>
            <a:ext uri="{FF2B5EF4-FFF2-40B4-BE49-F238E27FC236}">
              <a16:creationId xmlns:a16="http://schemas.microsoft.com/office/drawing/2014/main" id="{00000000-0008-0000-0700-00006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8" name="Text Box 75">
          <a:extLst>
            <a:ext uri="{FF2B5EF4-FFF2-40B4-BE49-F238E27FC236}">
              <a16:creationId xmlns:a16="http://schemas.microsoft.com/office/drawing/2014/main" id="{00000000-0008-0000-0700-00007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49" name="Text Box 75">
          <a:extLst>
            <a:ext uri="{FF2B5EF4-FFF2-40B4-BE49-F238E27FC236}">
              <a16:creationId xmlns:a16="http://schemas.microsoft.com/office/drawing/2014/main" id="{00000000-0008-0000-0700-00007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0" name="Text Box 75">
          <a:extLst>
            <a:ext uri="{FF2B5EF4-FFF2-40B4-BE49-F238E27FC236}">
              <a16:creationId xmlns:a16="http://schemas.microsoft.com/office/drawing/2014/main" id="{00000000-0008-0000-0700-00007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1" name="Text Box 75">
          <a:extLst>
            <a:ext uri="{FF2B5EF4-FFF2-40B4-BE49-F238E27FC236}">
              <a16:creationId xmlns:a16="http://schemas.microsoft.com/office/drawing/2014/main" id="{00000000-0008-0000-0700-00007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2" name="Text Box 75">
          <a:extLst>
            <a:ext uri="{FF2B5EF4-FFF2-40B4-BE49-F238E27FC236}">
              <a16:creationId xmlns:a16="http://schemas.microsoft.com/office/drawing/2014/main" id="{00000000-0008-0000-0700-00007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3" name="Text Box 75">
          <a:extLst>
            <a:ext uri="{FF2B5EF4-FFF2-40B4-BE49-F238E27FC236}">
              <a16:creationId xmlns:a16="http://schemas.microsoft.com/office/drawing/2014/main" id="{00000000-0008-0000-0700-00007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4" name="Text Box 75">
          <a:extLst>
            <a:ext uri="{FF2B5EF4-FFF2-40B4-BE49-F238E27FC236}">
              <a16:creationId xmlns:a16="http://schemas.microsoft.com/office/drawing/2014/main" id="{00000000-0008-0000-0700-00007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5" name="Text Box 75">
          <a:extLst>
            <a:ext uri="{FF2B5EF4-FFF2-40B4-BE49-F238E27FC236}">
              <a16:creationId xmlns:a16="http://schemas.microsoft.com/office/drawing/2014/main" id="{00000000-0008-0000-0700-00007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6" name="Text Box 75">
          <a:extLst>
            <a:ext uri="{FF2B5EF4-FFF2-40B4-BE49-F238E27FC236}">
              <a16:creationId xmlns:a16="http://schemas.microsoft.com/office/drawing/2014/main" id="{00000000-0008-0000-0700-00007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7" name="Text Box 75">
          <a:extLst>
            <a:ext uri="{FF2B5EF4-FFF2-40B4-BE49-F238E27FC236}">
              <a16:creationId xmlns:a16="http://schemas.microsoft.com/office/drawing/2014/main" id="{00000000-0008-0000-0700-00007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8" name="Text Box 75">
          <a:extLst>
            <a:ext uri="{FF2B5EF4-FFF2-40B4-BE49-F238E27FC236}">
              <a16:creationId xmlns:a16="http://schemas.microsoft.com/office/drawing/2014/main" id="{00000000-0008-0000-0700-00007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59" name="Text Box 75">
          <a:extLst>
            <a:ext uri="{FF2B5EF4-FFF2-40B4-BE49-F238E27FC236}">
              <a16:creationId xmlns:a16="http://schemas.microsoft.com/office/drawing/2014/main" id="{00000000-0008-0000-0700-00007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0" name="Text Box 75">
          <a:extLst>
            <a:ext uri="{FF2B5EF4-FFF2-40B4-BE49-F238E27FC236}">
              <a16:creationId xmlns:a16="http://schemas.microsoft.com/office/drawing/2014/main" id="{00000000-0008-0000-0700-00007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1" name="Text Box 75">
          <a:extLst>
            <a:ext uri="{FF2B5EF4-FFF2-40B4-BE49-F238E27FC236}">
              <a16:creationId xmlns:a16="http://schemas.microsoft.com/office/drawing/2014/main" id="{00000000-0008-0000-0700-00007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2" name="Text Box 75">
          <a:extLst>
            <a:ext uri="{FF2B5EF4-FFF2-40B4-BE49-F238E27FC236}">
              <a16:creationId xmlns:a16="http://schemas.microsoft.com/office/drawing/2014/main" id="{00000000-0008-0000-0700-00007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3" name="Text Box 75">
          <a:extLst>
            <a:ext uri="{FF2B5EF4-FFF2-40B4-BE49-F238E27FC236}">
              <a16:creationId xmlns:a16="http://schemas.microsoft.com/office/drawing/2014/main" id="{00000000-0008-0000-0700-00007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4" name="Text Box 75">
          <a:extLst>
            <a:ext uri="{FF2B5EF4-FFF2-40B4-BE49-F238E27FC236}">
              <a16:creationId xmlns:a16="http://schemas.microsoft.com/office/drawing/2014/main" id="{00000000-0008-0000-0700-00008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5" name="Text Box 75">
          <a:extLst>
            <a:ext uri="{FF2B5EF4-FFF2-40B4-BE49-F238E27FC236}">
              <a16:creationId xmlns:a16="http://schemas.microsoft.com/office/drawing/2014/main" id="{00000000-0008-0000-0700-00008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6" name="Text Box 75">
          <a:extLst>
            <a:ext uri="{FF2B5EF4-FFF2-40B4-BE49-F238E27FC236}">
              <a16:creationId xmlns:a16="http://schemas.microsoft.com/office/drawing/2014/main" id="{00000000-0008-0000-0700-00008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7" name="Text Box 75">
          <a:extLst>
            <a:ext uri="{FF2B5EF4-FFF2-40B4-BE49-F238E27FC236}">
              <a16:creationId xmlns:a16="http://schemas.microsoft.com/office/drawing/2014/main" id="{00000000-0008-0000-0700-00008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8" name="Text Box 75">
          <a:extLst>
            <a:ext uri="{FF2B5EF4-FFF2-40B4-BE49-F238E27FC236}">
              <a16:creationId xmlns:a16="http://schemas.microsoft.com/office/drawing/2014/main" id="{00000000-0008-0000-0700-00008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69" name="Text Box 75">
          <a:extLst>
            <a:ext uri="{FF2B5EF4-FFF2-40B4-BE49-F238E27FC236}">
              <a16:creationId xmlns:a16="http://schemas.microsoft.com/office/drawing/2014/main" id="{00000000-0008-0000-0700-00008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0" name="Text Box 75">
          <a:extLst>
            <a:ext uri="{FF2B5EF4-FFF2-40B4-BE49-F238E27FC236}">
              <a16:creationId xmlns:a16="http://schemas.microsoft.com/office/drawing/2014/main" id="{00000000-0008-0000-0700-00008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1" name="Text Box 75">
          <a:extLst>
            <a:ext uri="{FF2B5EF4-FFF2-40B4-BE49-F238E27FC236}">
              <a16:creationId xmlns:a16="http://schemas.microsoft.com/office/drawing/2014/main" id="{00000000-0008-0000-0700-00008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2" name="Text Box 75">
          <a:extLst>
            <a:ext uri="{FF2B5EF4-FFF2-40B4-BE49-F238E27FC236}">
              <a16:creationId xmlns:a16="http://schemas.microsoft.com/office/drawing/2014/main" id="{00000000-0008-0000-0700-00008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3" name="Text Box 75">
          <a:extLst>
            <a:ext uri="{FF2B5EF4-FFF2-40B4-BE49-F238E27FC236}">
              <a16:creationId xmlns:a16="http://schemas.microsoft.com/office/drawing/2014/main" id="{00000000-0008-0000-0700-00008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4" name="Text Box 75">
          <a:extLst>
            <a:ext uri="{FF2B5EF4-FFF2-40B4-BE49-F238E27FC236}">
              <a16:creationId xmlns:a16="http://schemas.microsoft.com/office/drawing/2014/main" id="{00000000-0008-0000-0700-00008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5" name="Text Box 75">
          <a:extLst>
            <a:ext uri="{FF2B5EF4-FFF2-40B4-BE49-F238E27FC236}">
              <a16:creationId xmlns:a16="http://schemas.microsoft.com/office/drawing/2014/main" id="{00000000-0008-0000-0700-00008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6" name="Text Box 75">
          <a:extLst>
            <a:ext uri="{FF2B5EF4-FFF2-40B4-BE49-F238E27FC236}">
              <a16:creationId xmlns:a16="http://schemas.microsoft.com/office/drawing/2014/main" id="{00000000-0008-0000-0700-00008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7" name="Text Box 75">
          <a:extLst>
            <a:ext uri="{FF2B5EF4-FFF2-40B4-BE49-F238E27FC236}">
              <a16:creationId xmlns:a16="http://schemas.microsoft.com/office/drawing/2014/main" id="{00000000-0008-0000-0700-00008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8" name="Text Box 75">
          <a:extLst>
            <a:ext uri="{FF2B5EF4-FFF2-40B4-BE49-F238E27FC236}">
              <a16:creationId xmlns:a16="http://schemas.microsoft.com/office/drawing/2014/main" id="{00000000-0008-0000-0700-00008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79" name="Text Box 75">
          <a:extLst>
            <a:ext uri="{FF2B5EF4-FFF2-40B4-BE49-F238E27FC236}">
              <a16:creationId xmlns:a16="http://schemas.microsoft.com/office/drawing/2014/main" id="{00000000-0008-0000-0700-00008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0" name="Text Box 75">
          <a:extLst>
            <a:ext uri="{FF2B5EF4-FFF2-40B4-BE49-F238E27FC236}">
              <a16:creationId xmlns:a16="http://schemas.microsoft.com/office/drawing/2014/main" id="{00000000-0008-0000-0700-00009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1" name="Text Box 75">
          <a:extLst>
            <a:ext uri="{FF2B5EF4-FFF2-40B4-BE49-F238E27FC236}">
              <a16:creationId xmlns:a16="http://schemas.microsoft.com/office/drawing/2014/main" id="{00000000-0008-0000-0700-00009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2" name="Text Box 75">
          <a:extLst>
            <a:ext uri="{FF2B5EF4-FFF2-40B4-BE49-F238E27FC236}">
              <a16:creationId xmlns:a16="http://schemas.microsoft.com/office/drawing/2014/main" id="{00000000-0008-0000-0700-00009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3" name="Text Box 75">
          <a:extLst>
            <a:ext uri="{FF2B5EF4-FFF2-40B4-BE49-F238E27FC236}">
              <a16:creationId xmlns:a16="http://schemas.microsoft.com/office/drawing/2014/main" id="{00000000-0008-0000-0700-00009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4" name="Text Box 75">
          <a:extLst>
            <a:ext uri="{FF2B5EF4-FFF2-40B4-BE49-F238E27FC236}">
              <a16:creationId xmlns:a16="http://schemas.microsoft.com/office/drawing/2014/main" id="{00000000-0008-0000-0700-00009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5" name="Text Box 75">
          <a:extLst>
            <a:ext uri="{FF2B5EF4-FFF2-40B4-BE49-F238E27FC236}">
              <a16:creationId xmlns:a16="http://schemas.microsoft.com/office/drawing/2014/main" id="{00000000-0008-0000-0700-00009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6" name="Text Box 75">
          <a:extLst>
            <a:ext uri="{FF2B5EF4-FFF2-40B4-BE49-F238E27FC236}">
              <a16:creationId xmlns:a16="http://schemas.microsoft.com/office/drawing/2014/main" id="{00000000-0008-0000-0700-00009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7" name="Text Box 75">
          <a:extLst>
            <a:ext uri="{FF2B5EF4-FFF2-40B4-BE49-F238E27FC236}">
              <a16:creationId xmlns:a16="http://schemas.microsoft.com/office/drawing/2014/main" id="{00000000-0008-0000-0700-00009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8" name="Text Box 75">
          <a:extLst>
            <a:ext uri="{FF2B5EF4-FFF2-40B4-BE49-F238E27FC236}">
              <a16:creationId xmlns:a16="http://schemas.microsoft.com/office/drawing/2014/main" id="{00000000-0008-0000-0700-00009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89" name="Text Box 75">
          <a:extLst>
            <a:ext uri="{FF2B5EF4-FFF2-40B4-BE49-F238E27FC236}">
              <a16:creationId xmlns:a16="http://schemas.microsoft.com/office/drawing/2014/main" id="{00000000-0008-0000-0700-00009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0" name="Text Box 75">
          <a:extLst>
            <a:ext uri="{FF2B5EF4-FFF2-40B4-BE49-F238E27FC236}">
              <a16:creationId xmlns:a16="http://schemas.microsoft.com/office/drawing/2014/main" id="{00000000-0008-0000-0700-00009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1" name="Text Box 75">
          <a:extLst>
            <a:ext uri="{FF2B5EF4-FFF2-40B4-BE49-F238E27FC236}">
              <a16:creationId xmlns:a16="http://schemas.microsoft.com/office/drawing/2014/main" id="{00000000-0008-0000-0700-00009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2" name="Text Box 75">
          <a:extLst>
            <a:ext uri="{FF2B5EF4-FFF2-40B4-BE49-F238E27FC236}">
              <a16:creationId xmlns:a16="http://schemas.microsoft.com/office/drawing/2014/main" id="{00000000-0008-0000-0700-00009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3" name="Text Box 75">
          <a:extLst>
            <a:ext uri="{FF2B5EF4-FFF2-40B4-BE49-F238E27FC236}">
              <a16:creationId xmlns:a16="http://schemas.microsoft.com/office/drawing/2014/main" id="{00000000-0008-0000-0700-00009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4" name="Text Box 75">
          <a:extLst>
            <a:ext uri="{FF2B5EF4-FFF2-40B4-BE49-F238E27FC236}">
              <a16:creationId xmlns:a16="http://schemas.microsoft.com/office/drawing/2014/main" id="{00000000-0008-0000-0700-00009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5" name="Text Box 75">
          <a:extLst>
            <a:ext uri="{FF2B5EF4-FFF2-40B4-BE49-F238E27FC236}">
              <a16:creationId xmlns:a16="http://schemas.microsoft.com/office/drawing/2014/main" id="{00000000-0008-0000-0700-00009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6" name="Text Box 75">
          <a:extLst>
            <a:ext uri="{FF2B5EF4-FFF2-40B4-BE49-F238E27FC236}">
              <a16:creationId xmlns:a16="http://schemas.microsoft.com/office/drawing/2014/main" id="{00000000-0008-0000-0700-0000A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7" name="Text Box 75">
          <a:extLst>
            <a:ext uri="{FF2B5EF4-FFF2-40B4-BE49-F238E27FC236}">
              <a16:creationId xmlns:a16="http://schemas.microsoft.com/office/drawing/2014/main" id="{00000000-0008-0000-0700-0000A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8" name="Text Box 75">
          <a:extLst>
            <a:ext uri="{FF2B5EF4-FFF2-40B4-BE49-F238E27FC236}">
              <a16:creationId xmlns:a16="http://schemas.microsoft.com/office/drawing/2014/main" id="{00000000-0008-0000-0700-0000A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699" name="Text Box 75">
          <a:extLst>
            <a:ext uri="{FF2B5EF4-FFF2-40B4-BE49-F238E27FC236}">
              <a16:creationId xmlns:a16="http://schemas.microsoft.com/office/drawing/2014/main" id="{00000000-0008-0000-0700-0000A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0" name="Text Box 75">
          <a:extLst>
            <a:ext uri="{FF2B5EF4-FFF2-40B4-BE49-F238E27FC236}">
              <a16:creationId xmlns:a16="http://schemas.microsoft.com/office/drawing/2014/main" id="{00000000-0008-0000-0700-0000A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1" name="Text Box 75">
          <a:extLst>
            <a:ext uri="{FF2B5EF4-FFF2-40B4-BE49-F238E27FC236}">
              <a16:creationId xmlns:a16="http://schemas.microsoft.com/office/drawing/2014/main" id="{00000000-0008-0000-0700-0000A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2" name="Text Box 75">
          <a:extLst>
            <a:ext uri="{FF2B5EF4-FFF2-40B4-BE49-F238E27FC236}">
              <a16:creationId xmlns:a16="http://schemas.microsoft.com/office/drawing/2014/main" id="{00000000-0008-0000-0700-0000A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3" name="Text Box 75">
          <a:extLst>
            <a:ext uri="{FF2B5EF4-FFF2-40B4-BE49-F238E27FC236}">
              <a16:creationId xmlns:a16="http://schemas.microsoft.com/office/drawing/2014/main" id="{00000000-0008-0000-0700-0000A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4" name="Text Box 75">
          <a:extLst>
            <a:ext uri="{FF2B5EF4-FFF2-40B4-BE49-F238E27FC236}">
              <a16:creationId xmlns:a16="http://schemas.microsoft.com/office/drawing/2014/main" id="{00000000-0008-0000-0700-0000A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5" name="Text Box 75">
          <a:extLst>
            <a:ext uri="{FF2B5EF4-FFF2-40B4-BE49-F238E27FC236}">
              <a16:creationId xmlns:a16="http://schemas.microsoft.com/office/drawing/2014/main" id="{00000000-0008-0000-0700-0000A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6" name="Text Box 75">
          <a:extLst>
            <a:ext uri="{FF2B5EF4-FFF2-40B4-BE49-F238E27FC236}">
              <a16:creationId xmlns:a16="http://schemas.microsoft.com/office/drawing/2014/main" id="{00000000-0008-0000-0700-0000A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7" name="Text Box 75">
          <a:extLst>
            <a:ext uri="{FF2B5EF4-FFF2-40B4-BE49-F238E27FC236}">
              <a16:creationId xmlns:a16="http://schemas.microsoft.com/office/drawing/2014/main" id="{00000000-0008-0000-0700-0000A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8" name="Text Box 75">
          <a:extLst>
            <a:ext uri="{FF2B5EF4-FFF2-40B4-BE49-F238E27FC236}">
              <a16:creationId xmlns:a16="http://schemas.microsoft.com/office/drawing/2014/main" id="{00000000-0008-0000-0700-0000A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09" name="Text Box 75">
          <a:extLst>
            <a:ext uri="{FF2B5EF4-FFF2-40B4-BE49-F238E27FC236}">
              <a16:creationId xmlns:a16="http://schemas.microsoft.com/office/drawing/2014/main" id="{00000000-0008-0000-0700-0000A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0" name="Text Box 75">
          <a:extLst>
            <a:ext uri="{FF2B5EF4-FFF2-40B4-BE49-F238E27FC236}">
              <a16:creationId xmlns:a16="http://schemas.microsoft.com/office/drawing/2014/main" id="{00000000-0008-0000-0700-0000A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1" name="Text Box 75">
          <a:extLst>
            <a:ext uri="{FF2B5EF4-FFF2-40B4-BE49-F238E27FC236}">
              <a16:creationId xmlns:a16="http://schemas.microsoft.com/office/drawing/2014/main" id="{00000000-0008-0000-0700-0000A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2" name="Text Box 75">
          <a:extLst>
            <a:ext uri="{FF2B5EF4-FFF2-40B4-BE49-F238E27FC236}">
              <a16:creationId xmlns:a16="http://schemas.microsoft.com/office/drawing/2014/main" id="{00000000-0008-0000-0700-0000B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3" name="Text Box 75">
          <a:extLst>
            <a:ext uri="{FF2B5EF4-FFF2-40B4-BE49-F238E27FC236}">
              <a16:creationId xmlns:a16="http://schemas.microsoft.com/office/drawing/2014/main" id="{00000000-0008-0000-0700-0000B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4" name="Text Box 75">
          <a:extLst>
            <a:ext uri="{FF2B5EF4-FFF2-40B4-BE49-F238E27FC236}">
              <a16:creationId xmlns:a16="http://schemas.microsoft.com/office/drawing/2014/main" id="{00000000-0008-0000-0700-0000B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5" name="Text Box 75">
          <a:extLst>
            <a:ext uri="{FF2B5EF4-FFF2-40B4-BE49-F238E27FC236}">
              <a16:creationId xmlns:a16="http://schemas.microsoft.com/office/drawing/2014/main" id="{00000000-0008-0000-0700-0000B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6" name="Text Box 75">
          <a:extLst>
            <a:ext uri="{FF2B5EF4-FFF2-40B4-BE49-F238E27FC236}">
              <a16:creationId xmlns:a16="http://schemas.microsoft.com/office/drawing/2014/main" id="{00000000-0008-0000-0700-0000B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7" name="Text Box 75">
          <a:extLst>
            <a:ext uri="{FF2B5EF4-FFF2-40B4-BE49-F238E27FC236}">
              <a16:creationId xmlns:a16="http://schemas.microsoft.com/office/drawing/2014/main" id="{00000000-0008-0000-0700-0000B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8" name="Text Box 75">
          <a:extLst>
            <a:ext uri="{FF2B5EF4-FFF2-40B4-BE49-F238E27FC236}">
              <a16:creationId xmlns:a16="http://schemas.microsoft.com/office/drawing/2014/main" id="{00000000-0008-0000-0700-0000B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19" name="Text Box 75">
          <a:extLst>
            <a:ext uri="{FF2B5EF4-FFF2-40B4-BE49-F238E27FC236}">
              <a16:creationId xmlns:a16="http://schemas.microsoft.com/office/drawing/2014/main" id="{00000000-0008-0000-0700-0000B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0" name="Text Box 75">
          <a:extLst>
            <a:ext uri="{FF2B5EF4-FFF2-40B4-BE49-F238E27FC236}">
              <a16:creationId xmlns:a16="http://schemas.microsoft.com/office/drawing/2014/main" id="{00000000-0008-0000-0700-0000B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1" name="Text Box 75">
          <a:extLst>
            <a:ext uri="{FF2B5EF4-FFF2-40B4-BE49-F238E27FC236}">
              <a16:creationId xmlns:a16="http://schemas.microsoft.com/office/drawing/2014/main" id="{00000000-0008-0000-0700-0000B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2" name="Text Box 75">
          <a:extLst>
            <a:ext uri="{FF2B5EF4-FFF2-40B4-BE49-F238E27FC236}">
              <a16:creationId xmlns:a16="http://schemas.microsoft.com/office/drawing/2014/main" id="{00000000-0008-0000-0700-0000B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3" name="Text Box 75">
          <a:extLst>
            <a:ext uri="{FF2B5EF4-FFF2-40B4-BE49-F238E27FC236}">
              <a16:creationId xmlns:a16="http://schemas.microsoft.com/office/drawing/2014/main" id="{00000000-0008-0000-0700-0000B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4" name="Text Box 75">
          <a:extLst>
            <a:ext uri="{FF2B5EF4-FFF2-40B4-BE49-F238E27FC236}">
              <a16:creationId xmlns:a16="http://schemas.microsoft.com/office/drawing/2014/main" id="{00000000-0008-0000-0700-0000B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5" name="Text Box 75">
          <a:extLst>
            <a:ext uri="{FF2B5EF4-FFF2-40B4-BE49-F238E27FC236}">
              <a16:creationId xmlns:a16="http://schemas.microsoft.com/office/drawing/2014/main" id="{00000000-0008-0000-0700-0000B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6" name="Text Box 75">
          <a:extLst>
            <a:ext uri="{FF2B5EF4-FFF2-40B4-BE49-F238E27FC236}">
              <a16:creationId xmlns:a16="http://schemas.microsoft.com/office/drawing/2014/main" id="{00000000-0008-0000-0700-0000B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7" name="Text Box 75">
          <a:extLst>
            <a:ext uri="{FF2B5EF4-FFF2-40B4-BE49-F238E27FC236}">
              <a16:creationId xmlns:a16="http://schemas.microsoft.com/office/drawing/2014/main" id="{00000000-0008-0000-0700-0000B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8" name="Text Box 75">
          <a:extLst>
            <a:ext uri="{FF2B5EF4-FFF2-40B4-BE49-F238E27FC236}">
              <a16:creationId xmlns:a16="http://schemas.microsoft.com/office/drawing/2014/main" id="{00000000-0008-0000-0700-0000C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29" name="Text Box 75">
          <a:extLst>
            <a:ext uri="{FF2B5EF4-FFF2-40B4-BE49-F238E27FC236}">
              <a16:creationId xmlns:a16="http://schemas.microsoft.com/office/drawing/2014/main" id="{00000000-0008-0000-0700-0000C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0" name="Text Box 75">
          <a:extLst>
            <a:ext uri="{FF2B5EF4-FFF2-40B4-BE49-F238E27FC236}">
              <a16:creationId xmlns:a16="http://schemas.microsoft.com/office/drawing/2014/main" id="{00000000-0008-0000-0700-0000C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1" name="Text Box 75">
          <a:extLst>
            <a:ext uri="{FF2B5EF4-FFF2-40B4-BE49-F238E27FC236}">
              <a16:creationId xmlns:a16="http://schemas.microsoft.com/office/drawing/2014/main" id="{00000000-0008-0000-0700-0000C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2" name="Text Box 75">
          <a:extLst>
            <a:ext uri="{FF2B5EF4-FFF2-40B4-BE49-F238E27FC236}">
              <a16:creationId xmlns:a16="http://schemas.microsoft.com/office/drawing/2014/main" id="{00000000-0008-0000-0700-0000C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3" name="Text Box 75">
          <a:extLst>
            <a:ext uri="{FF2B5EF4-FFF2-40B4-BE49-F238E27FC236}">
              <a16:creationId xmlns:a16="http://schemas.microsoft.com/office/drawing/2014/main" id="{00000000-0008-0000-0700-0000C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4" name="Text Box 75">
          <a:extLst>
            <a:ext uri="{FF2B5EF4-FFF2-40B4-BE49-F238E27FC236}">
              <a16:creationId xmlns:a16="http://schemas.microsoft.com/office/drawing/2014/main" id="{00000000-0008-0000-0700-0000C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5" name="Text Box 75">
          <a:extLst>
            <a:ext uri="{FF2B5EF4-FFF2-40B4-BE49-F238E27FC236}">
              <a16:creationId xmlns:a16="http://schemas.microsoft.com/office/drawing/2014/main" id="{00000000-0008-0000-0700-0000C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6" name="Text Box 75">
          <a:extLst>
            <a:ext uri="{FF2B5EF4-FFF2-40B4-BE49-F238E27FC236}">
              <a16:creationId xmlns:a16="http://schemas.microsoft.com/office/drawing/2014/main" id="{00000000-0008-0000-0700-0000C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7" name="Text Box 75">
          <a:extLst>
            <a:ext uri="{FF2B5EF4-FFF2-40B4-BE49-F238E27FC236}">
              <a16:creationId xmlns:a16="http://schemas.microsoft.com/office/drawing/2014/main" id="{00000000-0008-0000-0700-0000C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8" name="Text Box 75">
          <a:extLst>
            <a:ext uri="{FF2B5EF4-FFF2-40B4-BE49-F238E27FC236}">
              <a16:creationId xmlns:a16="http://schemas.microsoft.com/office/drawing/2014/main" id="{00000000-0008-0000-0700-0000C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39" name="Text Box 75">
          <a:extLst>
            <a:ext uri="{FF2B5EF4-FFF2-40B4-BE49-F238E27FC236}">
              <a16:creationId xmlns:a16="http://schemas.microsoft.com/office/drawing/2014/main" id="{00000000-0008-0000-0700-0000C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0" name="Text Box 75">
          <a:extLst>
            <a:ext uri="{FF2B5EF4-FFF2-40B4-BE49-F238E27FC236}">
              <a16:creationId xmlns:a16="http://schemas.microsoft.com/office/drawing/2014/main" id="{00000000-0008-0000-0700-0000C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1" name="Text Box 75">
          <a:extLst>
            <a:ext uri="{FF2B5EF4-FFF2-40B4-BE49-F238E27FC236}">
              <a16:creationId xmlns:a16="http://schemas.microsoft.com/office/drawing/2014/main" id="{00000000-0008-0000-0700-0000C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2" name="Text Box 75">
          <a:extLst>
            <a:ext uri="{FF2B5EF4-FFF2-40B4-BE49-F238E27FC236}">
              <a16:creationId xmlns:a16="http://schemas.microsoft.com/office/drawing/2014/main" id="{00000000-0008-0000-0700-0000C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3" name="Text Box 75">
          <a:extLst>
            <a:ext uri="{FF2B5EF4-FFF2-40B4-BE49-F238E27FC236}">
              <a16:creationId xmlns:a16="http://schemas.microsoft.com/office/drawing/2014/main" id="{00000000-0008-0000-0700-0000C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4" name="Text Box 75">
          <a:extLst>
            <a:ext uri="{FF2B5EF4-FFF2-40B4-BE49-F238E27FC236}">
              <a16:creationId xmlns:a16="http://schemas.microsoft.com/office/drawing/2014/main" id="{00000000-0008-0000-0700-0000D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5" name="Text Box 75">
          <a:extLst>
            <a:ext uri="{FF2B5EF4-FFF2-40B4-BE49-F238E27FC236}">
              <a16:creationId xmlns:a16="http://schemas.microsoft.com/office/drawing/2014/main" id="{00000000-0008-0000-0700-0000D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6" name="Text Box 75">
          <a:extLst>
            <a:ext uri="{FF2B5EF4-FFF2-40B4-BE49-F238E27FC236}">
              <a16:creationId xmlns:a16="http://schemas.microsoft.com/office/drawing/2014/main" id="{00000000-0008-0000-0700-0000D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7" name="Text Box 75">
          <a:extLst>
            <a:ext uri="{FF2B5EF4-FFF2-40B4-BE49-F238E27FC236}">
              <a16:creationId xmlns:a16="http://schemas.microsoft.com/office/drawing/2014/main" id="{00000000-0008-0000-0700-0000D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8" name="Text Box 75">
          <a:extLst>
            <a:ext uri="{FF2B5EF4-FFF2-40B4-BE49-F238E27FC236}">
              <a16:creationId xmlns:a16="http://schemas.microsoft.com/office/drawing/2014/main" id="{00000000-0008-0000-0700-0000D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49" name="Text Box 75">
          <a:extLst>
            <a:ext uri="{FF2B5EF4-FFF2-40B4-BE49-F238E27FC236}">
              <a16:creationId xmlns:a16="http://schemas.microsoft.com/office/drawing/2014/main" id="{00000000-0008-0000-0700-0000D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0" name="Text Box 75">
          <a:extLst>
            <a:ext uri="{FF2B5EF4-FFF2-40B4-BE49-F238E27FC236}">
              <a16:creationId xmlns:a16="http://schemas.microsoft.com/office/drawing/2014/main" id="{00000000-0008-0000-0700-0000D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1" name="Text Box 75">
          <a:extLst>
            <a:ext uri="{FF2B5EF4-FFF2-40B4-BE49-F238E27FC236}">
              <a16:creationId xmlns:a16="http://schemas.microsoft.com/office/drawing/2014/main" id="{00000000-0008-0000-0700-0000D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2" name="Text Box 75">
          <a:extLst>
            <a:ext uri="{FF2B5EF4-FFF2-40B4-BE49-F238E27FC236}">
              <a16:creationId xmlns:a16="http://schemas.microsoft.com/office/drawing/2014/main" id="{00000000-0008-0000-0700-0000D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3" name="Text Box 75">
          <a:extLst>
            <a:ext uri="{FF2B5EF4-FFF2-40B4-BE49-F238E27FC236}">
              <a16:creationId xmlns:a16="http://schemas.microsoft.com/office/drawing/2014/main" id="{00000000-0008-0000-0700-0000D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4" name="Text Box 75">
          <a:extLst>
            <a:ext uri="{FF2B5EF4-FFF2-40B4-BE49-F238E27FC236}">
              <a16:creationId xmlns:a16="http://schemas.microsoft.com/office/drawing/2014/main" id="{00000000-0008-0000-0700-0000D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5" name="Text Box 75">
          <a:extLst>
            <a:ext uri="{FF2B5EF4-FFF2-40B4-BE49-F238E27FC236}">
              <a16:creationId xmlns:a16="http://schemas.microsoft.com/office/drawing/2014/main" id="{00000000-0008-0000-0700-0000D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6" name="Text Box 75">
          <a:extLst>
            <a:ext uri="{FF2B5EF4-FFF2-40B4-BE49-F238E27FC236}">
              <a16:creationId xmlns:a16="http://schemas.microsoft.com/office/drawing/2014/main" id="{00000000-0008-0000-0700-0000D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7" name="Text Box 75">
          <a:extLst>
            <a:ext uri="{FF2B5EF4-FFF2-40B4-BE49-F238E27FC236}">
              <a16:creationId xmlns:a16="http://schemas.microsoft.com/office/drawing/2014/main" id="{00000000-0008-0000-0700-0000D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8" name="Text Box 75">
          <a:extLst>
            <a:ext uri="{FF2B5EF4-FFF2-40B4-BE49-F238E27FC236}">
              <a16:creationId xmlns:a16="http://schemas.microsoft.com/office/drawing/2014/main" id="{00000000-0008-0000-0700-0000D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59" name="Text Box 75">
          <a:extLst>
            <a:ext uri="{FF2B5EF4-FFF2-40B4-BE49-F238E27FC236}">
              <a16:creationId xmlns:a16="http://schemas.microsoft.com/office/drawing/2014/main" id="{00000000-0008-0000-0700-0000D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0" name="Text Box 75">
          <a:extLst>
            <a:ext uri="{FF2B5EF4-FFF2-40B4-BE49-F238E27FC236}">
              <a16:creationId xmlns:a16="http://schemas.microsoft.com/office/drawing/2014/main" id="{00000000-0008-0000-0700-0000E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1" name="Text Box 75">
          <a:extLst>
            <a:ext uri="{FF2B5EF4-FFF2-40B4-BE49-F238E27FC236}">
              <a16:creationId xmlns:a16="http://schemas.microsoft.com/office/drawing/2014/main" id="{00000000-0008-0000-0700-0000E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2" name="Text Box 75">
          <a:extLst>
            <a:ext uri="{FF2B5EF4-FFF2-40B4-BE49-F238E27FC236}">
              <a16:creationId xmlns:a16="http://schemas.microsoft.com/office/drawing/2014/main" id="{00000000-0008-0000-0700-0000E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3" name="Text Box 75">
          <a:extLst>
            <a:ext uri="{FF2B5EF4-FFF2-40B4-BE49-F238E27FC236}">
              <a16:creationId xmlns:a16="http://schemas.microsoft.com/office/drawing/2014/main" id="{00000000-0008-0000-0700-0000E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4" name="Text Box 75">
          <a:extLst>
            <a:ext uri="{FF2B5EF4-FFF2-40B4-BE49-F238E27FC236}">
              <a16:creationId xmlns:a16="http://schemas.microsoft.com/office/drawing/2014/main" id="{00000000-0008-0000-0700-0000E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5" name="Text Box 75">
          <a:extLst>
            <a:ext uri="{FF2B5EF4-FFF2-40B4-BE49-F238E27FC236}">
              <a16:creationId xmlns:a16="http://schemas.microsoft.com/office/drawing/2014/main" id="{00000000-0008-0000-0700-0000E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6" name="Text Box 75">
          <a:extLst>
            <a:ext uri="{FF2B5EF4-FFF2-40B4-BE49-F238E27FC236}">
              <a16:creationId xmlns:a16="http://schemas.microsoft.com/office/drawing/2014/main" id="{00000000-0008-0000-0700-0000E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7" name="Text Box 75">
          <a:extLst>
            <a:ext uri="{FF2B5EF4-FFF2-40B4-BE49-F238E27FC236}">
              <a16:creationId xmlns:a16="http://schemas.microsoft.com/office/drawing/2014/main" id="{00000000-0008-0000-0700-0000E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8" name="Text Box 75">
          <a:extLst>
            <a:ext uri="{FF2B5EF4-FFF2-40B4-BE49-F238E27FC236}">
              <a16:creationId xmlns:a16="http://schemas.microsoft.com/office/drawing/2014/main" id="{00000000-0008-0000-0700-0000E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69" name="Text Box 75">
          <a:extLst>
            <a:ext uri="{FF2B5EF4-FFF2-40B4-BE49-F238E27FC236}">
              <a16:creationId xmlns:a16="http://schemas.microsoft.com/office/drawing/2014/main" id="{00000000-0008-0000-0700-0000E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0" name="Text Box 75">
          <a:extLst>
            <a:ext uri="{FF2B5EF4-FFF2-40B4-BE49-F238E27FC236}">
              <a16:creationId xmlns:a16="http://schemas.microsoft.com/office/drawing/2014/main" id="{00000000-0008-0000-0700-0000E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1" name="Text Box 75">
          <a:extLst>
            <a:ext uri="{FF2B5EF4-FFF2-40B4-BE49-F238E27FC236}">
              <a16:creationId xmlns:a16="http://schemas.microsoft.com/office/drawing/2014/main" id="{00000000-0008-0000-0700-0000E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2" name="Text Box 75">
          <a:extLst>
            <a:ext uri="{FF2B5EF4-FFF2-40B4-BE49-F238E27FC236}">
              <a16:creationId xmlns:a16="http://schemas.microsoft.com/office/drawing/2014/main" id="{00000000-0008-0000-0700-0000E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3" name="Text Box 75">
          <a:extLst>
            <a:ext uri="{FF2B5EF4-FFF2-40B4-BE49-F238E27FC236}">
              <a16:creationId xmlns:a16="http://schemas.microsoft.com/office/drawing/2014/main" id="{00000000-0008-0000-0700-0000E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4" name="Text Box 75">
          <a:extLst>
            <a:ext uri="{FF2B5EF4-FFF2-40B4-BE49-F238E27FC236}">
              <a16:creationId xmlns:a16="http://schemas.microsoft.com/office/drawing/2014/main" id="{00000000-0008-0000-0700-0000E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5" name="Text Box 75">
          <a:extLst>
            <a:ext uri="{FF2B5EF4-FFF2-40B4-BE49-F238E27FC236}">
              <a16:creationId xmlns:a16="http://schemas.microsoft.com/office/drawing/2014/main" id="{00000000-0008-0000-0700-0000E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6" name="Text Box 75">
          <a:extLst>
            <a:ext uri="{FF2B5EF4-FFF2-40B4-BE49-F238E27FC236}">
              <a16:creationId xmlns:a16="http://schemas.microsoft.com/office/drawing/2014/main" id="{00000000-0008-0000-0700-0000F0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7" name="Text Box 75">
          <a:extLst>
            <a:ext uri="{FF2B5EF4-FFF2-40B4-BE49-F238E27FC236}">
              <a16:creationId xmlns:a16="http://schemas.microsoft.com/office/drawing/2014/main" id="{00000000-0008-0000-0700-0000F1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8" name="Text Box 75">
          <a:extLst>
            <a:ext uri="{FF2B5EF4-FFF2-40B4-BE49-F238E27FC236}">
              <a16:creationId xmlns:a16="http://schemas.microsoft.com/office/drawing/2014/main" id="{00000000-0008-0000-0700-0000F2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79" name="Text Box 75">
          <a:extLst>
            <a:ext uri="{FF2B5EF4-FFF2-40B4-BE49-F238E27FC236}">
              <a16:creationId xmlns:a16="http://schemas.microsoft.com/office/drawing/2014/main" id="{00000000-0008-0000-0700-0000F3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0" name="Text Box 75">
          <a:extLst>
            <a:ext uri="{FF2B5EF4-FFF2-40B4-BE49-F238E27FC236}">
              <a16:creationId xmlns:a16="http://schemas.microsoft.com/office/drawing/2014/main" id="{00000000-0008-0000-0700-0000F4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1" name="Text Box 75">
          <a:extLst>
            <a:ext uri="{FF2B5EF4-FFF2-40B4-BE49-F238E27FC236}">
              <a16:creationId xmlns:a16="http://schemas.microsoft.com/office/drawing/2014/main" id="{00000000-0008-0000-0700-0000F5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2" name="Text Box 75">
          <a:extLst>
            <a:ext uri="{FF2B5EF4-FFF2-40B4-BE49-F238E27FC236}">
              <a16:creationId xmlns:a16="http://schemas.microsoft.com/office/drawing/2014/main" id="{00000000-0008-0000-0700-0000F6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3" name="Text Box 75">
          <a:extLst>
            <a:ext uri="{FF2B5EF4-FFF2-40B4-BE49-F238E27FC236}">
              <a16:creationId xmlns:a16="http://schemas.microsoft.com/office/drawing/2014/main" id="{00000000-0008-0000-0700-0000F7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4" name="Text Box 75">
          <a:extLst>
            <a:ext uri="{FF2B5EF4-FFF2-40B4-BE49-F238E27FC236}">
              <a16:creationId xmlns:a16="http://schemas.microsoft.com/office/drawing/2014/main" id="{00000000-0008-0000-0700-0000F8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5" name="Text Box 75">
          <a:extLst>
            <a:ext uri="{FF2B5EF4-FFF2-40B4-BE49-F238E27FC236}">
              <a16:creationId xmlns:a16="http://schemas.microsoft.com/office/drawing/2014/main" id="{00000000-0008-0000-0700-0000F9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6" name="Text Box 75">
          <a:extLst>
            <a:ext uri="{FF2B5EF4-FFF2-40B4-BE49-F238E27FC236}">
              <a16:creationId xmlns:a16="http://schemas.microsoft.com/office/drawing/2014/main" id="{00000000-0008-0000-0700-0000FA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7" name="Text Box 75">
          <a:extLst>
            <a:ext uri="{FF2B5EF4-FFF2-40B4-BE49-F238E27FC236}">
              <a16:creationId xmlns:a16="http://schemas.microsoft.com/office/drawing/2014/main" id="{00000000-0008-0000-0700-0000FB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8" name="Text Box 75">
          <a:extLst>
            <a:ext uri="{FF2B5EF4-FFF2-40B4-BE49-F238E27FC236}">
              <a16:creationId xmlns:a16="http://schemas.microsoft.com/office/drawing/2014/main" id="{00000000-0008-0000-0700-0000FC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89" name="Text Box 75">
          <a:extLst>
            <a:ext uri="{FF2B5EF4-FFF2-40B4-BE49-F238E27FC236}">
              <a16:creationId xmlns:a16="http://schemas.microsoft.com/office/drawing/2014/main" id="{00000000-0008-0000-0700-0000FD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0" name="Text Box 75">
          <a:extLst>
            <a:ext uri="{FF2B5EF4-FFF2-40B4-BE49-F238E27FC236}">
              <a16:creationId xmlns:a16="http://schemas.microsoft.com/office/drawing/2014/main" id="{00000000-0008-0000-0700-0000FE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1" name="Text Box 75">
          <a:extLst>
            <a:ext uri="{FF2B5EF4-FFF2-40B4-BE49-F238E27FC236}">
              <a16:creationId xmlns:a16="http://schemas.microsoft.com/office/drawing/2014/main" id="{00000000-0008-0000-0700-0000FF06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2" name="Text Box 75">
          <a:extLst>
            <a:ext uri="{FF2B5EF4-FFF2-40B4-BE49-F238E27FC236}">
              <a16:creationId xmlns:a16="http://schemas.microsoft.com/office/drawing/2014/main" id="{00000000-0008-0000-0700-000000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3" name="Text Box 75">
          <a:extLst>
            <a:ext uri="{FF2B5EF4-FFF2-40B4-BE49-F238E27FC236}">
              <a16:creationId xmlns:a16="http://schemas.microsoft.com/office/drawing/2014/main" id="{00000000-0008-0000-0700-000001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4" name="Text Box 75">
          <a:extLst>
            <a:ext uri="{FF2B5EF4-FFF2-40B4-BE49-F238E27FC236}">
              <a16:creationId xmlns:a16="http://schemas.microsoft.com/office/drawing/2014/main" id="{00000000-0008-0000-0700-000002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5" name="Text Box 75">
          <a:extLst>
            <a:ext uri="{FF2B5EF4-FFF2-40B4-BE49-F238E27FC236}">
              <a16:creationId xmlns:a16="http://schemas.microsoft.com/office/drawing/2014/main" id="{00000000-0008-0000-0700-000003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6" name="Text Box 75">
          <a:extLst>
            <a:ext uri="{FF2B5EF4-FFF2-40B4-BE49-F238E27FC236}">
              <a16:creationId xmlns:a16="http://schemas.microsoft.com/office/drawing/2014/main" id="{00000000-0008-0000-0700-000004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7" name="Text Box 75">
          <a:extLst>
            <a:ext uri="{FF2B5EF4-FFF2-40B4-BE49-F238E27FC236}">
              <a16:creationId xmlns:a16="http://schemas.microsoft.com/office/drawing/2014/main" id="{00000000-0008-0000-0700-000005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8" name="Text Box 75">
          <a:extLst>
            <a:ext uri="{FF2B5EF4-FFF2-40B4-BE49-F238E27FC236}">
              <a16:creationId xmlns:a16="http://schemas.microsoft.com/office/drawing/2014/main" id="{00000000-0008-0000-0700-000006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799" name="Text Box 75">
          <a:extLst>
            <a:ext uri="{FF2B5EF4-FFF2-40B4-BE49-F238E27FC236}">
              <a16:creationId xmlns:a16="http://schemas.microsoft.com/office/drawing/2014/main" id="{00000000-0008-0000-0700-000007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0" name="Text Box 75">
          <a:extLst>
            <a:ext uri="{FF2B5EF4-FFF2-40B4-BE49-F238E27FC236}">
              <a16:creationId xmlns:a16="http://schemas.microsoft.com/office/drawing/2014/main" id="{00000000-0008-0000-0700-000008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1" name="Text Box 75">
          <a:extLst>
            <a:ext uri="{FF2B5EF4-FFF2-40B4-BE49-F238E27FC236}">
              <a16:creationId xmlns:a16="http://schemas.microsoft.com/office/drawing/2014/main" id="{00000000-0008-0000-0700-000009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2" name="Text Box 75">
          <a:extLst>
            <a:ext uri="{FF2B5EF4-FFF2-40B4-BE49-F238E27FC236}">
              <a16:creationId xmlns:a16="http://schemas.microsoft.com/office/drawing/2014/main" id="{00000000-0008-0000-0700-00000A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3" name="Text Box 75">
          <a:extLst>
            <a:ext uri="{FF2B5EF4-FFF2-40B4-BE49-F238E27FC236}">
              <a16:creationId xmlns:a16="http://schemas.microsoft.com/office/drawing/2014/main" id="{00000000-0008-0000-0700-00000B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4" name="Text Box 75">
          <a:extLst>
            <a:ext uri="{FF2B5EF4-FFF2-40B4-BE49-F238E27FC236}">
              <a16:creationId xmlns:a16="http://schemas.microsoft.com/office/drawing/2014/main" id="{00000000-0008-0000-0700-00000C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5" name="Text Box 75">
          <a:extLst>
            <a:ext uri="{FF2B5EF4-FFF2-40B4-BE49-F238E27FC236}">
              <a16:creationId xmlns:a16="http://schemas.microsoft.com/office/drawing/2014/main" id="{00000000-0008-0000-0700-00000D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6" name="Text Box 75">
          <a:extLst>
            <a:ext uri="{FF2B5EF4-FFF2-40B4-BE49-F238E27FC236}">
              <a16:creationId xmlns:a16="http://schemas.microsoft.com/office/drawing/2014/main" id="{00000000-0008-0000-0700-00000E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7" name="Text Box 75">
          <a:extLst>
            <a:ext uri="{FF2B5EF4-FFF2-40B4-BE49-F238E27FC236}">
              <a16:creationId xmlns:a16="http://schemas.microsoft.com/office/drawing/2014/main" id="{00000000-0008-0000-0700-00000F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8" name="Text Box 75">
          <a:extLst>
            <a:ext uri="{FF2B5EF4-FFF2-40B4-BE49-F238E27FC236}">
              <a16:creationId xmlns:a16="http://schemas.microsoft.com/office/drawing/2014/main" id="{00000000-0008-0000-0700-000010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09" name="Text Box 75">
          <a:extLst>
            <a:ext uri="{FF2B5EF4-FFF2-40B4-BE49-F238E27FC236}">
              <a16:creationId xmlns:a16="http://schemas.microsoft.com/office/drawing/2014/main" id="{00000000-0008-0000-0700-000011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0" name="Text Box 75">
          <a:extLst>
            <a:ext uri="{FF2B5EF4-FFF2-40B4-BE49-F238E27FC236}">
              <a16:creationId xmlns:a16="http://schemas.microsoft.com/office/drawing/2014/main" id="{00000000-0008-0000-0700-000012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1" name="Text Box 75">
          <a:extLst>
            <a:ext uri="{FF2B5EF4-FFF2-40B4-BE49-F238E27FC236}">
              <a16:creationId xmlns:a16="http://schemas.microsoft.com/office/drawing/2014/main" id="{00000000-0008-0000-0700-000013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2" name="Text Box 75">
          <a:extLst>
            <a:ext uri="{FF2B5EF4-FFF2-40B4-BE49-F238E27FC236}">
              <a16:creationId xmlns:a16="http://schemas.microsoft.com/office/drawing/2014/main" id="{00000000-0008-0000-0700-000014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3" name="Text Box 75">
          <a:extLst>
            <a:ext uri="{FF2B5EF4-FFF2-40B4-BE49-F238E27FC236}">
              <a16:creationId xmlns:a16="http://schemas.microsoft.com/office/drawing/2014/main" id="{00000000-0008-0000-0700-000015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4" name="Text Box 75">
          <a:extLst>
            <a:ext uri="{FF2B5EF4-FFF2-40B4-BE49-F238E27FC236}">
              <a16:creationId xmlns:a16="http://schemas.microsoft.com/office/drawing/2014/main" id="{00000000-0008-0000-0700-000016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5" name="Text Box 75">
          <a:extLst>
            <a:ext uri="{FF2B5EF4-FFF2-40B4-BE49-F238E27FC236}">
              <a16:creationId xmlns:a16="http://schemas.microsoft.com/office/drawing/2014/main" id="{00000000-0008-0000-0700-000017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6" name="Text Box 75">
          <a:extLst>
            <a:ext uri="{FF2B5EF4-FFF2-40B4-BE49-F238E27FC236}">
              <a16:creationId xmlns:a16="http://schemas.microsoft.com/office/drawing/2014/main" id="{00000000-0008-0000-0700-000018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7" name="Text Box 75">
          <a:extLst>
            <a:ext uri="{FF2B5EF4-FFF2-40B4-BE49-F238E27FC236}">
              <a16:creationId xmlns:a16="http://schemas.microsoft.com/office/drawing/2014/main" id="{00000000-0008-0000-0700-000019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8" name="Text Box 75">
          <a:extLst>
            <a:ext uri="{FF2B5EF4-FFF2-40B4-BE49-F238E27FC236}">
              <a16:creationId xmlns:a16="http://schemas.microsoft.com/office/drawing/2014/main" id="{00000000-0008-0000-0700-00001A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19" name="Text Box 75">
          <a:extLst>
            <a:ext uri="{FF2B5EF4-FFF2-40B4-BE49-F238E27FC236}">
              <a16:creationId xmlns:a16="http://schemas.microsoft.com/office/drawing/2014/main" id="{00000000-0008-0000-0700-00001B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20" name="Text Box 75">
          <a:extLst>
            <a:ext uri="{FF2B5EF4-FFF2-40B4-BE49-F238E27FC236}">
              <a16:creationId xmlns:a16="http://schemas.microsoft.com/office/drawing/2014/main" id="{00000000-0008-0000-0700-00001C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21" name="Text Box 75">
          <a:extLst>
            <a:ext uri="{FF2B5EF4-FFF2-40B4-BE49-F238E27FC236}">
              <a16:creationId xmlns:a16="http://schemas.microsoft.com/office/drawing/2014/main" id="{00000000-0008-0000-0700-00001D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22" name="Text Box 75">
          <a:extLst>
            <a:ext uri="{FF2B5EF4-FFF2-40B4-BE49-F238E27FC236}">
              <a16:creationId xmlns:a16="http://schemas.microsoft.com/office/drawing/2014/main" id="{00000000-0008-0000-0700-00001E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23" name="Text Box 75">
          <a:extLst>
            <a:ext uri="{FF2B5EF4-FFF2-40B4-BE49-F238E27FC236}">
              <a16:creationId xmlns:a16="http://schemas.microsoft.com/office/drawing/2014/main" id="{00000000-0008-0000-0700-00001F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24" name="Text Box 75">
          <a:extLst>
            <a:ext uri="{FF2B5EF4-FFF2-40B4-BE49-F238E27FC236}">
              <a16:creationId xmlns:a16="http://schemas.microsoft.com/office/drawing/2014/main" id="{00000000-0008-0000-0700-000020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25" name="Text Box 75">
          <a:extLst>
            <a:ext uri="{FF2B5EF4-FFF2-40B4-BE49-F238E27FC236}">
              <a16:creationId xmlns:a16="http://schemas.microsoft.com/office/drawing/2014/main" id="{00000000-0008-0000-0700-000021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26" name="Text Box 75">
          <a:extLst>
            <a:ext uri="{FF2B5EF4-FFF2-40B4-BE49-F238E27FC236}">
              <a16:creationId xmlns:a16="http://schemas.microsoft.com/office/drawing/2014/main" id="{00000000-0008-0000-0700-000022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27" name="Text Box 75">
          <a:extLst>
            <a:ext uri="{FF2B5EF4-FFF2-40B4-BE49-F238E27FC236}">
              <a16:creationId xmlns:a16="http://schemas.microsoft.com/office/drawing/2014/main" id="{00000000-0008-0000-0700-000023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30</xdr:row>
      <xdr:rowOff>3295650</xdr:rowOff>
    </xdr:from>
    <xdr:to>
      <xdr:col>131</xdr:col>
      <xdr:colOff>85725</xdr:colOff>
      <xdr:row>31</xdr:row>
      <xdr:rowOff>346821</xdr:rowOff>
    </xdr:to>
    <xdr:sp macro="" textlink="">
      <xdr:nvSpPr>
        <xdr:cNvPr id="1828" name="Text Box 75">
          <a:extLst>
            <a:ext uri="{FF2B5EF4-FFF2-40B4-BE49-F238E27FC236}">
              <a16:creationId xmlns:a16="http://schemas.microsoft.com/office/drawing/2014/main" id="{00000000-0008-0000-0700-000024070000}"/>
            </a:ext>
          </a:extLst>
        </xdr:cNvPr>
        <xdr:cNvSpPr txBox="1">
          <a:spLocks noChangeArrowheads="1"/>
        </xdr:cNvSpPr>
      </xdr:nvSpPr>
      <xdr:spPr bwMode="auto">
        <a:xfrm>
          <a:off x="7543800" y="22974300"/>
          <a:ext cx="85725" cy="340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29" name="Text Box 75">
          <a:extLst>
            <a:ext uri="{FF2B5EF4-FFF2-40B4-BE49-F238E27FC236}">
              <a16:creationId xmlns:a16="http://schemas.microsoft.com/office/drawing/2014/main" id="{00000000-0008-0000-0700-000025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30" name="Text Box 75">
          <a:extLst>
            <a:ext uri="{FF2B5EF4-FFF2-40B4-BE49-F238E27FC236}">
              <a16:creationId xmlns:a16="http://schemas.microsoft.com/office/drawing/2014/main" id="{00000000-0008-0000-0700-000026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31" name="Text Box 75">
          <a:extLst>
            <a:ext uri="{FF2B5EF4-FFF2-40B4-BE49-F238E27FC236}">
              <a16:creationId xmlns:a16="http://schemas.microsoft.com/office/drawing/2014/main" id="{00000000-0008-0000-0700-000027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32" name="Text Box 75">
          <a:extLst>
            <a:ext uri="{FF2B5EF4-FFF2-40B4-BE49-F238E27FC236}">
              <a16:creationId xmlns:a16="http://schemas.microsoft.com/office/drawing/2014/main" id="{00000000-0008-0000-0700-000028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33" name="Text Box 75">
          <a:extLst>
            <a:ext uri="{FF2B5EF4-FFF2-40B4-BE49-F238E27FC236}">
              <a16:creationId xmlns:a16="http://schemas.microsoft.com/office/drawing/2014/main" id="{00000000-0008-0000-0700-000029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34" name="Text Box 75">
          <a:extLst>
            <a:ext uri="{FF2B5EF4-FFF2-40B4-BE49-F238E27FC236}">
              <a16:creationId xmlns:a16="http://schemas.microsoft.com/office/drawing/2014/main" id="{00000000-0008-0000-0700-00002A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35" name="Text Box 75">
          <a:extLst>
            <a:ext uri="{FF2B5EF4-FFF2-40B4-BE49-F238E27FC236}">
              <a16:creationId xmlns:a16="http://schemas.microsoft.com/office/drawing/2014/main" id="{00000000-0008-0000-0700-00002B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36" name="Text Box 75">
          <a:extLst>
            <a:ext uri="{FF2B5EF4-FFF2-40B4-BE49-F238E27FC236}">
              <a16:creationId xmlns:a16="http://schemas.microsoft.com/office/drawing/2014/main" id="{00000000-0008-0000-0700-00002C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37" name="Text Box 75">
          <a:extLst>
            <a:ext uri="{FF2B5EF4-FFF2-40B4-BE49-F238E27FC236}">
              <a16:creationId xmlns:a16="http://schemas.microsoft.com/office/drawing/2014/main" id="{00000000-0008-0000-0700-00002D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102</xdr:col>
      <xdr:colOff>1400175</xdr:colOff>
      <xdr:row>27</xdr:row>
      <xdr:rowOff>0</xdr:rowOff>
    </xdr:from>
    <xdr:to>
      <xdr:col>103</xdr:col>
      <xdr:colOff>85724</xdr:colOff>
      <xdr:row>27</xdr:row>
      <xdr:rowOff>324970</xdr:rowOff>
    </xdr:to>
    <xdr:sp macro="" textlink="">
      <xdr:nvSpPr>
        <xdr:cNvPr id="1838" name="Text Box 75">
          <a:extLst>
            <a:ext uri="{FF2B5EF4-FFF2-40B4-BE49-F238E27FC236}">
              <a16:creationId xmlns:a16="http://schemas.microsoft.com/office/drawing/2014/main" id="{00000000-0008-0000-0700-00002E070000}"/>
            </a:ext>
          </a:extLst>
        </xdr:cNvPr>
        <xdr:cNvSpPr txBox="1">
          <a:spLocks noChangeArrowheads="1"/>
        </xdr:cNvSpPr>
      </xdr:nvSpPr>
      <xdr:spPr bwMode="auto">
        <a:xfrm>
          <a:off x="6858000" y="24317325"/>
          <a:ext cx="85725" cy="3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31</xdr:row>
      <xdr:rowOff>0</xdr:rowOff>
    </xdr:from>
    <xdr:to>
      <xdr:col>131</xdr:col>
      <xdr:colOff>85725</xdr:colOff>
      <xdr:row>31</xdr:row>
      <xdr:rowOff>319087</xdr:rowOff>
    </xdr:to>
    <xdr:sp macro="" textlink="">
      <xdr:nvSpPr>
        <xdr:cNvPr id="1839" name="Text Box 75">
          <a:extLst>
            <a:ext uri="{FF2B5EF4-FFF2-40B4-BE49-F238E27FC236}">
              <a16:creationId xmlns:a16="http://schemas.microsoft.com/office/drawing/2014/main" id="{00000000-0008-0000-0700-00002F070000}"/>
            </a:ext>
          </a:extLst>
        </xdr:cNvPr>
        <xdr:cNvSpPr txBox="1">
          <a:spLocks noChangeArrowheads="1"/>
        </xdr:cNvSpPr>
      </xdr:nvSpPr>
      <xdr:spPr bwMode="auto">
        <a:xfrm>
          <a:off x="6858000" y="2400300"/>
          <a:ext cx="85725" cy="319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31</xdr:row>
      <xdr:rowOff>0</xdr:rowOff>
    </xdr:from>
    <xdr:to>
      <xdr:col>131</xdr:col>
      <xdr:colOff>85725</xdr:colOff>
      <xdr:row>31</xdr:row>
      <xdr:rowOff>319087</xdr:rowOff>
    </xdr:to>
    <xdr:sp macro="" textlink="">
      <xdr:nvSpPr>
        <xdr:cNvPr id="1840" name="Text Box 75">
          <a:extLst>
            <a:ext uri="{FF2B5EF4-FFF2-40B4-BE49-F238E27FC236}">
              <a16:creationId xmlns:a16="http://schemas.microsoft.com/office/drawing/2014/main" id="{00000000-0008-0000-0700-000030070000}"/>
            </a:ext>
          </a:extLst>
        </xdr:cNvPr>
        <xdr:cNvSpPr txBox="1">
          <a:spLocks noChangeArrowheads="1"/>
        </xdr:cNvSpPr>
      </xdr:nvSpPr>
      <xdr:spPr bwMode="auto">
        <a:xfrm>
          <a:off x="6858000" y="2400300"/>
          <a:ext cx="85725" cy="319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31</xdr:row>
      <xdr:rowOff>0</xdr:rowOff>
    </xdr:from>
    <xdr:to>
      <xdr:col>131</xdr:col>
      <xdr:colOff>85725</xdr:colOff>
      <xdr:row>31</xdr:row>
      <xdr:rowOff>319087</xdr:rowOff>
    </xdr:to>
    <xdr:sp macro="" textlink="">
      <xdr:nvSpPr>
        <xdr:cNvPr id="1841" name="Text Box 75">
          <a:extLst>
            <a:ext uri="{FF2B5EF4-FFF2-40B4-BE49-F238E27FC236}">
              <a16:creationId xmlns:a16="http://schemas.microsoft.com/office/drawing/2014/main" id="{00000000-0008-0000-0700-000031070000}"/>
            </a:ext>
          </a:extLst>
        </xdr:cNvPr>
        <xdr:cNvSpPr txBox="1">
          <a:spLocks noChangeArrowheads="1"/>
        </xdr:cNvSpPr>
      </xdr:nvSpPr>
      <xdr:spPr bwMode="auto">
        <a:xfrm>
          <a:off x="6858000" y="2400300"/>
          <a:ext cx="85725" cy="319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31</xdr:row>
      <xdr:rowOff>0</xdr:rowOff>
    </xdr:from>
    <xdr:to>
      <xdr:col>131</xdr:col>
      <xdr:colOff>85725</xdr:colOff>
      <xdr:row>31</xdr:row>
      <xdr:rowOff>319087</xdr:rowOff>
    </xdr:to>
    <xdr:sp macro="" textlink="">
      <xdr:nvSpPr>
        <xdr:cNvPr id="1842" name="Text Box 75">
          <a:extLst>
            <a:ext uri="{FF2B5EF4-FFF2-40B4-BE49-F238E27FC236}">
              <a16:creationId xmlns:a16="http://schemas.microsoft.com/office/drawing/2014/main" id="{00000000-0008-0000-0700-000032070000}"/>
            </a:ext>
          </a:extLst>
        </xdr:cNvPr>
        <xdr:cNvSpPr txBox="1">
          <a:spLocks noChangeArrowheads="1"/>
        </xdr:cNvSpPr>
      </xdr:nvSpPr>
      <xdr:spPr bwMode="auto">
        <a:xfrm>
          <a:off x="6858000" y="2400300"/>
          <a:ext cx="85725" cy="319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31</xdr:row>
      <xdr:rowOff>0</xdr:rowOff>
    </xdr:from>
    <xdr:to>
      <xdr:col>131</xdr:col>
      <xdr:colOff>85725</xdr:colOff>
      <xdr:row>31</xdr:row>
      <xdr:rowOff>319087</xdr:rowOff>
    </xdr:to>
    <xdr:sp macro="" textlink="">
      <xdr:nvSpPr>
        <xdr:cNvPr id="1843" name="Text Box 75">
          <a:extLst>
            <a:ext uri="{FF2B5EF4-FFF2-40B4-BE49-F238E27FC236}">
              <a16:creationId xmlns:a16="http://schemas.microsoft.com/office/drawing/2014/main" id="{00000000-0008-0000-0700-000033070000}"/>
            </a:ext>
          </a:extLst>
        </xdr:cNvPr>
        <xdr:cNvSpPr txBox="1">
          <a:spLocks noChangeArrowheads="1"/>
        </xdr:cNvSpPr>
      </xdr:nvSpPr>
      <xdr:spPr bwMode="auto">
        <a:xfrm>
          <a:off x="6858000" y="2400300"/>
          <a:ext cx="85725" cy="319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31</xdr:row>
      <xdr:rowOff>0</xdr:rowOff>
    </xdr:from>
    <xdr:to>
      <xdr:col>131</xdr:col>
      <xdr:colOff>85725</xdr:colOff>
      <xdr:row>31</xdr:row>
      <xdr:rowOff>319087</xdr:rowOff>
    </xdr:to>
    <xdr:sp macro="" textlink="">
      <xdr:nvSpPr>
        <xdr:cNvPr id="1844" name="Text Box 75">
          <a:extLst>
            <a:ext uri="{FF2B5EF4-FFF2-40B4-BE49-F238E27FC236}">
              <a16:creationId xmlns:a16="http://schemas.microsoft.com/office/drawing/2014/main" id="{00000000-0008-0000-0700-000034070000}"/>
            </a:ext>
          </a:extLst>
        </xdr:cNvPr>
        <xdr:cNvSpPr txBox="1">
          <a:spLocks noChangeArrowheads="1"/>
        </xdr:cNvSpPr>
      </xdr:nvSpPr>
      <xdr:spPr bwMode="auto">
        <a:xfrm>
          <a:off x="6858000" y="2400300"/>
          <a:ext cx="85725" cy="319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31</xdr:row>
      <xdr:rowOff>0</xdr:rowOff>
    </xdr:from>
    <xdr:to>
      <xdr:col>131</xdr:col>
      <xdr:colOff>85725</xdr:colOff>
      <xdr:row>31</xdr:row>
      <xdr:rowOff>319087</xdr:rowOff>
    </xdr:to>
    <xdr:sp macro="" textlink="">
      <xdr:nvSpPr>
        <xdr:cNvPr id="1845" name="Text Box 75">
          <a:extLst>
            <a:ext uri="{FF2B5EF4-FFF2-40B4-BE49-F238E27FC236}">
              <a16:creationId xmlns:a16="http://schemas.microsoft.com/office/drawing/2014/main" id="{00000000-0008-0000-0700-000035070000}"/>
            </a:ext>
          </a:extLst>
        </xdr:cNvPr>
        <xdr:cNvSpPr txBox="1">
          <a:spLocks noChangeArrowheads="1"/>
        </xdr:cNvSpPr>
      </xdr:nvSpPr>
      <xdr:spPr bwMode="auto">
        <a:xfrm>
          <a:off x="6858000" y="2400300"/>
          <a:ext cx="85725" cy="319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31</xdr:row>
      <xdr:rowOff>0</xdr:rowOff>
    </xdr:from>
    <xdr:to>
      <xdr:col>131</xdr:col>
      <xdr:colOff>85725</xdr:colOff>
      <xdr:row>31</xdr:row>
      <xdr:rowOff>319087</xdr:rowOff>
    </xdr:to>
    <xdr:sp macro="" textlink="">
      <xdr:nvSpPr>
        <xdr:cNvPr id="1846" name="Text Box 75">
          <a:extLst>
            <a:ext uri="{FF2B5EF4-FFF2-40B4-BE49-F238E27FC236}">
              <a16:creationId xmlns:a16="http://schemas.microsoft.com/office/drawing/2014/main" id="{00000000-0008-0000-0700-000036070000}"/>
            </a:ext>
          </a:extLst>
        </xdr:cNvPr>
        <xdr:cNvSpPr txBox="1">
          <a:spLocks noChangeArrowheads="1"/>
        </xdr:cNvSpPr>
      </xdr:nvSpPr>
      <xdr:spPr bwMode="auto">
        <a:xfrm>
          <a:off x="6858000" y="2400300"/>
          <a:ext cx="85725" cy="319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130</xdr:col>
      <xdr:colOff>1400175</xdr:colOff>
      <xdr:row>31</xdr:row>
      <xdr:rowOff>0</xdr:rowOff>
    </xdr:from>
    <xdr:to>
      <xdr:col>131</xdr:col>
      <xdr:colOff>85725</xdr:colOff>
      <xdr:row>31</xdr:row>
      <xdr:rowOff>319087</xdr:rowOff>
    </xdr:to>
    <xdr:sp macro="" textlink="">
      <xdr:nvSpPr>
        <xdr:cNvPr id="1847" name="Text Box 75">
          <a:extLst>
            <a:ext uri="{FF2B5EF4-FFF2-40B4-BE49-F238E27FC236}">
              <a16:creationId xmlns:a16="http://schemas.microsoft.com/office/drawing/2014/main" id="{00000000-0008-0000-0700-000037070000}"/>
            </a:ext>
          </a:extLst>
        </xdr:cNvPr>
        <xdr:cNvSpPr txBox="1">
          <a:spLocks noChangeArrowheads="1"/>
        </xdr:cNvSpPr>
      </xdr:nvSpPr>
      <xdr:spPr bwMode="auto">
        <a:xfrm>
          <a:off x="6858000" y="2400300"/>
          <a:ext cx="85725" cy="319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0</xdr:colOff>
      <xdr:row>53</xdr:row>
      <xdr:rowOff>0</xdr:rowOff>
    </xdr:from>
    <xdr:to>
      <xdr:col>50</xdr:col>
      <xdr:colOff>76200</xdr:colOff>
      <xdr:row>53</xdr:row>
      <xdr:rowOff>194586</xdr:rowOff>
    </xdr:to>
    <xdr:sp macro="" textlink="">
      <xdr:nvSpPr>
        <xdr:cNvPr id="1851" name="Text Box 75">
          <a:extLst>
            <a:ext uri="{FF2B5EF4-FFF2-40B4-BE49-F238E27FC236}">
              <a16:creationId xmlns:a16="http://schemas.microsoft.com/office/drawing/2014/main" id="{00000000-0008-0000-0700-00003B070000}"/>
            </a:ext>
          </a:extLst>
        </xdr:cNvPr>
        <xdr:cNvSpPr txBox="1">
          <a:spLocks noChangeArrowheads="1"/>
        </xdr:cNvSpPr>
      </xdr:nvSpPr>
      <xdr:spPr bwMode="auto">
        <a:xfrm>
          <a:off x="92392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50</xdr:col>
      <xdr:colOff>0</xdr:colOff>
      <xdr:row>8</xdr:row>
      <xdr:rowOff>0</xdr:rowOff>
    </xdr:from>
    <xdr:to>
      <xdr:col>50</xdr:col>
      <xdr:colOff>76200</xdr:colOff>
      <xdr:row>9</xdr:row>
      <xdr:rowOff>707652</xdr:rowOff>
    </xdr:to>
    <xdr:sp macro="" textlink="">
      <xdr:nvSpPr>
        <xdr:cNvPr id="1852" name="Text Box 75">
          <a:extLst>
            <a:ext uri="{FF2B5EF4-FFF2-40B4-BE49-F238E27FC236}">
              <a16:creationId xmlns:a16="http://schemas.microsoft.com/office/drawing/2014/main" id="{00000000-0008-0000-0700-00003C070000}"/>
            </a:ext>
          </a:extLst>
        </xdr:cNvPr>
        <xdr:cNvSpPr txBox="1">
          <a:spLocks noChangeArrowheads="1"/>
        </xdr:cNvSpPr>
      </xdr:nvSpPr>
      <xdr:spPr bwMode="auto">
        <a:xfrm>
          <a:off x="9239250" y="1498282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62</xdr:col>
      <xdr:colOff>0</xdr:colOff>
      <xdr:row>0</xdr:row>
      <xdr:rowOff>0</xdr:rowOff>
    </xdr:from>
    <xdr:to>
      <xdr:col>62</xdr:col>
      <xdr:colOff>76200</xdr:colOff>
      <xdr:row>2</xdr:row>
      <xdr:rowOff>45028</xdr:rowOff>
    </xdr:to>
    <xdr:sp macro="" textlink="">
      <xdr:nvSpPr>
        <xdr:cNvPr id="1857" name="Text Box 75">
          <a:extLst>
            <a:ext uri="{FF2B5EF4-FFF2-40B4-BE49-F238E27FC236}">
              <a16:creationId xmlns:a16="http://schemas.microsoft.com/office/drawing/2014/main" id="{00000000-0008-0000-0700-000041070000}"/>
            </a:ext>
          </a:extLst>
        </xdr:cNvPr>
        <xdr:cNvSpPr txBox="1">
          <a:spLocks noChangeArrowheads="1"/>
        </xdr:cNvSpPr>
      </xdr:nvSpPr>
      <xdr:spPr bwMode="auto">
        <a:xfrm>
          <a:off x="92392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62</xdr:col>
      <xdr:colOff>0</xdr:colOff>
      <xdr:row>0</xdr:row>
      <xdr:rowOff>0</xdr:rowOff>
    </xdr:from>
    <xdr:to>
      <xdr:col>62</xdr:col>
      <xdr:colOff>76200</xdr:colOff>
      <xdr:row>2</xdr:row>
      <xdr:rowOff>47625</xdr:rowOff>
    </xdr:to>
    <xdr:sp macro="" textlink="">
      <xdr:nvSpPr>
        <xdr:cNvPr id="1859" name="Text Box 75">
          <a:extLst>
            <a:ext uri="{FF2B5EF4-FFF2-40B4-BE49-F238E27FC236}">
              <a16:creationId xmlns:a16="http://schemas.microsoft.com/office/drawing/2014/main" id="{00000000-0008-0000-0700-000043070000}"/>
            </a:ext>
          </a:extLst>
        </xdr:cNvPr>
        <xdr:cNvSpPr txBox="1">
          <a:spLocks noChangeArrowheads="1"/>
        </xdr:cNvSpPr>
      </xdr:nvSpPr>
      <xdr:spPr bwMode="auto">
        <a:xfrm>
          <a:off x="9239250" y="2266950"/>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74</xdr:col>
      <xdr:colOff>0</xdr:colOff>
      <xdr:row>0</xdr:row>
      <xdr:rowOff>0</xdr:rowOff>
    </xdr:from>
    <xdr:to>
      <xdr:col>74</xdr:col>
      <xdr:colOff>76200</xdr:colOff>
      <xdr:row>2</xdr:row>
      <xdr:rowOff>47625</xdr:rowOff>
    </xdr:to>
    <xdr:sp macro="" textlink="">
      <xdr:nvSpPr>
        <xdr:cNvPr id="1860" name="Text Box 75">
          <a:extLst>
            <a:ext uri="{FF2B5EF4-FFF2-40B4-BE49-F238E27FC236}">
              <a16:creationId xmlns:a16="http://schemas.microsoft.com/office/drawing/2014/main" id="{00000000-0008-0000-0700-000044070000}"/>
            </a:ext>
          </a:extLst>
        </xdr:cNvPr>
        <xdr:cNvSpPr txBox="1">
          <a:spLocks noChangeArrowheads="1"/>
        </xdr:cNvSpPr>
      </xdr:nvSpPr>
      <xdr:spPr bwMode="auto">
        <a:xfrm>
          <a:off x="9239250" y="2266950"/>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118</xdr:col>
      <xdr:colOff>0</xdr:colOff>
      <xdr:row>0</xdr:row>
      <xdr:rowOff>0</xdr:rowOff>
    </xdr:from>
    <xdr:to>
      <xdr:col>118</xdr:col>
      <xdr:colOff>76200</xdr:colOff>
      <xdr:row>2</xdr:row>
      <xdr:rowOff>45028</xdr:rowOff>
    </xdr:to>
    <xdr:sp macro="" textlink="">
      <xdr:nvSpPr>
        <xdr:cNvPr id="1863" name="Text Box 75">
          <a:extLst>
            <a:ext uri="{FF2B5EF4-FFF2-40B4-BE49-F238E27FC236}">
              <a16:creationId xmlns:a16="http://schemas.microsoft.com/office/drawing/2014/main" id="{00000000-0008-0000-0700-000047070000}"/>
            </a:ext>
          </a:extLst>
        </xdr:cNvPr>
        <xdr:cNvSpPr txBox="1">
          <a:spLocks noChangeArrowheads="1"/>
        </xdr:cNvSpPr>
      </xdr:nvSpPr>
      <xdr:spPr bwMode="auto">
        <a:xfrm>
          <a:off x="92392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118</xdr:col>
      <xdr:colOff>0</xdr:colOff>
      <xdr:row>39</xdr:row>
      <xdr:rowOff>0</xdr:rowOff>
    </xdr:from>
    <xdr:to>
      <xdr:col>118</xdr:col>
      <xdr:colOff>76200</xdr:colOff>
      <xdr:row>40</xdr:row>
      <xdr:rowOff>148478</xdr:rowOff>
    </xdr:to>
    <xdr:sp macro="" textlink="">
      <xdr:nvSpPr>
        <xdr:cNvPr id="1865" name="Text Box 75">
          <a:extLst>
            <a:ext uri="{FF2B5EF4-FFF2-40B4-BE49-F238E27FC236}">
              <a16:creationId xmlns:a16="http://schemas.microsoft.com/office/drawing/2014/main" id="{00000000-0008-0000-0700-000049070000}"/>
            </a:ext>
          </a:extLst>
        </xdr:cNvPr>
        <xdr:cNvSpPr txBox="1">
          <a:spLocks noChangeArrowheads="1"/>
        </xdr:cNvSpPr>
      </xdr:nvSpPr>
      <xdr:spPr bwMode="auto">
        <a:xfrm>
          <a:off x="92392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0</xdr:row>
      <xdr:rowOff>0</xdr:rowOff>
    </xdr:from>
    <xdr:to>
      <xdr:col>119</xdr:col>
      <xdr:colOff>76200</xdr:colOff>
      <xdr:row>2</xdr:row>
      <xdr:rowOff>45028</xdr:rowOff>
    </xdr:to>
    <xdr:sp macro="" textlink="">
      <xdr:nvSpPr>
        <xdr:cNvPr id="1867" name="Text Box 75">
          <a:extLst>
            <a:ext uri="{FF2B5EF4-FFF2-40B4-BE49-F238E27FC236}">
              <a16:creationId xmlns:a16="http://schemas.microsoft.com/office/drawing/2014/main" id="{00000000-0008-0000-0700-00004B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0</xdr:row>
      <xdr:rowOff>0</xdr:rowOff>
    </xdr:from>
    <xdr:to>
      <xdr:col>119</xdr:col>
      <xdr:colOff>76200</xdr:colOff>
      <xdr:row>2</xdr:row>
      <xdr:rowOff>45028</xdr:rowOff>
    </xdr:to>
    <xdr:sp macro="" textlink="">
      <xdr:nvSpPr>
        <xdr:cNvPr id="1868" name="Text Box 75">
          <a:extLst>
            <a:ext uri="{FF2B5EF4-FFF2-40B4-BE49-F238E27FC236}">
              <a16:creationId xmlns:a16="http://schemas.microsoft.com/office/drawing/2014/main" id="{00000000-0008-0000-0700-00004C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26</xdr:row>
      <xdr:rowOff>0</xdr:rowOff>
    </xdr:from>
    <xdr:to>
      <xdr:col>119</xdr:col>
      <xdr:colOff>76200</xdr:colOff>
      <xdr:row>26</xdr:row>
      <xdr:rowOff>481852</xdr:rowOff>
    </xdr:to>
    <xdr:sp macro="" textlink="">
      <xdr:nvSpPr>
        <xdr:cNvPr id="1869" name="Text Box 75">
          <a:extLst>
            <a:ext uri="{FF2B5EF4-FFF2-40B4-BE49-F238E27FC236}">
              <a16:creationId xmlns:a16="http://schemas.microsoft.com/office/drawing/2014/main" id="{00000000-0008-0000-0700-00004D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26</xdr:row>
      <xdr:rowOff>0</xdr:rowOff>
    </xdr:from>
    <xdr:to>
      <xdr:col>119</xdr:col>
      <xdr:colOff>76200</xdr:colOff>
      <xdr:row>26</xdr:row>
      <xdr:rowOff>481852</xdr:rowOff>
    </xdr:to>
    <xdr:sp macro="" textlink="">
      <xdr:nvSpPr>
        <xdr:cNvPr id="1870" name="Text Box 75">
          <a:extLst>
            <a:ext uri="{FF2B5EF4-FFF2-40B4-BE49-F238E27FC236}">
              <a16:creationId xmlns:a16="http://schemas.microsoft.com/office/drawing/2014/main" id="{00000000-0008-0000-0700-00004E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39</xdr:row>
      <xdr:rowOff>0</xdr:rowOff>
    </xdr:from>
    <xdr:to>
      <xdr:col>119</xdr:col>
      <xdr:colOff>76200</xdr:colOff>
      <xdr:row>40</xdr:row>
      <xdr:rowOff>148478</xdr:rowOff>
    </xdr:to>
    <xdr:sp macro="" textlink="">
      <xdr:nvSpPr>
        <xdr:cNvPr id="1871" name="Text Box 75">
          <a:extLst>
            <a:ext uri="{FF2B5EF4-FFF2-40B4-BE49-F238E27FC236}">
              <a16:creationId xmlns:a16="http://schemas.microsoft.com/office/drawing/2014/main" id="{00000000-0008-0000-0700-00004F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39</xdr:row>
      <xdr:rowOff>0</xdr:rowOff>
    </xdr:from>
    <xdr:to>
      <xdr:col>119</xdr:col>
      <xdr:colOff>76200</xdr:colOff>
      <xdr:row>40</xdr:row>
      <xdr:rowOff>148478</xdr:rowOff>
    </xdr:to>
    <xdr:sp macro="" textlink="">
      <xdr:nvSpPr>
        <xdr:cNvPr id="1872" name="Text Box 75">
          <a:extLst>
            <a:ext uri="{FF2B5EF4-FFF2-40B4-BE49-F238E27FC236}">
              <a16:creationId xmlns:a16="http://schemas.microsoft.com/office/drawing/2014/main" id="{00000000-0008-0000-0700-000050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37</xdr:row>
      <xdr:rowOff>0</xdr:rowOff>
    </xdr:from>
    <xdr:to>
      <xdr:col>119</xdr:col>
      <xdr:colOff>76200</xdr:colOff>
      <xdr:row>37</xdr:row>
      <xdr:rowOff>499382</xdr:rowOff>
    </xdr:to>
    <xdr:sp macro="" textlink="">
      <xdr:nvSpPr>
        <xdr:cNvPr id="1873" name="Text Box 75">
          <a:extLst>
            <a:ext uri="{FF2B5EF4-FFF2-40B4-BE49-F238E27FC236}">
              <a16:creationId xmlns:a16="http://schemas.microsoft.com/office/drawing/2014/main" id="{00000000-0008-0000-0700-000051070000}"/>
            </a:ext>
          </a:extLst>
        </xdr:cNvPr>
        <xdr:cNvSpPr txBox="1">
          <a:spLocks noChangeArrowheads="1"/>
        </xdr:cNvSpPr>
      </xdr:nvSpPr>
      <xdr:spPr bwMode="auto">
        <a:xfrm>
          <a:off x="6457950" y="201072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37</xdr:row>
      <xdr:rowOff>0</xdr:rowOff>
    </xdr:from>
    <xdr:to>
      <xdr:col>119</xdr:col>
      <xdr:colOff>76200</xdr:colOff>
      <xdr:row>37</xdr:row>
      <xdr:rowOff>499382</xdr:rowOff>
    </xdr:to>
    <xdr:sp macro="" textlink="">
      <xdr:nvSpPr>
        <xdr:cNvPr id="1874" name="Text Box 75">
          <a:extLst>
            <a:ext uri="{FF2B5EF4-FFF2-40B4-BE49-F238E27FC236}">
              <a16:creationId xmlns:a16="http://schemas.microsoft.com/office/drawing/2014/main" id="{00000000-0008-0000-0700-000052070000}"/>
            </a:ext>
          </a:extLst>
        </xdr:cNvPr>
        <xdr:cNvSpPr txBox="1">
          <a:spLocks noChangeArrowheads="1"/>
        </xdr:cNvSpPr>
      </xdr:nvSpPr>
      <xdr:spPr bwMode="auto">
        <a:xfrm>
          <a:off x="6457950" y="201072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114</xdr:col>
      <xdr:colOff>0</xdr:colOff>
      <xdr:row>0</xdr:row>
      <xdr:rowOff>0</xdr:rowOff>
    </xdr:from>
    <xdr:to>
      <xdr:col>114</xdr:col>
      <xdr:colOff>76200</xdr:colOff>
      <xdr:row>2</xdr:row>
      <xdr:rowOff>45028</xdr:rowOff>
    </xdr:to>
    <xdr:sp macro="" textlink="">
      <xdr:nvSpPr>
        <xdr:cNvPr id="1875" name="Text Box 75">
          <a:extLst>
            <a:ext uri="{FF2B5EF4-FFF2-40B4-BE49-F238E27FC236}">
              <a16:creationId xmlns:a16="http://schemas.microsoft.com/office/drawing/2014/main" id="{00000000-0008-0000-0700-000053070000}"/>
            </a:ext>
          </a:extLst>
        </xdr:cNvPr>
        <xdr:cNvSpPr txBox="1">
          <a:spLocks noChangeArrowheads="1"/>
        </xdr:cNvSpPr>
      </xdr:nvSpPr>
      <xdr:spPr bwMode="auto">
        <a:xfrm>
          <a:off x="92392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114</xdr:col>
      <xdr:colOff>0</xdr:colOff>
      <xdr:row>0</xdr:row>
      <xdr:rowOff>0</xdr:rowOff>
    </xdr:from>
    <xdr:to>
      <xdr:col>114</xdr:col>
      <xdr:colOff>76200</xdr:colOff>
      <xdr:row>2</xdr:row>
      <xdr:rowOff>45028</xdr:rowOff>
    </xdr:to>
    <xdr:sp macro="" textlink="">
      <xdr:nvSpPr>
        <xdr:cNvPr id="1876" name="Text Box 75">
          <a:extLst>
            <a:ext uri="{FF2B5EF4-FFF2-40B4-BE49-F238E27FC236}">
              <a16:creationId xmlns:a16="http://schemas.microsoft.com/office/drawing/2014/main" id="{00000000-0008-0000-0700-000054070000}"/>
            </a:ext>
          </a:extLst>
        </xdr:cNvPr>
        <xdr:cNvSpPr txBox="1">
          <a:spLocks noChangeArrowheads="1"/>
        </xdr:cNvSpPr>
      </xdr:nvSpPr>
      <xdr:spPr bwMode="auto">
        <a:xfrm>
          <a:off x="92392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114</xdr:col>
      <xdr:colOff>0</xdr:colOff>
      <xdr:row>0</xdr:row>
      <xdr:rowOff>0</xdr:rowOff>
    </xdr:from>
    <xdr:to>
      <xdr:col>114</xdr:col>
      <xdr:colOff>76200</xdr:colOff>
      <xdr:row>2</xdr:row>
      <xdr:rowOff>45028</xdr:rowOff>
    </xdr:to>
    <xdr:sp macro="" textlink="">
      <xdr:nvSpPr>
        <xdr:cNvPr id="1877" name="Text Box 75">
          <a:extLst>
            <a:ext uri="{FF2B5EF4-FFF2-40B4-BE49-F238E27FC236}">
              <a16:creationId xmlns:a16="http://schemas.microsoft.com/office/drawing/2014/main" id="{00000000-0008-0000-0700-000055070000}"/>
            </a:ext>
          </a:extLst>
        </xdr:cNvPr>
        <xdr:cNvSpPr txBox="1">
          <a:spLocks noChangeArrowheads="1"/>
        </xdr:cNvSpPr>
      </xdr:nvSpPr>
      <xdr:spPr bwMode="auto">
        <a:xfrm>
          <a:off x="92392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134</xdr:col>
      <xdr:colOff>0</xdr:colOff>
      <xdr:row>0</xdr:row>
      <xdr:rowOff>0</xdr:rowOff>
    </xdr:from>
    <xdr:to>
      <xdr:col>134</xdr:col>
      <xdr:colOff>76200</xdr:colOff>
      <xdr:row>2</xdr:row>
      <xdr:rowOff>45028</xdr:rowOff>
    </xdr:to>
    <xdr:sp macro="" textlink="">
      <xdr:nvSpPr>
        <xdr:cNvPr id="1881" name="Text Box 75">
          <a:extLst>
            <a:ext uri="{FF2B5EF4-FFF2-40B4-BE49-F238E27FC236}">
              <a16:creationId xmlns:a16="http://schemas.microsoft.com/office/drawing/2014/main" id="{00000000-0008-0000-0700-000059070000}"/>
            </a:ext>
          </a:extLst>
        </xdr:cNvPr>
        <xdr:cNvSpPr txBox="1">
          <a:spLocks noChangeArrowheads="1"/>
        </xdr:cNvSpPr>
      </xdr:nvSpPr>
      <xdr:spPr bwMode="auto">
        <a:xfrm>
          <a:off x="92392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135</xdr:col>
      <xdr:colOff>0</xdr:colOff>
      <xdr:row>0</xdr:row>
      <xdr:rowOff>0</xdr:rowOff>
    </xdr:from>
    <xdr:to>
      <xdr:col>135</xdr:col>
      <xdr:colOff>76200</xdr:colOff>
      <xdr:row>2</xdr:row>
      <xdr:rowOff>45028</xdr:rowOff>
    </xdr:to>
    <xdr:sp macro="" textlink="">
      <xdr:nvSpPr>
        <xdr:cNvPr id="1884" name="Text Box 75">
          <a:extLst>
            <a:ext uri="{FF2B5EF4-FFF2-40B4-BE49-F238E27FC236}">
              <a16:creationId xmlns:a16="http://schemas.microsoft.com/office/drawing/2014/main" id="{00000000-0008-0000-0700-00005C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135</xdr:col>
      <xdr:colOff>0</xdr:colOff>
      <xdr:row>14</xdr:row>
      <xdr:rowOff>0</xdr:rowOff>
    </xdr:from>
    <xdr:to>
      <xdr:col>135</xdr:col>
      <xdr:colOff>76200</xdr:colOff>
      <xdr:row>14</xdr:row>
      <xdr:rowOff>481852</xdr:rowOff>
    </xdr:to>
    <xdr:sp macro="" textlink="">
      <xdr:nvSpPr>
        <xdr:cNvPr id="1885" name="Text Box 75">
          <a:extLst>
            <a:ext uri="{FF2B5EF4-FFF2-40B4-BE49-F238E27FC236}">
              <a16:creationId xmlns:a16="http://schemas.microsoft.com/office/drawing/2014/main" id="{00000000-0008-0000-0700-00005D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135</xdr:col>
      <xdr:colOff>0</xdr:colOff>
      <xdr:row>14</xdr:row>
      <xdr:rowOff>0</xdr:rowOff>
    </xdr:from>
    <xdr:to>
      <xdr:col>135</xdr:col>
      <xdr:colOff>76200</xdr:colOff>
      <xdr:row>14</xdr:row>
      <xdr:rowOff>481852</xdr:rowOff>
    </xdr:to>
    <xdr:sp macro="" textlink="">
      <xdr:nvSpPr>
        <xdr:cNvPr id="1886" name="Text Box 75">
          <a:extLst>
            <a:ext uri="{FF2B5EF4-FFF2-40B4-BE49-F238E27FC236}">
              <a16:creationId xmlns:a16="http://schemas.microsoft.com/office/drawing/2014/main" id="{00000000-0008-0000-0700-00005E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135</xdr:col>
      <xdr:colOff>0</xdr:colOff>
      <xdr:row>0</xdr:row>
      <xdr:rowOff>0</xdr:rowOff>
    </xdr:from>
    <xdr:to>
      <xdr:col>135</xdr:col>
      <xdr:colOff>76200</xdr:colOff>
      <xdr:row>2</xdr:row>
      <xdr:rowOff>45028</xdr:rowOff>
    </xdr:to>
    <xdr:sp macro="" textlink="">
      <xdr:nvSpPr>
        <xdr:cNvPr id="1887" name="Text Box 75">
          <a:extLst>
            <a:ext uri="{FF2B5EF4-FFF2-40B4-BE49-F238E27FC236}">
              <a16:creationId xmlns:a16="http://schemas.microsoft.com/office/drawing/2014/main" id="{00000000-0008-0000-0700-00005F070000}"/>
            </a:ext>
          </a:extLst>
        </xdr:cNvPr>
        <xdr:cNvSpPr txBox="1">
          <a:spLocks noChangeArrowheads="1"/>
        </xdr:cNvSpPr>
      </xdr:nvSpPr>
      <xdr:spPr bwMode="auto">
        <a:xfrm>
          <a:off x="6457950" y="226695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14</xdr:row>
      <xdr:rowOff>0</xdr:rowOff>
    </xdr:from>
    <xdr:to>
      <xdr:col>119</xdr:col>
      <xdr:colOff>76200</xdr:colOff>
      <xdr:row>14</xdr:row>
      <xdr:rowOff>495300</xdr:rowOff>
    </xdr:to>
    <xdr:sp macro="" textlink="">
      <xdr:nvSpPr>
        <xdr:cNvPr id="1889" name="Text Box 75">
          <a:extLst>
            <a:ext uri="{FF2B5EF4-FFF2-40B4-BE49-F238E27FC236}">
              <a16:creationId xmlns:a16="http://schemas.microsoft.com/office/drawing/2014/main" id="{00000000-0008-0000-0700-000061070000}"/>
            </a:ext>
          </a:extLst>
        </xdr:cNvPr>
        <xdr:cNvSpPr txBox="1">
          <a:spLocks noChangeArrowheads="1"/>
        </xdr:cNvSpPr>
      </xdr:nvSpPr>
      <xdr:spPr bwMode="auto">
        <a:xfrm>
          <a:off x="6457950" y="2266950"/>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119</xdr:col>
      <xdr:colOff>0</xdr:colOff>
      <xdr:row>14</xdr:row>
      <xdr:rowOff>0</xdr:rowOff>
    </xdr:from>
    <xdr:to>
      <xdr:col>119</xdr:col>
      <xdr:colOff>76200</xdr:colOff>
      <xdr:row>14</xdr:row>
      <xdr:rowOff>495300</xdr:rowOff>
    </xdr:to>
    <xdr:sp macro="" textlink="">
      <xdr:nvSpPr>
        <xdr:cNvPr id="1890" name="Text Box 75">
          <a:extLst>
            <a:ext uri="{FF2B5EF4-FFF2-40B4-BE49-F238E27FC236}">
              <a16:creationId xmlns:a16="http://schemas.microsoft.com/office/drawing/2014/main" id="{00000000-0008-0000-0700-000062070000}"/>
            </a:ext>
          </a:extLst>
        </xdr:cNvPr>
        <xdr:cNvSpPr txBox="1">
          <a:spLocks noChangeArrowheads="1"/>
        </xdr:cNvSpPr>
      </xdr:nvSpPr>
      <xdr:spPr bwMode="auto">
        <a:xfrm>
          <a:off x="6457950" y="2266950"/>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74</xdr:col>
      <xdr:colOff>0</xdr:colOff>
      <xdr:row>28</xdr:row>
      <xdr:rowOff>0</xdr:rowOff>
    </xdr:from>
    <xdr:ext cx="76200" cy="512108"/>
    <xdr:sp macro="" textlink="">
      <xdr:nvSpPr>
        <xdr:cNvPr id="1891" name="Text Box 75">
          <a:extLst>
            <a:ext uri="{FF2B5EF4-FFF2-40B4-BE49-F238E27FC236}">
              <a16:creationId xmlns:a16="http://schemas.microsoft.com/office/drawing/2014/main" id="{00000000-0008-0000-0700-000063070000}"/>
            </a:ext>
          </a:extLst>
        </xdr:cNvPr>
        <xdr:cNvSpPr txBox="1">
          <a:spLocks noChangeArrowheads="1"/>
        </xdr:cNvSpPr>
      </xdr:nvSpPr>
      <xdr:spPr bwMode="auto">
        <a:xfrm>
          <a:off x="122502706" y="2039471"/>
          <a:ext cx="76200" cy="5121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22</xdr:row>
      <xdr:rowOff>0</xdr:rowOff>
    </xdr:from>
    <xdr:ext cx="76200" cy="505946"/>
    <xdr:sp macro="" textlink="">
      <xdr:nvSpPr>
        <xdr:cNvPr id="1892" name="Text Box 75">
          <a:extLst>
            <a:ext uri="{FF2B5EF4-FFF2-40B4-BE49-F238E27FC236}">
              <a16:creationId xmlns:a16="http://schemas.microsoft.com/office/drawing/2014/main" id="{00000000-0008-0000-0700-000064070000}"/>
            </a:ext>
          </a:extLst>
        </xdr:cNvPr>
        <xdr:cNvSpPr txBox="1">
          <a:spLocks noChangeArrowheads="1"/>
        </xdr:cNvSpPr>
      </xdr:nvSpPr>
      <xdr:spPr bwMode="auto">
        <a:xfrm>
          <a:off x="122502706" y="4067735"/>
          <a:ext cx="76200" cy="5059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oneCell">
    <xdr:from>
      <xdr:col>135</xdr:col>
      <xdr:colOff>0</xdr:colOff>
      <xdr:row>29</xdr:row>
      <xdr:rowOff>0</xdr:rowOff>
    </xdr:from>
    <xdr:to>
      <xdr:col>135</xdr:col>
      <xdr:colOff>76200</xdr:colOff>
      <xdr:row>29</xdr:row>
      <xdr:rowOff>228600</xdr:rowOff>
    </xdr:to>
    <xdr:sp macro="" textlink="">
      <xdr:nvSpPr>
        <xdr:cNvPr id="1894" name="Text Box 75">
          <a:extLst>
            <a:ext uri="{FF2B5EF4-FFF2-40B4-BE49-F238E27FC236}">
              <a16:creationId xmlns:a16="http://schemas.microsoft.com/office/drawing/2014/main" id="{00000000-0008-0000-0700-000066070000}"/>
            </a:ext>
          </a:extLst>
        </xdr:cNvPr>
        <xdr:cNvSpPr txBox="1">
          <a:spLocks noChangeArrowheads="1"/>
        </xdr:cNvSpPr>
      </xdr:nvSpPr>
      <xdr:spPr bwMode="auto">
        <a:xfrm>
          <a:off x="7219950" y="1859280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74</xdr:col>
      <xdr:colOff>0</xdr:colOff>
      <xdr:row>21</xdr:row>
      <xdr:rowOff>0</xdr:rowOff>
    </xdr:from>
    <xdr:ext cx="76200" cy="505946"/>
    <xdr:sp macro="" textlink="">
      <xdr:nvSpPr>
        <xdr:cNvPr id="1898" name="Text Box 75">
          <a:extLst>
            <a:ext uri="{FF2B5EF4-FFF2-40B4-BE49-F238E27FC236}">
              <a16:creationId xmlns:a16="http://schemas.microsoft.com/office/drawing/2014/main" id="{00000000-0008-0000-0700-00006A070000}"/>
            </a:ext>
          </a:extLst>
        </xdr:cNvPr>
        <xdr:cNvSpPr txBox="1">
          <a:spLocks noChangeArrowheads="1"/>
        </xdr:cNvSpPr>
      </xdr:nvSpPr>
      <xdr:spPr bwMode="auto">
        <a:xfrm>
          <a:off x="122246571" y="12899571"/>
          <a:ext cx="76200" cy="5059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135</xdr:col>
      <xdr:colOff>0</xdr:colOff>
      <xdr:row>23</xdr:row>
      <xdr:rowOff>0</xdr:rowOff>
    </xdr:from>
    <xdr:ext cx="76200" cy="228600"/>
    <xdr:sp macro="" textlink="">
      <xdr:nvSpPr>
        <xdr:cNvPr id="1900" name="Text Box 75">
          <a:extLst>
            <a:ext uri="{FF2B5EF4-FFF2-40B4-BE49-F238E27FC236}">
              <a16:creationId xmlns:a16="http://schemas.microsoft.com/office/drawing/2014/main" id="{00000000-0008-0000-0700-00006C070000}"/>
            </a:ext>
          </a:extLst>
        </xdr:cNvPr>
        <xdr:cNvSpPr txBox="1">
          <a:spLocks noChangeArrowheads="1"/>
        </xdr:cNvSpPr>
      </xdr:nvSpPr>
      <xdr:spPr bwMode="auto">
        <a:xfrm>
          <a:off x="226817464" y="13008429"/>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138</xdr:col>
      <xdr:colOff>0</xdr:colOff>
      <xdr:row>17</xdr:row>
      <xdr:rowOff>0</xdr:rowOff>
    </xdr:from>
    <xdr:ext cx="76200" cy="489858"/>
    <xdr:sp macro="" textlink="">
      <xdr:nvSpPr>
        <xdr:cNvPr id="1902" name="Text Box 75">
          <a:extLst>
            <a:ext uri="{FF2B5EF4-FFF2-40B4-BE49-F238E27FC236}">
              <a16:creationId xmlns:a16="http://schemas.microsoft.com/office/drawing/2014/main" id="{00000000-0008-0000-0700-00006E070000}"/>
            </a:ext>
          </a:extLst>
        </xdr:cNvPr>
        <xdr:cNvSpPr txBox="1">
          <a:spLocks noChangeArrowheads="1"/>
        </xdr:cNvSpPr>
      </xdr:nvSpPr>
      <xdr:spPr bwMode="auto">
        <a:xfrm>
          <a:off x="226523550"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138</xdr:col>
      <xdr:colOff>0</xdr:colOff>
      <xdr:row>0</xdr:row>
      <xdr:rowOff>0</xdr:rowOff>
    </xdr:from>
    <xdr:ext cx="76200" cy="502228"/>
    <xdr:sp macro="" textlink="">
      <xdr:nvSpPr>
        <xdr:cNvPr id="1903" name="Text Box 75">
          <a:extLst>
            <a:ext uri="{FF2B5EF4-FFF2-40B4-BE49-F238E27FC236}">
              <a16:creationId xmlns:a16="http://schemas.microsoft.com/office/drawing/2014/main" id="{00000000-0008-0000-0700-00006F070000}"/>
            </a:ext>
          </a:extLst>
        </xdr:cNvPr>
        <xdr:cNvSpPr txBox="1">
          <a:spLocks noChangeArrowheads="1"/>
        </xdr:cNvSpPr>
      </xdr:nvSpPr>
      <xdr:spPr bwMode="auto">
        <a:xfrm>
          <a:off x="226523550"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138</xdr:col>
      <xdr:colOff>0</xdr:colOff>
      <xdr:row>12</xdr:row>
      <xdr:rowOff>0</xdr:rowOff>
    </xdr:from>
    <xdr:ext cx="76200" cy="504825"/>
    <xdr:sp macro="" textlink="">
      <xdr:nvSpPr>
        <xdr:cNvPr id="1904" name="Text Box 75">
          <a:extLst>
            <a:ext uri="{FF2B5EF4-FFF2-40B4-BE49-F238E27FC236}">
              <a16:creationId xmlns:a16="http://schemas.microsoft.com/office/drawing/2014/main" id="{00000000-0008-0000-0700-000070070000}"/>
            </a:ext>
          </a:extLst>
        </xdr:cNvPr>
        <xdr:cNvSpPr txBox="1">
          <a:spLocks noChangeArrowheads="1"/>
        </xdr:cNvSpPr>
      </xdr:nvSpPr>
      <xdr:spPr bwMode="auto">
        <a:xfrm>
          <a:off x="226523550"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139</xdr:col>
      <xdr:colOff>0</xdr:colOff>
      <xdr:row>0</xdr:row>
      <xdr:rowOff>0</xdr:rowOff>
    </xdr:from>
    <xdr:ext cx="76200" cy="502228"/>
    <xdr:sp macro="" textlink="">
      <xdr:nvSpPr>
        <xdr:cNvPr id="1905" name="Text Box 75">
          <a:extLst>
            <a:ext uri="{FF2B5EF4-FFF2-40B4-BE49-F238E27FC236}">
              <a16:creationId xmlns:a16="http://schemas.microsoft.com/office/drawing/2014/main" id="{00000000-0008-0000-0700-000071070000}"/>
            </a:ext>
          </a:extLst>
        </xdr:cNvPr>
        <xdr:cNvSpPr txBox="1">
          <a:spLocks noChangeArrowheads="1"/>
        </xdr:cNvSpPr>
      </xdr:nvSpPr>
      <xdr:spPr bwMode="auto">
        <a:xfrm>
          <a:off x="227561775"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139</xdr:col>
      <xdr:colOff>0</xdr:colOff>
      <xdr:row>17</xdr:row>
      <xdr:rowOff>0</xdr:rowOff>
    </xdr:from>
    <xdr:ext cx="76200" cy="489858"/>
    <xdr:sp macro="" textlink="">
      <xdr:nvSpPr>
        <xdr:cNvPr id="1906" name="Text Box 75">
          <a:extLst>
            <a:ext uri="{FF2B5EF4-FFF2-40B4-BE49-F238E27FC236}">
              <a16:creationId xmlns:a16="http://schemas.microsoft.com/office/drawing/2014/main" id="{00000000-0008-0000-0700-000072070000}"/>
            </a:ext>
          </a:extLst>
        </xdr:cNvPr>
        <xdr:cNvSpPr txBox="1">
          <a:spLocks noChangeArrowheads="1"/>
        </xdr:cNvSpPr>
      </xdr:nvSpPr>
      <xdr:spPr bwMode="auto">
        <a:xfrm>
          <a:off x="227561775"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139</xdr:col>
      <xdr:colOff>0</xdr:colOff>
      <xdr:row>17</xdr:row>
      <xdr:rowOff>0</xdr:rowOff>
    </xdr:from>
    <xdr:ext cx="76200" cy="489858"/>
    <xdr:sp macro="" textlink="">
      <xdr:nvSpPr>
        <xdr:cNvPr id="1907" name="Text Box 75">
          <a:extLst>
            <a:ext uri="{FF2B5EF4-FFF2-40B4-BE49-F238E27FC236}">
              <a16:creationId xmlns:a16="http://schemas.microsoft.com/office/drawing/2014/main" id="{00000000-0008-0000-0700-000073070000}"/>
            </a:ext>
          </a:extLst>
        </xdr:cNvPr>
        <xdr:cNvSpPr txBox="1">
          <a:spLocks noChangeArrowheads="1"/>
        </xdr:cNvSpPr>
      </xdr:nvSpPr>
      <xdr:spPr bwMode="auto">
        <a:xfrm>
          <a:off x="227561775"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139</xdr:col>
      <xdr:colOff>0</xdr:colOff>
      <xdr:row>0</xdr:row>
      <xdr:rowOff>0</xdr:rowOff>
    </xdr:from>
    <xdr:ext cx="76200" cy="502228"/>
    <xdr:sp macro="" textlink="">
      <xdr:nvSpPr>
        <xdr:cNvPr id="1908" name="Text Box 75">
          <a:extLst>
            <a:ext uri="{FF2B5EF4-FFF2-40B4-BE49-F238E27FC236}">
              <a16:creationId xmlns:a16="http://schemas.microsoft.com/office/drawing/2014/main" id="{00000000-0008-0000-0700-000074070000}"/>
            </a:ext>
          </a:extLst>
        </xdr:cNvPr>
        <xdr:cNvSpPr txBox="1">
          <a:spLocks noChangeArrowheads="1"/>
        </xdr:cNvSpPr>
      </xdr:nvSpPr>
      <xdr:spPr bwMode="auto">
        <a:xfrm>
          <a:off x="227561775"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139</xdr:col>
      <xdr:colOff>0</xdr:colOff>
      <xdr:row>12</xdr:row>
      <xdr:rowOff>0</xdr:rowOff>
    </xdr:from>
    <xdr:ext cx="76200" cy="504825"/>
    <xdr:sp macro="" textlink="">
      <xdr:nvSpPr>
        <xdr:cNvPr id="1909" name="Text Box 75">
          <a:extLst>
            <a:ext uri="{FF2B5EF4-FFF2-40B4-BE49-F238E27FC236}">
              <a16:creationId xmlns:a16="http://schemas.microsoft.com/office/drawing/2014/main" id="{00000000-0008-0000-0700-000075070000}"/>
            </a:ext>
          </a:extLst>
        </xdr:cNvPr>
        <xdr:cNvSpPr txBox="1">
          <a:spLocks noChangeArrowheads="1"/>
        </xdr:cNvSpPr>
      </xdr:nvSpPr>
      <xdr:spPr bwMode="auto">
        <a:xfrm>
          <a:off x="227561775"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139</xdr:col>
      <xdr:colOff>0</xdr:colOff>
      <xdr:row>12</xdr:row>
      <xdr:rowOff>0</xdr:rowOff>
    </xdr:from>
    <xdr:ext cx="76200" cy="504825"/>
    <xdr:sp macro="" textlink="">
      <xdr:nvSpPr>
        <xdr:cNvPr id="1910" name="Text Box 75">
          <a:extLst>
            <a:ext uri="{FF2B5EF4-FFF2-40B4-BE49-F238E27FC236}">
              <a16:creationId xmlns:a16="http://schemas.microsoft.com/office/drawing/2014/main" id="{00000000-0008-0000-0700-000076070000}"/>
            </a:ext>
          </a:extLst>
        </xdr:cNvPr>
        <xdr:cNvSpPr txBox="1">
          <a:spLocks noChangeArrowheads="1"/>
        </xdr:cNvSpPr>
      </xdr:nvSpPr>
      <xdr:spPr bwMode="auto">
        <a:xfrm>
          <a:off x="227561775"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138</xdr:col>
      <xdr:colOff>0</xdr:colOff>
      <xdr:row>31</xdr:row>
      <xdr:rowOff>0</xdr:rowOff>
    </xdr:from>
    <xdr:ext cx="76200" cy="228600"/>
    <xdr:sp macro="" textlink="">
      <xdr:nvSpPr>
        <xdr:cNvPr id="1911" name="Text Box 75">
          <a:extLst>
            <a:ext uri="{FF2B5EF4-FFF2-40B4-BE49-F238E27FC236}">
              <a16:creationId xmlns:a16="http://schemas.microsoft.com/office/drawing/2014/main" id="{00000000-0008-0000-0700-000077070000}"/>
            </a:ext>
          </a:extLst>
        </xdr:cNvPr>
        <xdr:cNvSpPr txBox="1">
          <a:spLocks noChangeArrowheads="1"/>
        </xdr:cNvSpPr>
      </xdr:nvSpPr>
      <xdr:spPr bwMode="auto">
        <a:xfrm>
          <a:off x="226523550" y="1238250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139</xdr:col>
      <xdr:colOff>0</xdr:colOff>
      <xdr:row>31</xdr:row>
      <xdr:rowOff>0</xdr:rowOff>
    </xdr:from>
    <xdr:ext cx="76200" cy="228600"/>
    <xdr:sp macro="" textlink="">
      <xdr:nvSpPr>
        <xdr:cNvPr id="1912" name="Text Box 75">
          <a:extLst>
            <a:ext uri="{FF2B5EF4-FFF2-40B4-BE49-F238E27FC236}">
              <a16:creationId xmlns:a16="http://schemas.microsoft.com/office/drawing/2014/main" id="{00000000-0008-0000-0700-000078070000}"/>
            </a:ext>
          </a:extLst>
        </xdr:cNvPr>
        <xdr:cNvSpPr txBox="1">
          <a:spLocks noChangeArrowheads="1"/>
        </xdr:cNvSpPr>
      </xdr:nvSpPr>
      <xdr:spPr bwMode="auto">
        <a:xfrm>
          <a:off x="227561775" y="1238250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138</xdr:col>
      <xdr:colOff>0</xdr:colOff>
      <xdr:row>26</xdr:row>
      <xdr:rowOff>0</xdr:rowOff>
    </xdr:from>
    <xdr:ext cx="76200" cy="228600"/>
    <xdr:sp macro="" textlink="">
      <xdr:nvSpPr>
        <xdr:cNvPr id="1913" name="Text Box 75">
          <a:extLst>
            <a:ext uri="{FF2B5EF4-FFF2-40B4-BE49-F238E27FC236}">
              <a16:creationId xmlns:a16="http://schemas.microsoft.com/office/drawing/2014/main" id="{00000000-0008-0000-0700-000079070000}"/>
            </a:ext>
          </a:extLst>
        </xdr:cNvPr>
        <xdr:cNvSpPr txBox="1">
          <a:spLocks noChangeArrowheads="1"/>
        </xdr:cNvSpPr>
      </xdr:nvSpPr>
      <xdr:spPr bwMode="auto">
        <a:xfrm>
          <a:off x="226523550" y="973455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139</xdr:col>
      <xdr:colOff>0</xdr:colOff>
      <xdr:row>26</xdr:row>
      <xdr:rowOff>0</xdr:rowOff>
    </xdr:from>
    <xdr:ext cx="76200" cy="228600"/>
    <xdr:sp macro="" textlink="">
      <xdr:nvSpPr>
        <xdr:cNvPr id="1914" name="Text Box 75">
          <a:extLst>
            <a:ext uri="{FF2B5EF4-FFF2-40B4-BE49-F238E27FC236}">
              <a16:creationId xmlns:a16="http://schemas.microsoft.com/office/drawing/2014/main" id="{00000000-0008-0000-0700-00007A070000}"/>
            </a:ext>
          </a:extLst>
        </xdr:cNvPr>
        <xdr:cNvSpPr txBox="1">
          <a:spLocks noChangeArrowheads="1"/>
        </xdr:cNvSpPr>
      </xdr:nvSpPr>
      <xdr:spPr bwMode="auto">
        <a:xfrm>
          <a:off x="227561775" y="973455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142</xdr:col>
      <xdr:colOff>0</xdr:colOff>
      <xdr:row>17</xdr:row>
      <xdr:rowOff>0</xdr:rowOff>
    </xdr:from>
    <xdr:ext cx="76200" cy="489858"/>
    <xdr:sp macro="" textlink="">
      <xdr:nvSpPr>
        <xdr:cNvPr id="1915" name="Text Box 75">
          <a:extLst>
            <a:ext uri="{FF2B5EF4-FFF2-40B4-BE49-F238E27FC236}">
              <a16:creationId xmlns:a16="http://schemas.microsoft.com/office/drawing/2014/main" id="{00000000-0008-0000-0700-00007B070000}"/>
            </a:ext>
          </a:extLst>
        </xdr:cNvPr>
        <xdr:cNvSpPr txBox="1">
          <a:spLocks noChangeArrowheads="1"/>
        </xdr:cNvSpPr>
      </xdr:nvSpPr>
      <xdr:spPr bwMode="auto">
        <a:xfrm>
          <a:off x="233800650"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142</xdr:col>
      <xdr:colOff>0</xdr:colOff>
      <xdr:row>0</xdr:row>
      <xdr:rowOff>0</xdr:rowOff>
    </xdr:from>
    <xdr:ext cx="76200" cy="502228"/>
    <xdr:sp macro="" textlink="">
      <xdr:nvSpPr>
        <xdr:cNvPr id="1916" name="Text Box 75">
          <a:extLst>
            <a:ext uri="{FF2B5EF4-FFF2-40B4-BE49-F238E27FC236}">
              <a16:creationId xmlns:a16="http://schemas.microsoft.com/office/drawing/2014/main" id="{00000000-0008-0000-0700-00007C070000}"/>
            </a:ext>
          </a:extLst>
        </xdr:cNvPr>
        <xdr:cNvSpPr txBox="1">
          <a:spLocks noChangeArrowheads="1"/>
        </xdr:cNvSpPr>
      </xdr:nvSpPr>
      <xdr:spPr bwMode="auto">
        <a:xfrm>
          <a:off x="233800650"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142</xdr:col>
      <xdr:colOff>0</xdr:colOff>
      <xdr:row>12</xdr:row>
      <xdr:rowOff>0</xdr:rowOff>
    </xdr:from>
    <xdr:ext cx="76200" cy="504825"/>
    <xdr:sp macro="" textlink="">
      <xdr:nvSpPr>
        <xdr:cNvPr id="1917" name="Text Box 75">
          <a:extLst>
            <a:ext uri="{FF2B5EF4-FFF2-40B4-BE49-F238E27FC236}">
              <a16:creationId xmlns:a16="http://schemas.microsoft.com/office/drawing/2014/main" id="{00000000-0008-0000-0700-00007D070000}"/>
            </a:ext>
          </a:extLst>
        </xdr:cNvPr>
        <xdr:cNvSpPr txBox="1">
          <a:spLocks noChangeArrowheads="1"/>
        </xdr:cNvSpPr>
      </xdr:nvSpPr>
      <xdr:spPr bwMode="auto">
        <a:xfrm>
          <a:off x="233800650"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143</xdr:col>
      <xdr:colOff>0</xdr:colOff>
      <xdr:row>0</xdr:row>
      <xdr:rowOff>0</xdr:rowOff>
    </xdr:from>
    <xdr:ext cx="76200" cy="502228"/>
    <xdr:sp macro="" textlink="">
      <xdr:nvSpPr>
        <xdr:cNvPr id="1918" name="Text Box 75">
          <a:extLst>
            <a:ext uri="{FF2B5EF4-FFF2-40B4-BE49-F238E27FC236}">
              <a16:creationId xmlns:a16="http://schemas.microsoft.com/office/drawing/2014/main" id="{00000000-0008-0000-0700-00007E070000}"/>
            </a:ext>
          </a:extLst>
        </xdr:cNvPr>
        <xdr:cNvSpPr txBox="1">
          <a:spLocks noChangeArrowheads="1"/>
        </xdr:cNvSpPr>
      </xdr:nvSpPr>
      <xdr:spPr bwMode="auto">
        <a:xfrm>
          <a:off x="234934125"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143</xdr:col>
      <xdr:colOff>0</xdr:colOff>
      <xdr:row>17</xdr:row>
      <xdr:rowOff>0</xdr:rowOff>
    </xdr:from>
    <xdr:ext cx="76200" cy="489858"/>
    <xdr:sp macro="" textlink="">
      <xdr:nvSpPr>
        <xdr:cNvPr id="1919" name="Text Box 75">
          <a:extLst>
            <a:ext uri="{FF2B5EF4-FFF2-40B4-BE49-F238E27FC236}">
              <a16:creationId xmlns:a16="http://schemas.microsoft.com/office/drawing/2014/main" id="{00000000-0008-0000-0700-00007F070000}"/>
            </a:ext>
          </a:extLst>
        </xdr:cNvPr>
        <xdr:cNvSpPr txBox="1">
          <a:spLocks noChangeArrowheads="1"/>
        </xdr:cNvSpPr>
      </xdr:nvSpPr>
      <xdr:spPr bwMode="auto">
        <a:xfrm>
          <a:off x="234934125"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143</xdr:col>
      <xdr:colOff>0</xdr:colOff>
      <xdr:row>17</xdr:row>
      <xdr:rowOff>0</xdr:rowOff>
    </xdr:from>
    <xdr:ext cx="76200" cy="489858"/>
    <xdr:sp macro="" textlink="">
      <xdr:nvSpPr>
        <xdr:cNvPr id="1920" name="Text Box 75">
          <a:extLst>
            <a:ext uri="{FF2B5EF4-FFF2-40B4-BE49-F238E27FC236}">
              <a16:creationId xmlns:a16="http://schemas.microsoft.com/office/drawing/2014/main" id="{00000000-0008-0000-0700-000080070000}"/>
            </a:ext>
          </a:extLst>
        </xdr:cNvPr>
        <xdr:cNvSpPr txBox="1">
          <a:spLocks noChangeArrowheads="1"/>
        </xdr:cNvSpPr>
      </xdr:nvSpPr>
      <xdr:spPr bwMode="auto">
        <a:xfrm>
          <a:off x="234934125"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143</xdr:col>
      <xdr:colOff>0</xdr:colOff>
      <xdr:row>0</xdr:row>
      <xdr:rowOff>0</xdr:rowOff>
    </xdr:from>
    <xdr:ext cx="76200" cy="502228"/>
    <xdr:sp macro="" textlink="">
      <xdr:nvSpPr>
        <xdr:cNvPr id="1921" name="Text Box 75">
          <a:extLst>
            <a:ext uri="{FF2B5EF4-FFF2-40B4-BE49-F238E27FC236}">
              <a16:creationId xmlns:a16="http://schemas.microsoft.com/office/drawing/2014/main" id="{00000000-0008-0000-0700-000081070000}"/>
            </a:ext>
          </a:extLst>
        </xdr:cNvPr>
        <xdr:cNvSpPr txBox="1">
          <a:spLocks noChangeArrowheads="1"/>
        </xdr:cNvSpPr>
      </xdr:nvSpPr>
      <xdr:spPr bwMode="auto">
        <a:xfrm>
          <a:off x="234934125"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143</xdr:col>
      <xdr:colOff>0</xdr:colOff>
      <xdr:row>12</xdr:row>
      <xdr:rowOff>0</xdr:rowOff>
    </xdr:from>
    <xdr:ext cx="76200" cy="504825"/>
    <xdr:sp macro="" textlink="">
      <xdr:nvSpPr>
        <xdr:cNvPr id="1922" name="Text Box 75">
          <a:extLst>
            <a:ext uri="{FF2B5EF4-FFF2-40B4-BE49-F238E27FC236}">
              <a16:creationId xmlns:a16="http://schemas.microsoft.com/office/drawing/2014/main" id="{00000000-0008-0000-0700-000082070000}"/>
            </a:ext>
          </a:extLst>
        </xdr:cNvPr>
        <xdr:cNvSpPr txBox="1">
          <a:spLocks noChangeArrowheads="1"/>
        </xdr:cNvSpPr>
      </xdr:nvSpPr>
      <xdr:spPr bwMode="auto">
        <a:xfrm>
          <a:off x="234934125"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143</xdr:col>
      <xdr:colOff>0</xdr:colOff>
      <xdr:row>12</xdr:row>
      <xdr:rowOff>0</xdr:rowOff>
    </xdr:from>
    <xdr:ext cx="76200" cy="504825"/>
    <xdr:sp macro="" textlink="">
      <xdr:nvSpPr>
        <xdr:cNvPr id="1923" name="Text Box 75">
          <a:extLst>
            <a:ext uri="{FF2B5EF4-FFF2-40B4-BE49-F238E27FC236}">
              <a16:creationId xmlns:a16="http://schemas.microsoft.com/office/drawing/2014/main" id="{00000000-0008-0000-0700-000083070000}"/>
            </a:ext>
          </a:extLst>
        </xdr:cNvPr>
        <xdr:cNvSpPr txBox="1">
          <a:spLocks noChangeArrowheads="1"/>
        </xdr:cNvSpPr>
      </xdr:nvSpPr>
      <xdr:spPr bwMode="auto">
        <a:xfrm>
          <a:off x="234934125"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142</xdr:col>
      <xdr:colOff>0</xdr:colOff>
      <xdr:row>31</xdr:row>
      <xdr:rowOff>0</xdr:rowOff>
    </xdr:from>
    <xdr:ext cx="76200" cy="228600"/>
    <xdr:sp macro="" textlink="">
      <xdr:nvSpPr>
        <xdr:cNvPr id="1924" name="Text Box 75">
          <a:extLst>
            <a:ext uri="{FF2B5EF4-FFF2-40B4-BE49-F238E27FC236}">
              <a16:creationId xmlns:a16="http://schemas.microsoft.com/office/drawing/2014/main" id="{00000000-0008-0000-0700-000084070000}"/>
            </a:ext>
          </a:extLst>
        </xdr:cNvPr>
        <xdr:cNvSpPr txBox="1">
          <a:spLocks noChangeArrowheads="1"/>
        </xdr:cNvSpPr>
      </xdr:nvSpPr>
      <xdr:spPr bwMode="auto">
        <a:xfrm>
          <a:off x="233800650" y="1238250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143</xdr:col>
      <xdr:colOff>0</xdr:colOff>
      <xdr:row>31</xdr:row>
      <xdr:rowOff>0</xdr:rowOff>
    </xdr:from>
    <xdr:ext cx="76200" cy="228600"/>
    <xdr:sp macro="" textlink="">
      <xdr:nvSpPr>
        <xdr:cNvPr id="1925" name="Text Box 75">
          <a:extLst>
            <a:ext uri="{FF2B5EF4-FFF2-40B4-BE49-F238E27FC236}">
              <a16:creationId xmlns:a16="http://schemas.microsoft.com/office/drawing/2014/main" id="{00000000-0008-0000-0700-000085070000}"/>
            </a:ext>
          </a:extLst>
        </xdr:cNvPr>
        <xdr:cNvSpPr txBox="1">
          <a:spLocks noChangeArrowheads="1"/>
        </xdr:cNvSpPr>
      </xdr:nvSpPr>
      <xdr:spPr bwMode="auto">
        <a:xfrm>
          <a:off x="234934125" y="1238250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142</xdr:col>
      <xdr:colOff>0</xdr:colOff>
      <xdr:row>26</xdr:row>
      <xdr:rowOff>0</xdr:rowOff>
    </xdr:from>
    <xdr:ext cx="76200" cy="228600"/>
    <xdr:sp macro="" textlink="">
      <xdr:nvSpPr>
        <xdr:cNvPr id="1926" name="Text Box 75">
          <a:extLst>
            <a:ext uri="{FF2B5EF4-FFF2-40B4-BE49-F238E27FC236}">
              <a16:creationId xmlns:a16="http://schemas.microsoft.com/office/drawing/2014/main" id="{00000000-0008-0000-0700-000086070000}"/>
            </a:ext>
          </a:extLst>
        </xdr:cNvPr>
        <xdr:cNvSpPr txBox="1">
          <a:spLocks noChangeArrowheads="1"/>
        </xdr:cNvSpPr>
      </xdr:nvSpPr>
      <xdr:spPr bwMode="auto">
        <a:xfrm>
          <a:off x="233800650" y="973455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143</xdr:col>
      <xdr:colOff>0</xdr:colOff>
      <xdr:row>26</xdr:row>
      <xdr:rowOff>0</xdr:rowOff>
    </xdr:from>
    <xdr:ext cx="76200" cy="228600"/>
    <xdr:sp macro="" textlink="">
      <xdr:nvSpPr>
        <xdr:cNvPr id="1927" name="Text Box 75">
          <a:extLst>
            <a:ext uri="{FF2B5EF4-FFF2-40B4-BE49-F238E27FC236}">
              <a16:creationId xmlns:a16="http://schemas.microsoft.com/office/drawing/2014/main" id="{00000000-0008-0000-0700-000087070000}"/>
            </a:ext>
          </a:extLst>
        </xdr:cNvPr>
        <xdr:cNvSpPr txBox="1">
          <a:spLocks noChangeArrowheads="1"/>
        </xdr:cNvSpPr>
      </xdr:nvSpPr>
      <xdr:spPr bwMode="auto">
        <a:xfrm>
          <a:off x="234934125" y="973455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146</xdr:col>
      <xdr:colOff>0</xdr:colOff>
      <xdr:row>17</xdr:row>
      <xdr:rowOff>0</xdr:rowOff>
    </xdr:from>
    <xdr:ext cx="76200" cy="489858"/>
    <xdr:sp macro="" textlink="">
      <xdr:nvSpPr>
        <xdr:cNvPr id="1928" name="Text Box 75">
          <a:extLst>
            <a:ext uri="{FF2B5EF4-FFF2-40B4-BE49-F238E27FC236}">
              <a16:creationId xmlns:a16="http://schemas.microsoft.com/office/drawing/2014/main" id="{00000000-0008-0000-0700-000088070000}"/>
            </a:ext>
          </a:extLst>
        </xdr:cNvPr>
        <xdr:cNvSpPr txBox="1">
          <a:spLocks noChangeArrowheads="1"/>
        </xdr:cNvSpPr>
      </xdr:nvSpPr>
      <xdr:spPr bwMode="auto">
        <a:xfrm>
          <a:off x="241811175"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146</xdr:col>
      <xdr:colOff>0</xdr:colOff>
      <xdr:row>0</xdr:row>
      <xdr:rowOff>0</xdr:rowOff>
    </xdr:from>
    <xdr:ext cx="76200" cy="502228"/>
    <xdr:sp macro="" textlink="">
      <xdr:nvSpPr>
        <xdr:cNvPr id="1929" name="Text Box 75">
          <a:extLst>
            <a:ext uri="{FF2B5EF4-FFF2-40B4-BE49-F238E27FC236}">
              <a16:creationId xmlns:a16="http://schemas.microsoft.com/office/drawing/2014/main" id="{00000000-0008-0000-0700-000089070000}"/>
            </a:ext>
          </a:extLst>
        </xdr:cNvPr>
        <xdr:cNvSpPr txBox="1">
          <a:spLocks noChangeArrowheads="1"/>
        </xdr:cNvSpPr>
      </xdr:nvSpPr>
      <xdr:spPr bwMode="auto">
        <a:xfrm>
          <a:off x="241811175"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146</xdr:col>
      <xdr:colOff>0</xdr:colOff>
      <xdr:row>12</xdr:row>
      <xdr:rowOff>0</xdr:rowOff>
    </xdr:from>
    <xdr:ext cx="76200" cy="504825"/>
    <xdr:sp macro="" textlink="">
      <xdr:nvSpPr>
        <xdr:cNvPr id="1930" name="Text Box 75">
          <a:extLst>
            <a:ext uri="{FF2B5EF4-FFF2-40B4-BE49-F238E27FC236}">
              <a16:creationId xmlns:a16="http://schemas.microsoft.com/office/drawing/2014/main" id="{00000000-0008-0000-0700-00008A070000}"/>
            </a:ext>
          </a:extLst>
        </xdr:cNvPr>
        <xdr:cNvSpPr txBox="1">
          <a:spLocks noChangeArrowheads="1"/>
        </xdr:cNvSpPr>
      </xdr:nvSpPr>
      <xdr:spPr bwMode="auto">
        <a:xfrm>
          <a:off x="241811175"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147</xdr:col>
      <xdr:colOff>0</xdr:colOff>
      <xdr:row>0</xdr:row>
      <xdr:rowOff>0</xdr:rowOff>
    </xdr:from>
    <xdr:ext cx="76200" cy="502228"/>
    <xdr:sp macro="" textlink="">
      <xdr:nvSpPr>
        <xdr:cNvPr id="1931" name="Text Box 75">
          <a:extLst>
            <a:ext uri="{FF2B5EF4-FFF2-40B4-BE49-F238E27FC236}">
              <a16:creationId xmlns:a16="http://schemas.microsoft.com/office/drawing/2014/main" id="{00000000-0008-0000-0700-00008B070000}"/>
            </a:ext>
          </a:extLst>
        </xdr:cNvPr>
        <xdr:cNvSpPr txBox="1">
          <a:spLocks noChangeArrowheads="1"/>
        </xdr:cNvSpPr>
      </xdr:nvSpPr>
      <xdr:spPr bwMode="auto">
        <a:xfrm>
          <a:off x="242973225"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147</xdr:col>
      <xdr:colOff>0</xdr:colOff>
      <xdr:row>17</xdr:row>
      <xdr:rowOff>0</xdr:rowOff>
    </xdr:from>
    <xdr:ext cx="76200" cy="489858"/>
    <xdr:sp macro="" textlink="">
      <xdr:nvSpPr>
        <xdr:cNvPr id="1932" name="Text Box 75">
          <a:extLst>
            <a:ext uri="{FF2B5EF4-FFF2-40B4-BE49-F238E27FC236}">
              <a16:creationId xmlns:a16="http://schemas.microsoft.com/office/drawing/2014/main" id="{00000000-0008-0000-0700-00008C070000}"/>
            </a:ext>
          </a:extLst>
        </xdr:cNvPr>
        <xdr:cNvSpPr txBox="1">
          <a:spLocks noChangeArrowheads="1"/>
        </xdr:cNvSpPr>
      </xdr:nvSpPr>
      <xdr:spPr bwMode="auto">
        <a:xfrm>
          <a:off x="242973225"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147</xdr:col>
      <xdr:colOff>0</xdr:colOff>
      <xdr:row>17</xdr:row>
      <xdr:rowOff>0</xdr:rowOff>
    </xdr:from>
    <xdr:ext cx="76200" cy="489858"/>
    <xdr:sp macro="" textlink="">
      <xdr:nvSpPr>
        <xdr:cNvPr id="1933" name="Text Box 75">
          <a:extLst>
            <a:ext uri="{FF2B5EF4-FFF2-40B4-BE49-F238E27FC236}">
              <a16:creationId xmlns:a16="http://schemas.microsoft.com/office/drawing/2014/main" id="{00000000-0008-0000-0700-00008D070000}"/>
            </a:ext>
          </a:extLst>
        </xdr:cNvPr>
        <xdr:cNvSpPr txBox="1">
          <a:spLocks noChangeArrowheads="1"/>
        </xdr:cNvSpPr>
      </xdr:nvSpPr>
      <xdr:spPr bwMode="auto">
        <a:xfrm>
          <a:off x="242973225"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147</xdr:col>
      <xdr:colOff>0</xdr:colOff>
      <xdr:row>0</xdr:row>
      <xdr:rowOff>0</xdr:rowOff>
    </xdr:from>
    <xdr:ext cx="76200" cy="502228"/>
    <xdr:sp macro="" textlink="">
      <xdr:nvSpPr>
        <xdr:cNvPr id="1934" name="Text Box 75">
          <a:extLst>
            <a:ext uri="{FF2B5EF4-FFF2-40B4-BE49-F238E27FC236}">
              <a16:creationId xmlns:a16="http://schemas.microsoft.com/office/drawing/2014/main" id="{00000000-0008-0000-0700-00008E070000}"/>
            </a:ext>
          </a:extLst>
        </xdr:cNvPr>
        <xdr:cNvSpPr txBox="1">
          <a:spLocks noChangeArrowheads="1"/>
        </xdr:cNvSpPr>
      </xdr:nvSpPr>
      <xdr:spPr bwMode="auto">
        <a:xfrm>
          <a:off x="242973225"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147</xdr:col>
      <xdr:colOff>0</xdr:colOff>
      <xdr:row>12</xdr:row>
      <xdr:rowOff>0</xdr:rowOff>
    </xdr:from>
    <xdr:ext cx="76200" cy="504825"/>
    <xdr:sp macro="" textlink="">
      <xdr:nvSpPr>
        <xdr:cNvPr id="1935" name="Text Box 75">
          <a:extLst>
            <a:ext uri="{FF2B5EF4-FFF2-40B4-BE49-F238E27FC236}">
              <a16:creationId xmlns:a16="http://schemas.microsoft.com/office/drawing/2014/main" id="{00000000-0008-0000-0700-00008F070000}"/>
            </a:ext>
          </a:extLst>
        </xdr:cNvPr>
        <xdr:cNvSpPr txBox="1">
          <a:spLocks noChangeArrowheads="1"/>
        </xdr:cNvSpPr>
      </xdr:nvSpPr>
      <xdr:spPr bwMode="auto">
        <a:xfrm>
          <a:off x="242973225"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147</xdr:col>
      <xdr:colOff>0</xdr:colOff>
      <xdr:row>12</xdr:row>
      <xdr:rowOff>0</xdr:rowOff>
    </xdr:from>
    <xdr:ext cx="76200" cy="504825"/>
    <xdr:sp macro="" textlink="">
      <xdr:nvSpPr>
        <xdr:cNvPr id="1936" name="Text Box 75">
          <a:extLst>
            <a:ext uri="{FF2B5EF4-FFF2-40B4-BE49-F238E27FC236}">
              <a16:creationId xmlns:a16="http://schemas.microsoft.com/office/drawing/2014/main" id="{00000000-0008-0000-0700-000090070000}"/>
            </a:ext>
          </a:extLst>
        </xdr:cNvPr>
        <xdr:cNvSpPr txBox="1">
          <a:spLocks noChangeArrowheads="1"/>
        </xdr:cNvSpPr>
      </xdr:nvSpPr>
      <xdr:spPr bwMode="auto">
        <a:xfrm>
          <a:off x="242973225"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146</xdr:col>
      <xdr:colOff>0</xdr:colOff>
      <xdr:row>31</xdr:row>
      <xdr:rowOff>0</xdr:rowOff>
    </xdr:from>
    <xdr:ext cx="76200" cy="228600"/>
    <xdr:sp macro="" textlink="">
      <xdr:nvSpPr>
        <xdr:cNvPr id="1937" name="Text Box 75">
          <a:extLst>
            <a:ext uri="{FF2B5EF4-FFF2-40B4-BE49-F238E27FC236}">
              <a16:creationId xmlns:a16="http://schemas.microsoft.com/office/drawing/2014/main" id="{00000000-0008-0000-0700-000091070000}"/>
            </a:ext>
          </a:extLst>
        </xdr:cNvPr>
        <xdr:cNvSpPr txBox="1">
          <a:spLocks noChangeArrowheads="1"/>
        </xdr:cNvSpPr>
      </xdr:nvSpPr>
      <xdr:spPr bwMode="auto">
        <a:xfrm>
          <a:off x="241811175" y="1238250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147</xdr:col>
      <xdr:colOff>0</xdr:colOff>
      <xdr:row>31</xdr:row>
      <xdr:rowOff>0</xdr:rowOff>
    </xdr:from>
    <xdr:ext cx="76200" cy="228600"/>
    <xdr:sp macro="" textlink="">
      <xdr:nvSpPr>
        <xdr:cNvPr id="1938" name="Text Box 75">
          <a:extLst>
            <a:ext uri="{FF2B5EF4-FFF2-40B4-BE49-F238E27FC236}">
              <a16:creationId xmlns:a16="http://schemas.microsoft.com/office/drawing/2014/main" id="{00000000-0008-0000-0700-000092070000}"/>
            </a:ext>
          </a:extLst>
        </xdr:cNvPr>
        <xdr:cNvSpPr txBox="1">
          <a:spLocks noChangeArrowheads="1"/>
        </xdr:cNvSpPr>
      </xdr:nvSpPr>
      <xdr:spPr bwMode="auto">
        <a:xfrm>
          <a:off x="242973225" y="1238250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146</xdr:col>
      <xdr:colOff>0</xdr:colOff>
      <xdr:row>26</xdr:row>
      <xdr:rowOff>0</xdr:rowOff>
    </xdr:from>
    <xdr:ext cx="76200" cy="228600"/>
    <xdr:sp macro="" textlink="">
      <xdr:nvSpPr>
        <xdr:cNvPr id="1939" name="Text Box 75">
          <a:extLst>
            <a:ext uri="{FF2B5EF4-FFF2-40B4-BE49-F238E27FC236}">
              <a16:creationId xmlns:a16="http://schemas.microsoft.com/office/drawing/2014/main" id="{00000000-0008-0000-0700-000093070000}"/>
            </a:ext>
          </a:extLst>
        </xdr:cNvPr>
        <xdr:cNvSpPr txBox="1">
          <a:spLocks noChangeArrowheads="1"/>
        </xdr:cNvSpPr>
      </xdr:nvSpPr>
      <xdr:spPr bwMode="auto">
        <a:xfrm>
          <a:off x="241811175" y="973455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147</xdr:col>
      <xdr:colOff>0</xdr:colOff>
      <xdr:row>26</xdr:row>
      <xdr:rowOff>0</xdr:rowOff>
    </xdr:from>
    <xdr:ext cx="76200" cy="228600"/>
    <xdr:sp macro="" textlink="">
      <xdr:nvSpPr>
        <xdr:cNvPr id="1940" name="Text Box 75">
          <a:extLst>
            <a:ext uri="{FF2B5EF4-FFF2-40B4-BE49-F238E27FC236}">
              <a16:creationId xmlns:a16="http://schemas.microsoft.com/office/drawing/2014/main" id="{00000000-0008-0000-0700-000094070000}"/>
            </a:ext>
          </a:extLst>
        </xdr:cNvPr>
        <xdr:cNvSpPr txBox="1">
          <a:spLocks noChangeArrowheads="1"/>
        </xdr:cNvSpPr>
      </xdr:nvSpPr>
      <xdr:spPr bwMode="auto">
        <a:xfrm>
          <a:off x="242973225" y="973455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110</xdr:col>
      <xdr:colOff>0</xdr:colOff>
      <xdr:row>17</xdr:row>
      <xdr:rowOff>0</xdr:rowOff>
    </xdr:from>
    <xdr:ext cx="76200" cy="489858"/>
    <xdr:sp macro="" textlink="">
      <xdr:nvSpPr>
        <xdr:cNvPr id="1954" name="Text Box 75">
          <a:extLst>
            <a:ext uri="{FF2B5EF4-FFF2-40B4-BE49-F238E27FC236}">
              <a16:creationId xmlns:a16="http://schemas.microsoft.com/office/drawing/2014/main" id="{00000000-0008-0000-0700-0000A2070000}"/>
            </a:ext>
          </a:extLst>
        </xdr:cNvPr>
        <xdr:cNvSpPr txBox="1">
          <a:spLocks noChangeArrowheads="1"/>
        </xdr:cNvSpPr>
      </xdr:nvSpPr>
      <xdr:spPr bwMode="auto">
        <a:xfrm>
          <a:off x="249174000"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110</xdr:col>
      <xdr:colOff>0</xdr:colOff>
      <xdr:row>0</xdr:row>
      <xdr:rowOff>0</xdr:rowOff>
    </xdr:from>
    <xdr:ext cx="76200" cy="502228"/>
    <xdr:sp macro="" textlink="">
      <xdr:nvSpPr>
        <xdr:cNvPr id="1955" name="Text Box 75">
          <a:extLst>
            <a:ext uri="{FF2B5EF4-FFF2-40B4-BE49-F238E27FC236}">
              <a16:creationId xmlns:a16="http://schemas.microsoft.com/office/drawing/2014/main" id="{00000000-0008-0000-0700-0000A3070000}"/>
            </a:ext>
          </a:extLst>
        </xdr:cNvPr>
        <xdr:cNvSpPr txBox="1">
          <a:spLocks noChangeArrowheads="1"/>
        </xdr:cNvSpPr>
      </xdr:nvSpPr>
      <xdr:spPr bwMode="auto">
        <a:xfrm>
          <a:off x="249174000"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110</xdr:col>
      <xdr:colOff>0</xdr:colOff>
      <xdr:row>12</xdr:row>
      <xdr:rowOff>0</xdr:rowOff>
    </xdr:from>
    <xdr:ext cx="76200" cy="504825"/>
    <xdr:sp macro="" textlink="">
      <xdr:nvSpPr>
        <xdr:cNvPr id="1956" name="Text Box 75">
          <a:extLst>
            <a:ext uri="{FF2B5EF4-FFF2-40B4-BE49-F238E27FC236}">
              <a16:creationId xmlns:a16="http://schemas.microsoft.com/office/drawing/2014/main" id="{00000000-0008-0000-0700-0000A4070000}"/>
            </a:ext>
          </a:extLst>
        </xdr:cNvPr>
        <xdr:cNvSpPr txBox="1">
          <a:spLocks noChangeArrowheads="1"/>
        </xdr:cNvSpPr>
      </xdr:nvSpPr>
      <xdr:spPr bwMode="auto">
        <a:xfrm>
          <a:off x="249174000"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111</xdr:col>
      <xdr:colOff>0</xdr:colOff>
      <xdr:row>0</xdr:row>
      <xdr:rowOff>0</xdr:rowOff>
    </xdr:from>
    <xdr:ext cx="76200" cy="502228"/>
    <xdr:sp macro="" textlink="">
      <xdr:nvSpPr>
        <xdr:cNvPr id="1957" name="Text Box 75">
          <a:extLst>
            <a:ext uri="{FF2B5EF4-FFF2-40B4-BE49-F238E27FC236}">
              <a16:creationId xmlns:a16="http://schemas.microsoft.com/office/drawing/2014/main" id="{00000000-0008-0000-0700-0000A5070000}"/>
            </a:ext>
          </a:extLst>
        </xdr:cNvPr>
        <xdr:cNvSpPr txBox="1">
          <a:spLocks noChangeArrowheads="1"/>
        </xdr:cNvSpPr>
      </xdr:nvSpPr>
      <xdr:spPr bwMode="auto">
        <a:xfrm>
          <a:off x="250469400"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111</xdr:col>
      <xdr:colOff>0</xdr:colOff>
      <xdr:row>17</xdr:row>
      <xdr:rowOff>0</xdr:rowOff>
    </xdr:from>
    <xdr:ext cx="76200" cy="489858"/>
    <xdr:sp macro="" textlink="">
      <xdr:nvSpPr>
        <xdr:cNvPr id="1958" name="Text Box 75">
          <a:extLst>
            <a:ext uri="{FF2B5EF4-FFF2-40B4-BE49-F238E27FC236}">
              <a16:creationId xmlns:a16="http://schemas.microsoft.com/office/drawing/2014/main" id="{00000000-0008-0000-0700-0000A6070000}"/>
            </a:ext>
          </a:extLst>
        </xdr:cNvPr>
        <xdr:cNvSpPr txBox="1">
          <a:spLocks noChangeArrowheads="1"/>
        </xdr:cNvSpPr>
      </xdr:nvSpPr>
      <xdr:spPr bwMode="auto">
        <a:xfrm>
          <a:off x="250469400"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111</xdr:col>
      <xdr:colOff>0</xdr:colOff>
      <xdr:row>17</xdr:row>
      <xdr:rowOff>0</xdr:rowOff>
    </xdr:from>
    <xdr:ext cx="76200" cy="489858"/>
    <xdr:sp macro="" textlink="">
      <xdr:nvSpPr>
        <xdr:cNvPr id="1959" name="Text Box 75">
          <a:extLst>
            <a:ext uri="{FF2B5EF4-FFF2-40B4-BE49-F238E27FC236}">
              <a16:creationId xmlns:a16="http://schemas.microsoft.com/office/drawing/2014/main" id="{00000000-0008-0000-0700-0000A7070000}"/>
            </a:ext>
          </a:extLst>
        </xdr:cNvPr>
        <xdr:cNvSpPr txBox="1">
          <a:spLocks noChangeArrowheads="1"/>
        </xdr:cNvSpPr>
      </xdr:nvSpPr>
      <xdr:spPr bwMode="auto">
        <a:xfrm>
          <a:off x="250469400" y="5019675"/>
          <a:ext cx="76200" cy="4898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111</xdr:col>
      <xdr:colOff>0</xdr:colOff>
      <xdr:row>0</xdr:row>
      <xdr:rowOff>0</xdr:rowOff>
    </xdr:from>
    <xdr:ext cx="76200" cy="502228"/>
    <xdr:sp macro="" textlink="">
      <xdr:nvSpPr>
        <xdr:cNvPr id="1960" name="Text Box 75">
          <a:extLst>
            <a:ext uri="{FF2B5EF4-FFF2-40B4-BE49-F238E27FC236}">
              <a16:creationId xmlns:a16="http://schemas.microsoft.com/office/drawing/2014/main" id="{00000000-0008-0000-0700-0000A8070000}"/>
            </a:ext>
          </a:extLst>
        </xdr:cNvPr>
        <xdr:cNvSpPr txBox="1">
          <a:spLocks noChangeArrowheads="1"/>
        </xdr:cNvSpPr>
      </xdr:nvSpPr>
      <xdr:spPr bwMode="auto">
        <a:xfrm>
          <a:off x="250469400" y="0"/>
          <a:ext cx="76200"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111</xdr:col>
      <xdr:colOff>0</xdr:colOff>
      <xdr:row>12</xdr:row>
      <xdr:rowOff>0</xdr:rowOff>
    </xdr:from>
    <xdr:ext cx="76200" cy="504825"/>
    <xdr:sp macro="" textlink="">
      <xdr:nvSpPr>
        <xdr:cNvPr id="1961" name="Text Box 75">
          <a:extLst>
            <a:ext uri="{FF2B5EF4-FFF2-40B4-BE49-F238E27FC236}">
              <a16:creationId xmlns:a16="http://schemas.microsoft.com/office/drawing/2014/main" id="{00000000-0008-0000-0700-0000A9070000}"/>
            </a:ext>
          </a:extLst>
        </xdr:cNvPr>
        <xdr:cNvSpPr txBox="1">
          <a:spLocks noChangeArrowheads="1"/>
        </xdr:cNvSpPr>
      </xdr:nvSpPr>
      <xdr:spPr bwMode="auto">
        <a:xfrm>
          <a:off x="250469400"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111</xdr:col>
      <xdr:colOff>0</xdr:colOff>
      <xdr:row>12</xdr:row>
      <xdr:rowOff>0</xdr:rowOff>
    </xdr:from>
    <xdr:ext cx="76200" cy="504825"/>
    <xdr:sp macro="" textlink="">
      <xdr:nvSpPr>
        <xdr:cNvPr id="1962" name="Text Box 75">
          <a:extLst>
            <a:ext uri="{FF2B5EF4-FFF2-40B4-BE49-F238E27FC236}">
              <a16:creationId xmlns:a16="http://schemas.microsoft.com/office/drawing/2014/main" id="{00000000-0008-0000-0700-0000AA070000}"/>
            </a:ext>
          </a:extLst>
        </xdr:cNvPr>
        <xdr:cNvSpPr txBox="1">
          <a:spLocks noChangeArrowheads="1"/>
        </xdr:cNvSpPr>
      </xdr:nvSpPr>
      <xdr:spPr bwMode="auto">
        <a:xfrm>
          <a:off x="250469400" y="2733675"/>
          <a:ext cx="762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110</xdr:col>
      <xdr:colOff>0</xdr:colOff>
      <xdr:row>31</xdr:row>
      <xdr:rowOff>0</xdr:rowOff>
    </xdr:from>
    <xdr:ext cx="76200" cy="228600"/>
    <xdr:sp macro="" textlink="">
      <xdr:nvSpPr>
        <xdr:cNvPr id="1963" name="Text Box 75">
          <a:extLst>
            <a:ext uri="{FF2B5EF4-FFF2-40B4-BE49-F238E27FC236}">
              <a16:creationId xmlns:a16="http://schemas.microsoft.com/office/drawing/2014/main" id="{00000000-0008-0000-0700-0000AB070000}"/>
            </a:ext>
          </a:extLst>
        </xdr:cNvPr>
        <xdr:cNvSpPr txBox="1">
          <a:spLocks noChangeArrowheads="1"/>
        </xdr:cNvSpPr>
      </xdr:nvSpPr>
      <xdr:spPr bwMode="auto">
        <a:xfrm>
          <a:off x="249174000" y="1238250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111</xdr:col>
      <xdr:colOff>0</xdr:colOff>
      <xdr:row>31</xdr:row>
      <xdr:rowOff>0</xdr:rowOff>
    </xdr:from>
    <xdr:ext cx="76200" cy="228600"/>
    <xdr:sp macro="" textlink="">
      <xdr:nvSpPr>
        <xdr:cNvPr id="1964" name="Text Box 75">
          <a:extLst>
            <a:ext uri="{FF2B5EF4-FFF2-40B4-BE49-F238E27FC236}">
              <a16:creationId xmlns:a16="http://schemas.microsoft.com/office/drawing/2014/main" id="{00000000-0008-0000-0700-0000AC070000}"/>
            </a:ext>
          </a:extLst>
        </xdr:cNvPr>
        <xdr:cNvSpPr txBox="1">
          <a:spLocks noChangeArrowheads="1"/>
        </xdr:cNvSpPr>
      </xdr:nvSpPr>
      <xdr:spPr bwMode="auto">
        <a:xfrm>
          <a:off x="250469400" y="1238250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110</xdr:col>
      <xdr:colOff>0</xdr:colOff>
      <xdr:row>26</xdr:row>
      <xdr:rowOff>0</xdr:rowOff>
    </xdr:from>
    <xdr:ext cx="76200" cy="228600"/>
    <xdr:sp macro="" textlink="">
      <xdr:nvSpPr>
        <xdr:cNvPr id="1965" name="Text Box 75">
          <a:extLst>
            <a:ext uri="{FF2B5EF4-FFF2-40B4-BE49-F238E27FC236}">
              <a16:creationId xmlns:a16="http://schemas.microsoft.com/office/drawing/2014/main" id="{00000000-0008-0000-0700-0000AD070000}"/>
            </a:ext>
          </a:extLst>
        </xdr:cNvPr>
        <xdr:cNvSpPr txBox="1">
          <a:spLocks noChangeArrowheads="1"/>
        </xdr:cNvSpPr>
      </xdr:nvSpPr>
      <xdr:spPr bwMode="auto">
        <a:xfrm>
          <a:off x="249174000" y="973455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111</xdr:col>
      <xdr:colOff>0</xdr:colOff>
      <xdr:row>26</xdr:row>
      <xdr:rowOff>0</xdr:rowOff>
    </xdr:from>
    <xdr:ext cx="76200" cy="228600"/>
    <xdr:sp macro="" textlink="">
      <xdr:nvSpPr>
        <xdr:cNvPr id="1966" name="Text Box 75">
          <a:extLst>
            <a:ext uri="{FF2B5EF4-FFF2-40B4-BE49-F238E27FC236}">
              <a16:creationId xmlns:a16="http://schemas.microsoft.com/office/drawing/2014/main" id="{00000000-0008-0000-0700-0000AE070000}"/>
            </a:ext>
          </a:extLst>
        </xdr:cNvPr>
        <xdr:cNvSpPr txBox="1">
          <a:spLocks noChangeArrowheads="1"/>
        </xdr:cNvSpPr>
      </xdr:nvSpPr>
      <xdr:spPr bwMode="auto">
        <a:xfrm>
          <a:off x="250469400" y="9734550"/>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23</xdr:row>
      <xdr:rowOff>0</xdr:rowOff>
    </xdr:from>
    <xdr:ext cx="76200" cy="505946"/>
    <xdr:sp macro="" textlink="">
      <xdr:nvSpPr>
        <xdr:cNvPr id="1967" name="Text Box 75">
          <a:extLst>
            <a:ext uri="{FF2B5EF4-FFF2-40B4-BE49-F238E27FC236}">
              <a16:creationId xmlns:a16="http://schemas.microsoft.com/office/drawing/2014/main" id="{00000000-0008-0000-0700-0000AF070000}"/>
            </a:ext>
          </a:extLst>
        </xdr:cNvPr>
        <xdr:cNvSpPr txBox="1">
          <a:spLocks noChangeArrowheads="1"/>
        </xdr:cNvSpPr>
      </xdr:nvSpPr>
      <xdr:spPr bwMode="auto">
        <a:xfrm>
          <a:off x="122805825" y="12382500"/>
          <a:ext cx="76200" cy="5059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32</xdr:row>
      <xdr:rowOff>0</xdr:rowOff>
    </xdr:from>
    <xdr:ext cx="76200" cy="508907"/>
    <xdr:sp macro="" textlink="">
      <xdr:nvSpPr>
        <xdr:cNvPr id="1968" name="Text Box 75">
          <a:extLst>
            <a:ext uri="{FF2B5EF4-FFF2-40B4-BE49-F238E27FC236}">
              <a16:creationId xmlns:a16="http://schemas.microsoft.com/office/drawing/2014/main" id="{00000000-0008-0000-0700-0000B0070000}"/>
            </a:ext>
          </a:extLst>
        </xdr:cNvPr>
        <xdr:cNvSpPr txBox="1">
          <a:spLocks noChangeArrowheads="1"/>
        </xdr:cNvSpPr>
      </xdr:nvSpPr>
      <xdr:spPr bwMode="auto">
        <a:xfrm>
          <a:off x="122805825" y="19564350"/>
          <a:ext cx="76200" cy="5089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33</xdr:row>
      <xdr:rowOff>0</xdr:rowOff>
    </xdr:from>
    <xdr:ext cx="76200" cy="507547"/>
    <xdr:sp macro="" textlink="">
      <xdr:nvSpPr>
        <xdr:cNvPr id="1969" name="Text Box 75">
          <a:extLst>
            <a:ext uri="{FF2B5EF4-FFF2-40B4-BE49-F238E27FC236}">
              <a16:creationId xmlns:a16="http://schemas.microsoft.com/office/drawing/2014/main" id="{00000000-0008-0000-0700-0000B1070000}"/>
            </a:ext>
          </a:extLst>
        </xdr:cNvPr>
        <xdr:cNvSpPr txBox="1">
          <a:spLocks noChangeArrowheads="1"/>
        </xdr:cNvSpPr>
      </xdr:nvSpPr>
      <xdr:spPr bwMode="auto">
        <a:xfrm>
          <a:off x="122805825" y="19945350"/>
          <a:ext cx="76200" cy="5075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22</xdr:row>
      <xdr:rowOff>0</xdr:rowOff>
    </xdr:from>
    <xdr:ext cx="76200" cy="505946"/>
    <xdr:sp macro="" textlink="">
      <xdr:nvSpPr>
        <xdr:cNvPr id="1971" name="Text Box 75">
          <a:extLst>
            <a:ext uri="{FF2B5EF4-FFF2-40B4-BE49-F238E27FC236}">
              <a16:creationId xmlns:a16="http://schemas.microsoft.com/office/drawing/2014/main" id="{00000000-0008-0000-0700-0000B3070000}"/>
            </a:ext>
          </a:extLst>
        </xdr:cNvPr>
        <xdr:cNvSpPr txBox="1">
          <a:spLocks noChangeArrowheads="1"/>
        </xdr:cNvSpPr>
      </xdr:nvSpPr>
      <xdr:spPr bwMode="auto">
        <a:xfrm>
          <a:off x="122805825" y="11896725"/>
          <a:ext cx="76200" cy="5059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0</xdr:colOff>
      <xdr:row>23</xdr:row>
      <xdr:rowOff>0</xdr:rowOff>
    </xdr:from>
    <xdr:ext cx="76200" cy="506430"/>
    <xdr:sp macro="" textlink="">
      <xdr:nvSpPr>
        <xdr:cNvPr id="1975" name="Text Box 75">
          <a:extLst>
            <a:ext uri="{FF2B5EF4-FFF2-40B4-BE49-F238E27FC236}">
              <a16:creationId xmlns:a16="http://schemas.microsoft.com/office/drawing/2014/main" id="{00000000-0008-0000-0700-0000B7070000}"/>
            </a:ext>
          </a:extLst>
        </xdr:cNvPr>
        <xdr:cNvSpPr txBox="1">
          <a:spLocks noChangeArrowheads="1"/>
        </xdr:cNvSpPr>
      </xdr:nvSpPr>
      <xdr:spPr bwMode="auto">
        <a:xfrm>
          <a:off x="87906225" y="29213175"/>
          <a:ext cx="76200" cy="5064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18</xdr:row>
      <xdr:rowOff>0</xdr:rowOff>
    </xdr:from>
    <xdr:ext cx="85725" cy="176171"/>
    <xdr:sp macro="" textlink="">
      <xdr:nvSpPr>
        <xdr:cNvPr id="1942" name="Text Box 75">
          <a:extLst>
            <a:ext uri="{FF2B5EF4-FFF2-40B4-BE49-F238E27FC236}">
              <a16:creationId xmlns:a16="http://schemas.microsoft.com/office/drawing/2014/main" id="{00000000-0008-0000-0700-000096070000}"/>
            </a:ext>
          </a:extLst>
        </xdr:cNvPr>
        <xdr:cNvSpPr txBox="1">
          <a:spLocks noChangeArrowheads="1"/>
        </xdr:cNvSpPr>
      </xdr:nvSpPr>
      <xdr:spPr bwMode="auto">
        <a:xfrm>
          <a:off x="89034938" y="35914013"/>
          <a:ext cx="85725" cy="1761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34</xdr:row>
      <xdr:rowOff>3295650</xdr:rowOff>
    </xdr:from>
    <xdr:ext cx="85725" cy="176171"/>
    <xdr:sp macro="" textlink="">
      <xdr:nvSpPr>
        <xdr:cNvPr id="1943" name="Text Box 75">
          <a:extLst>
            <a:ext uri="{FF2B5EF4-FFF2-40B4-BE49-F238E27FC236}">
              <a16:creationId xmlns:a16="http://schemas.microsoft.com/office/drawing/2014/main" id="{00000000-0008-0000-0700-000097070000}"/>
            </a:ext>
          </a:extLst>
        </xdr:cNvPr>
        <xdr:cNvSpPr txBox="1">
          <a:spLocks noChangeArrowheads="1"/>
        </xdr:cNvSpPr>
      </xdr:nvSpPr>
      <xdr:spPr bwMode="auto">
        <a:xfrm>
          <a:off x="89106375" y="5973296"/>
          <a:ext cx="85725" cy="1761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21</xdr:row>
      <xdr:rowOff>0</xdr:rowOff>
    </xdr:from>
    <xdr:ext cx="76200" cy="505946"/>
    <xdr:sp macro="" textlink="">
      <xdr:nvSpPr>
        <xdr:cNvPr id="1944" name="Text Box 75">
          <a:extLst>
            <a:ext uri="{FF2B5EF4-FFF2-40B4-BE49-F238E27FC236}">
              <a16:creationId xmlns:a16="http://schemas.microsoft.com/office/drawing/2014/main" id="{00000000-0008-0000-0700-000098070000}"/>
            </a:ext>
          </a:extLst>
        </xdr:cNvPr>
        <xdr:cNvSpPr txBox="1">
          <a:spLocks noChangeArrowheads="1"/>
        </xdr:cNvSpPr>
      </xdr:nvSpPr>
      <xdr:spPr bwMode="auto">
        <a:xfrm>
          <a:off x="137282464" y="13430250"/>
          <a:ext cx="76200" cy="5059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20</xdr:row>
      <xdr:rowOff>0</xdr:rowOff>
    </xdr:from>
    <xdr:ext cx="76200" cy="505946"/>
    <xdr:sp macro="" textlink="">
      <xdr:nvSpPr>
        <xdr:cNvPr id="1945" name="Text Box 75">
          <a:extLst>
            <a:ext uri="{FF2B5EF4-FFF2-40B4-BE49-F238E27FC236}">
              <a16:creationId xmlns:a16="http://schemas.microsoft.com/office/drawing/2014/main" id="{00000000-0008-0000-0700-000099070000}"/>
            </a:ext>
          </a:extLst>
        </xdr:cNvPr>
        <xdr:cNvSpPr txBox="1">
          <a:spLocks noChangeArrowheads="1"/>
        </xdr:cNvSpPr>
      </xdr:nvSpPr>
      <xdr:spPr bwMode="auto">
        <a:xfrm>
          <a:off x="137282464" y="12845143"/>
          <a:ext cx="76200" cy="5059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22</xdr:row>
      <xdr:rowOff>0</xdr:rowOff>
    </xdr:from>
    <xdr:ext cx="76200" cy="505946"/>
    <xdr:sp macro="" textlink="">
      <xdr:nvSpPr>
        <xdr:cNvPr id="1946" name="Text Box 75">
          <a:extLst>
            <a:ext uri="{FF2B5EF4-FFF2-40B4-BE49-F238E27FC236}">
              <a16:creationId xmlns:a16="http://schemas.microsoft.com/office/drawing/2014/main" id="{00000000-0008-0000-0700-00009A070000}"/>
            </a:ext>
          </a:extLst>
        </xdr:cNvPr>
        <xdr:cNvSpPr txBox="1">
          <a:spLocks noChangeArrowheads="1"/>
        </xdr:cNvSpPr>
      </xdr:nvSpPr>
      <xdr:spPr bwMode="auto">
        <a:xfrm>
          <a:off x="137282464" y="14205857"/>
          <a:ext cx="76200" cy="5059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21</xdr:row>
      <xdr:rowOff>0</xdr:rowOff>
    </xdr:from>
    <xdr:ext cx="76200" cy="505946"/>
    <xdr:sp macro="" textlink="">
      <xdr:nvSpPr>
        <xdr:cNvPr id="1947" name="Text Box 75">
          <a:extLst>
            <a:ext uri="{FF2B5EF4-FFF2-40B4-BE49-F238E27FC236}">
              <a16:creationId xmlns:a16="http://schemas.microsoft.com/office/drawing/2014/main" id="{00000000-0008-0000-0700-00009B070000}"/>
            </a:ext>
          </a:extLst>
        </xdr:cNvPr>
        <xdr:cNvSpPr txBox="1">
          <a:spLocks noChangeArrowheads="1"/>
        </xdr:cNvSpPr>
      </xdr:nvSpPr>
      <xdr:spPr bwMode="auto">
        <a:xfrm>
          <a:off x="137282464" y="13430250"/>
          <a:ext cx="76200" cy="5059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118</xdr:col>
      <xdr:colOff>0</xdr:colOff>
      <xdr:row>14</xdr:row>
      <xdr:rowOff>0</xdr:rowOff>
    </xdr:from>
    <xdr:ext cx="76200" cy="512108"/>
    <xdr:sp macro="" textlink="">
      <xdr:nvSpPr>
        <xdr:cNvPr id="1948" name="Text Box 75">
          <a:extLst>
            <a:ext uri="{FF2B5EF4-FFF2-40B4-BE49-F238E27FC236}">
              <a16:creationId xmlns:a16="http://schemas.microsoft.com/office/drawing/2014/main" id="{00000000-0008-0000-0700-00009C070000}"/>
            </a:ext>
          </a:extLst>
        </xdr:cNvPr>
        <xdr:cNvSpPr txBox="1">
          <a:spLocks noChangeArrowheads="1"/>
        </xdr:cNvSpPr>
      </xdr:nvSpPr>
      <xdr:spPr bwMode="auto">
        <a:xfrm>
          <a:off x="137282464" y="19798393"/>
          <a:ext cx="76200" cy="5121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30</xdr:row>
      <xdr:rowOff>0</xdr:rowOff>
    </xdr:from>
    <xdr:ext cx="76200" cy="508907"/>
    <xdr:sp macro="" textlink="">
      <xdr:nvSpPr>
        <xdr:cNvPr id="1949" name="Text Box 75">
          <a:extLst>
            <a:ext uri="{FF2B5EF4-FFF2-40B4-BE49-F238E27FC236}">
              <a16:creationId xmlns:a16="http://schemas.microsoft.com/office/drawing/2014/main" id="{00000000-0008-0000-0700-00009D070000}"/>
            </a:ext>
          </a:extLst>
        </xdr:cNvPr>
        <xdr:cNvSpPr txBox="1">
          <a:spLocks noChangeArrowheads="1"/>
        </xdr:cNvSpPr>
      </xdr:nvSpPr>
      <xdr:spPr bwMode="auto">
        <a:xfrm>
          <a:off x="137282464" y="22193250"/>
          <a:ext cx="76200" cy="5089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74</xdr:col>
      <xdr:colOff>0</xdr:colOff>
      <xdr:row>30</xdr:row>
      <xdr:rowOff>0</xdr:rowOff>
    </xdr:from>
    <xdr:ext cx="76200" cy="507547"/>
    <xdr:sp macro="" textlink="">
      <xdr:nvSpPr>
        <xdr:cNvPr id="1950" name="Text Box 75">
          <a:extLst>
            <a:ext uri="{FF2B5EF4-FFF2-40B4-BE49-F238E27FC236}">
              <a16:creationId xmlns:a16="http://schemas.microsoft.com/office/drawing/2014/main" id="{00000000-0008-0000-0700-00009E070000}"/>
            </a:ext>
          </a:extLst>
        </xdr:cNvPr>
        <xdr:cNvSpPr txBox="1">
          <a:spLocks noChangeArrowheads="1"/>
        </xdr:cNvSpPr>
      </xdr:nvSpPr>
      <xdr:spPr bwMode="auto">
        <a:xfrm>
          <a:off x="137282464" y="22764750"/>
          <a:ext cx="76200" cy="5075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118</xdr:col>
      <xdr:colOff>0</xdr:colOff>
      <xdr:row>36</xdr:row>
      <xdr:rowOff>0</xdr:rowOff>
    </xdr:from>
    <xdr:ext cx="76200" cy="599880"/>
    <xdr:sp macro="" textlink="">
      <xdr:nvSpPr>
        <xdr:cNvPr id="1951" name="Text Box 75">
          <a:extLst>
            <a:ext uri="{FF2B5EF4-FFF2-40B4-BE49-F238E27FC236}">
              <a16:creationId xmlns:a16="http://schemas.microsoft.com/office/drawing/2014/main" id="{00000000-0008-0000-0700-00009F070000}"/>
            </a:ext>
          </a:extLst>
        </xdr:cNvPr>
        <xdr:cNvSpPr txBox="1">
          <a:spLocks noChangeArrowheads="1"/>
        </xdr:cNvSpPr>
      </xdr:nvSpPr>
      <xdr:spPr bwMode="auto">
        <a:xfrm>
          <a:off x="213128679" y="18954750"/>
          <a:ext cx="76200" cy="59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21</xdr:row>
      <xdr:rowOff>0</xdr:rowOff>
    </xdr:from>
    <xdr:ext cx="76200" cy="496786"/>
    <xdr:sp macro="" textlink="">
      <xdr:nvSpPr>
        <xdr:cNvPr id="1952" name="Text Box 75">
          <a:extLst>
            <a:ext uri="{FF2B5EF4-FFF2-40B4-BE49-F238E27FC236}">
              <a16:creationId xmlns:a16="http://schemas.microsoft.com/office/drawing/2014/main" id="{00000000-0008-0000-0700-0000A0070000}"/>
            </a:ext>
          </a:extLst>
        </xdr:cNvPr>
        <xdr:cNvSpPr txBox="1">
          <a:spLocks noChangeArrowheads="1"/>
        </xdr:cNvSpPr>
      </xdr:nvSpPr>
      <xdr:spPr bwMode="auto">
        <a:xfrm>
          <a:off x="214067571" y="10110107"/>
          <a:ext cx="76200" cy="4967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21</xdr:row>
      <xdr:rowOff>0</xdr:rowOff>
    </xdr:from>
    <xdr:ext cx="76200" cy="496786"/>
    <xdr:sp macro="" textlink="">
      <xdr:nvSpPr>
        <xdr:cNvPr id="1953" name="Text Box 75">
          <a:extLst>
            <a:ext uri="{FF2B5EF4-FFF2-40B4-BE49-F238E27FC236}">
              <a16:creationId xmlns:a16="http://schemas.microsoft.com/office/drawing/2014/main" id="{00000000-0008-0000-0700-0000A1070000}"/>
            </a:ext>
          </a:extLst>
        </xdr:cNvPr>
        <xdr:cNvSpPr txBox="1">
          <a:spLocks noChangeArrowheads="1"/>
        </xdr:cNvSpPr>
      </xdr:nvSpPr>
      <xdr:spPr bwMode="auto">
        <a:xfrm>
          <a:off x="214067571" y="10110107"/>
          <a:ext cx="76200" cy="4967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36</xdr:row>
      <xdr:rowOff>0</xdr:rowOff>
    </xdr:from>
    <xdr:ext cx="76200" cy="599880"/>
    <xdr:sp macro="" textlink="">
      <xdr:nvSpPr>
        <xdr:cNvPr id="1970" name="Text Box 75">
          <a:extLst>
            <a:ext uri="{FF2B5EF4-FFF2-40B4-BE49-F238E27FC236}">
              <a16:creationId xmlns:a16="http://schemas.microsoft.com/office/drawing/2014/main" id="{00000000-0008-0000-0700-0000B2070000}"/>
            </a:ext>
          </a:extLst>
        </xdr:cNvPr>
        <xdr:cNvSpPr txBox="1">
          <a:spLocks noChangeArrowheads="1"/>
        </xdr:cNvSpPr>
      </xdr:nvSpPr>
      <xdr:spPr bwMode="auto">
        <a:xfrm>
          <a:off x="214067571" y="18954750"/>
          <a:ext cx="76200" cy="59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36</xdr:row>
      <xdr:rowOff>0</xdr:rowOff>
    </xdr:from>
    <xdr:ext cx="76200" cy="599880"/>
    <xdr:sp macro="" textlink="">
      <xdr:nvSpPr>
        <xdr:cNvPr id="1972" name="Text Box 75">
          <a:extLst>
            <a:ext uri="{FF2B5EF4-FFF2-40B4-BE49-F238E27FC236}">
              <a16:creationId xmlns:a16="http://schemas.microsoft.com/office/drawing/2014/main" id="{00000000-0008-0000-0700-0000B4070000}"/>
            </a:ext>
          </a:extLst>
        </xdr:cNvPr>
        <xdr:cNvSpPr txBox="1">
          <a:spLocks noChangeArrowheads="1"/>
        </xdr:cNvSpPr>
      </xdr:nvSpPr>
      <xdr:spPr bwMode="auto">
        <a:xfrm>
          <a:off x="214067571" y="18954750"/>
          <a:ext cx="76200" cy="59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32</xdr:row>
      <xdr:rowOff>0</xdr:rowOff>
    </xdr:from>
    <xdr:ext cx="76200" cy="504265"/>
    <xdr:sp macro="" textlink="">
      <xdr:nvSpPr>
        <xdr:cNvPr id="1973" name="Text Box 75">
          <a:extLst>
            <a:ext uri="{FF2B5EF4-FFF2-40B4-BE49-F238E27FC236}">
              <a16:creationId xmlns:a16="http://schemas.microsoft.com/office/drawing/2014/main" id="{00000000-0008-0000-0700-0000B5070000}"/>
            </a:ext>
          </a:extLst>
        </xdr:cNvPr>
        <xdr:cNvSpPr txBox="1">
          <a:spLocks noChangeArrowheads="1"/>
        </xdr:cNvSpPr>
      </xdr:nvSpPr>
      <xdr:spPr bwMode="auto">
        <a:xfrm>
          <a:off x="214067571" y="17539607"/>
          <a:ext cx="76200" cy="5042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32</xdr:row>
      <xdr:rowOff>0</xdr:rowOff>
    </xdr:from>
    <xdr:ext cx="76200" cy="504265"/>
    <xdr:sp macro="" textlink="">
      <xdr:nvSpPr>
        <xdr:cNvPr id="1974" name="Text Box 75">
          <a:extLst>
            <a:ext uri="{FF2B5EF4-FFF2-40B4-BE49-F238E27FC236}">
              <a16:creationId xmlns:a16="http://schemas.microsoft.com/office/drawing/2014/main" id="{00000000-0008-0000-0700-0000B6070000}"/>
            </a:ext>
          </a:extLst>
        </xdr:cNvPr>
        <xdr:cNvSpPr txBox="1">
          <a:spLocks noChangeArrowheads="1"/>
        </xdr:cNvSpPr>
      </xdr:nvSpPr>
      <xdr:spPr bwMode="auto">
        <a:xfrm>
          <a:off x="214067571" y="17539607"/>
          <a:ext cx="76200" cy="5042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135</xdr:col>
      <xdr:colOff>0</xdr:colOff>
      <xdr:row>21</xdr:row>
      <xdr:rowOff>0</xdr:rowOff>
    </xdr:from>
    <xdr:ext cx="76200" cy="228600"/>
    <xdr:sp macro="" textlink="">
      <xdr:nvSpPr>
        <xdr:cNvPr id="1978" name="Text Box 75">
          <a:extLst>
            <a:ext uri="{FF2B5EF4-FFF2-40B4-BE49-F238E27FC236}">
              <a16:creationId xmlns:a16="http://schemas.microsoft.com/office/drawing/2014/main" id="{00000000-0008-0000-0700-0000BA070000}"/>
            </a:ext>
          </a:extLst>
        </xdr:cNvPr>
        <xdr:cNvSpPr txBox="1">
          <a:spLocks noChangeArrowheads="1"/>
        </xdr:cNvSpPr>
      </xdr:nvSpPr>
      <xdr:spPr bwMode="auto">
        <a:xfrm>
          <a:off x="241853357" y="10110107"/>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135</xdr:col>
      <xdr:colOff>0</xdr:colOff>
      <xdr:row>27</xdr:row>
      <xdr:rowOff>0</xdr:rowOff>
    </xdr:from>
    <xdr:ext cx="76200" cy="228600"/>
    <xdr:sp macro="" textlink="">
      <xdr:nvSpPr>
        <xdr:cNvPr id="1979" name="Text Box 75">
          <a:extLst>
            <a:ext uri="{FF2B5EF4-FFF2-40B4-BE49-F238E27FC236}">
              <a16:creationId xmlns:a16="http://schemas.microsoft.com/office/drawing/2014/main" id="{00000000-0008-0000-0700-0000BB070000}"/>
            </a:ext>
          </a:extLst>
        </xdr:cNvPr>
        <xdr:cNvSpPr txBox="1">
          <a:spLocks noChangeArrowheads="1"/>
        </xdr:cNvSpPr>
      </xdr:nvSpPr>
      <xdr:spPr bwMode="auto">
        <a:xfrm>
          <a:off x="241853357" y="13158107"/>
          <a:ext cx="762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33672"/>
    <xdr:sp macro="" textlink="">
      <xdr:nvSpPr>
        <xdr:cNvPr id="1983" name="Text Box 75">
          <a:extLst>
            <a:ext uri="{FF2B5EF4-FFF2-40B4-BE49-F238E27FC236}">
              <a16:creationId xmlns:a16="http://schemas.microsoft.com/office/drawing/2014/main" id="{00000000-0008-0000-0700-0000BF070000}"/>
            </a:ext>
          </a:extLst>
        </xdr:cNvPr>
        <xdr:cNvSpPr txBox="1">
          <a:spLocks noChangeArrowheads="1"/>
        </xdr:cNvSpPr>
      </xdr:nvSpPr>
      <xdr:spPr bwMode="auto">
        <a:xfrm>
          <a:off x="81936851" y="31208382"/>
          <a:ext cx="85725" cy="3336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4672"/>
    <xdr:sp macro="" textlink="">
      <xdr:nvSpPr>
        <xdr:cNvPr id="1984" name="Text Box 75">
          <a:extLst>
            <a:ext uri="{FF2B5EF4-FFF2-40B4-BE49-F238E27FC236}">
              <a16:creationId xmlns:a16="http://schemas.microsoft.com/office/drawing/2014/main" id="{00000000-0008-0000-0700-0000C0070000}"/>
            </a:ext>
          </a:extLst>
        </xdr:cNvPr>
        <xdr:cNvSpPr txBox="1">
          <a:spLocks noChangeArrowheads="1"/>
        </xdr:cNvSpPr>
      </xdr:nvSpPr>
      <xdr:spPr bwMode="auto">
        <a:xfrm>
          <a:off x="81936851" y="32160882"/>
          <a:ext cx="85725" cy="3446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4672"/>
    <xdr:sp macro="" textlink="">
      <xdr:nvSpPr>
        <xdr:cNvPr id="1985" name="Text Box 75">
          <a:extLst>
            <a:ext uri="{FF2B5EF4-FFF2-40B4-BE49-F238E27FC236}">
              <a16:creationId xmlns:a16="http://schemas.microsoft.com/office/drawing/2014/main" id="{00000000-0008-0000-0700-0000C1070000}"/>
            </a:ext>
          </a:extLst>
        </xdr:cNvPr>
        <xdr:cNvSpPr txBox="1">
          <a:spLocks noChangeArrowheads="1"/>
        </xdr:cNvSpPr>
      </xdr:nvSpPr>
      <xdr:spPr bwMode="auto">
        <a:xfrm>
          <a:off x="81936851" y="32160882"/>
          <a:ext cx="85725" cy="3446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39863"/>
    <xdr:sp macro="" textlink="">
      <xdr:nvSpPr>
        <xdr:cNvPr id="1986" name="Text Box 75">
          <a:extLst>
            <a:ext uri="{FF2B5EF4-FFF2-40B4-BE49-F238E27FC236}">
              <a16:creationId xmlns:a16="http://schemas.microsoft.com/office/drawing/2014/main" id="{00000000-0008-0000-0700-0000C2070000}"/>
            </a:ext>
          </a:extLst>
        </xdr:cNvPr>
        <xdr:cNvSpPr txBox="1">
          <a:spLocks noChangeArrowheads="1"/>
        </xdr:cNvSpPr>
      </xdr:nvSpPr>
      <xdr:spPr bwMode="auto">
        <a:xfrm>
          <a:off x="81936851" y="32732382"/>
          <a:ext cx="85725" cy="339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39863"/>
    <xdr:sp macro="" textlink="">
      <xdr:nvSpPr>
        <xdr:cNvPr id="1987" name="Text Box 75">
          <a:extLst>
            <a:ext uri="{FF2B5EF4-FFF2-40B4-BE49-F238E27FC236}">
              <a16:creationId xmlns:a16="http://schemas.microsoft.com/office/drawing/2014/main" id="{00000000-0008-0000-0700-0000C3070000}"/>
            </a:ext>
          </a:extLst>
        </xdr:cNvPr>
        <xdr:cNvSpPr txBox="1">
          <a:spLocks noChangeArrowheads="1"/>
        </xdr:cNvSpPr>
      </xdr:nvSpPr>
      <xdr:spPr bwMode="auto">
        <a:xfrm>
          <a:off x="81936851" y="32732382"/>
          <a:ext cx="85725" cy="339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39863"/>
    <xdr:sp macro="" textlink="">
      <xdr:nvSpPr>
        <xdr:cNvPr id="1988" name="Text Box 75">
          <a:extLst>
            <a:ext uri="{FF2B5EF4-FFF2-40B4-BE49-F238E27FC236}">
              <a16:creationId xmlns:a16="http://schemas.microsoft.com/office/drawing/2014/main" id="{00000000-0008-0000-0700-0000C4070000}"/>
            </a:ext>
          </a:extLst>
        </xdr:cNvPr>
        <xdr:cNvSpPr txBox="1">
          <a:spLocks noChangeArrowheads="1"/>
        </xdr:cNvSpPr>
      </xdr:nvSpPr>
      <xdr:spPr bwMode="auto">
        <a:xfrm>
          <a:off x="81936851" y="32732382"/>
          <a:ext cx="85725" cy="339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39863"/>
    <xdr:sp macro="" textlink="">
      <xdr:nvSpPr>
        <xdr:cNvPr id="1989" name="Text Box 75">
          <a:extLst>
            <a:ext uri="{FF2B5EF4-FFF2-40B4-BE49-F238E27FC236}">
              <a16:creationId xmlns:a16="http://schemas.microsoft.com/office/drawing/2014/main" id="{00000000-0008-0000-0700-0000C5070000}"/>
            </a:ext>
          </a:extLst>
        </xdr:cNvPr>
        <xdr:cNvSpPr txBox="1">
          <a:spLocks noChangeArrowheads="1"/>
        </xdr:cNvSpPr>
      </xdr:nvSpPr>
      <xdr:spPr bwMode="auto">
        <a:xfrm>
          <a:off x="81936851" y="32732382"/>
          <a:ext cx="85725" cy="339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1991" name="Text Box 75">
          <a:extLst>
            <a:ext uri="{FF2B5EF4-FFF2-40B4-BE49-F238E27FC236}">
              <a16:creationId xmlns:a16="http://schemas.microsoft.com/office/drawing/2014/main" id="{00000000-0008-0000-0700-0000C7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1992" name="Text Box 75">
          <a:extLst>
            <a:ext uri="{FF2B5EF4-FFF2-40B4-BE49-F238E27FC236}">
              <a16:creationId xmlns:a16="http://schemas.microsoft.com/office/drawing/2014/main" id="{00000000-0008-0000-0700-0000C8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1993" name="Text Box 75">
          <a:extLst>
            <a:ext uri="{FF2B5EF4-FFF2-40B4-BE49-F238E27FC236}">
              <a16:creationId xmlns:a16="http://schemas.microsoft.com/office/drawing/2014/main" id="{00000000-0008-0000-0700-0000C9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1994" name="Text Box 75">
          <a:extLst>
            <a:ext uri="{FF2B5EF4-FFF2-40B4-BE49-F238E27FC236}">
              <a16:creationId xmlns:a16="http://schemas.microsoft.com/office/drawing/2014/main" id="{00000000-0008-0000-0700-0000CA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1995" name="Text Box 75">
          <a:extLst>
            <a:ext uri="{FF2B5EF4-FFF2-40B4-BE49-F238E27FC236}">
              <a16:creationId xmlns:a16="http://schemas.microsoft.com/office/drawing/2014/main" id="{00000000-0008-0000-0700-0000CB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1996" name="Text Box 75">
          <a:extLst>
            <a:ext uri="{FF2B5EF4-FFF2-40B4-BE49-F238E27FC236}">
              <a16:creationId xmlns:a16="http://schemas.microsoft.com/office/drawing/2014/main" id="{00000000-0008-0000-0700-0000CC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1997" name="Text Box 75">
          <a:extLst>
            <a:ext uri="{FF2B5EF4-FFF2-40B4-BE49-F238E27FC236}">
              <a16:creationId xmlns:a16="http://schemas.microsoft.com/office/drawing/2014/main" id="{00000000-0008-0000-0700-0000CD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1998" name="Text Box 75">
          <a:extLst>
            <a:ext uri="{FF2B5EF4-FFF2-40B4-BE49-F238E27FC236}">
              <a16:creationId xmlns:a16="http://schemas.microsoft.com/office/drawing/2014/main" id="{00000000-0008-0000-0700-0000CE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1999" name="Text Box 75">
          <a:extLst>
            <a:ext uri="{FF2B5EF4-FFF2-40B4-BE49-F238E27FC236}">
              <a16:creationId xmlns:a16="http://schemas.microsoft.com/office/drawing/2014/main" id="{00000000-0008-0000-0700-0000CF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0" name="Text Box 75">
          <a:extLst>
            <a:ext uri="{FF2B5EF4-FFF2-40B4-BE49-F238E27FC236}">
              <a16:creationId xmlns:a16="http://schemas.microsoft.com/office/drawing/2014/main" id="{00000000-0008-0000-0700-0000D0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1" name="Text Box 75">
          <a:extLst>
            <a:ext uri="{FF2B5EF4-FFF2-40B4-BE49-F238E27FC236}">
              <a16:creationId xmlns:a16="http://schemas.microsoft.com/office/drawing/2014/main" id="{00000000-0008-0000-0700-0000D1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2" name="Text Box 75">
          <a:extLst>
            <a:ext uri="{FF2B5EF4-FFF2-40B4-BE49-F238E27FC236}">
              <a16:creationId xmlns:a16="http://schemas.microsoft.com/office/drawing/2014/main" id="{00000000-0008-0000-0700-0000D2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3" name="Text Box 75">
          <a:extLst>
            <a:ext uri="{FF2B5EF4-FFF2-40B4-BE49-F238E27FC236}">
              <a16:creationId xmlns:a16="http://schemas.microsoft.com/office/drawing/2014/main" id="{00000000-0008-0000-0700-0000D3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4" name="Text Box 75">
          <a:extLst>
            <a:ext uri="{FF2B5EF4-FFF2-40B4-BE49-F238E27FC236}">
              <a16:creationId xmlns:a16="http://schemas.microsoft.com/office/drawing/2014/main" id="{00000000-0008-0000-0700-0000D4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5" name="Text Box 75">
          <a:extLst>
            <a:ext uri="{FF2B5EF4-FFF2-40B4-BE49-F238E27FC236}">
              <a16:creationId xmlns:a16="http://schemas.microsoft.com/office/drawing/2014/main" id="{00000000-0008-0000-0700-0000D5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6" name="Text Box 75">
          <a:extLst>
            <a:ext uri="{FF2B5EF4-FFF2-40B4-BE49-F238E27FC236}">
              <a16:creationId xmlns:a16="http://schemas.microsoft.com/office/drawing/2014/main" id="{00000000-0008-0000-0700-0000D6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7" name="Text Box 75">
          <a:extLst>
            <a:ext uri="{FF2B5EF4-FFF2-40B4-BE49-F238E27FC236}">
              <a16:creationId xmlns:a16="http://schemas.microsoft.com/office/drawing/2014/main" id="{00000000-0008-0000-0700-0000D7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8" name="Text Box 75">
          <a:extLst>
            <a:ext uri="{FF2B5EF4-FFF2-40B4-BE49-F238E27FC236}">
              <a16:creationId xmlns:a16="http://schemas.microsoft.com/office/drawing/2014/main" id="{00000000-0008-0000-0700-0000D8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09" name="Text Box 75">
          <a:extLst>
            <a:ext uri="{FF2B5EF4-FFF2-40B4-BE49-F238E27FC236}">
              <a16:creationId xmlns:a16="http://schemas.microsoft.com/office/drawing/2014/main" id="{00000000-0008-0000-0700-0000D9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10" name="Text Box 75">
          <a:extLst>
            <a:ext uri="{FF2B5EF4-FFF2-40B4-BE49-F238E27FC236}">
              <a16:creationId xmlns:a16="http://schemas.microsoft.com/office/drawing/2014/main" id="{00000000-0008-0000-0700-0000DA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1400175</xdr:colOff>
      <xdr:row>26</xdr:row>
      <xdr:rowOff>3295650</xdr:rowOff>
    </xdr:from>
    <xdr:ext cx="85725" cy="198823"/>
    <xdr:sp macro="" textlink="">
      <xdr:nvSpPr>
        <xdr:cNvPr id="2011" name="Text Box 75">
          <a:extLst>
            <a:ext uri="{FF2B5EF4-FFF2-40B4-BE49-F238E27FC236}">
              <a16:creationId xmlns:a16="http://schemas.microsoft.com/office/drawing/2014/main" id="{00000000-0008-0000-0700-0000DB070000}"/>
            </a:ext>
          </a:extLst>
        </xdr:cNvPr>
        <xdr:cNvSpPr txBox="1">
          <a:spLocks noChangeArrowheads="1"/>
        </xdr:cNvSpPr>
      </xdr:nvSpPr>
      <xdr:spPr bwMode="auto">
        <a:xfrm>
          <a:off x="81936851" y="29740412"/>
          <a:ext cx="85725" cy="198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30" name="Text Box 75">
          <a:extLst>
            <a:ext uri="{FF2B5EF4-FFF2-40B4-BE49-F238E27FC236}">
              <a16:creationId xmlns:a16="http://schemas.microsoft.com/office/drawing/2014/main" id="{00000000-0008-0000-0700-0000EE07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31" name="Text Box 75">
          <a:extLst>
            <a:ext uri="{FF2B5EF4-FFF2-40B4-BE49-F238E27FC236}">
              <a16:creationId xmlns:a16="http://schemas.microsoft.com/office/drawing/2014/main" id="{00000000-0008-0000-0700-0000EF07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36" name="Text Box 75">
          <a:extLst>
            <a:ext uri="{FF2B5EF4-FFF2-40B4-BE49-F238E27FC236}">
              <a16:creationId xmlns:a16="http://schemas.microsoft.com/office/drawing/2014/main" id="{00000000-0008-0000-0700-0000F407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37" name="Text Box 75">
          <a:extLst>
            <a:ext uri="{FF2B5EF4-FFF2-40B4-BE49-F238E27FC236}">
              <a16:creationId xmlns:a16="http://schemas.microsoft.com/office/drawing/2014/main" id="{00000000-0008-0000-0700-0000F507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38" name="Text Box 75">
          <a:extLst>
            <a:ext uri="{FF2B5EF4-FFF2-40B4-BE49-F238E27FC236}">
              <a16:creationId xmlns:a16="http://schemas.microsoft.com/office/drawing/2014/main" id="{00000000-0008-0000-0700-0000F607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39" name="Text Box 75">
          <a:extLst>
            <a:ext uri="{FF2B5EF4-FFF2-40B4-BE49-F238E27FC236}">
              <a16:creationId xmlns:a16="http://schemas.microsoft.com/office/drawing/2014/main" id="{00000000-0008-0000-0700-0000F707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40" name="Text Box 75">
          <a:extLst>
            <a:ext uri="{FF2B5EF4-FFF2-40B4-BE49-F238E27FC236}">
              <a16:creationId xmlns:a16="http://schemas.microsoft.com/office/drawing/2014/main" id="{00000000-0008-0000-0700-0000F807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41" name="Text Box 75">
          <a:extLst>
            <a:ext uri="{FF2B5EF4-FFF2-40B4-BE49-F238E27FC236}">
              <a16:creationId xmlns:a16="http://schemas.microsoft.com/office/drawing/2014/main" id="{00000000-0008-0000-0700-0000F907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48" name="Text Box 75">
          <a:extLst>
            <a:ext uri="{FF2B5EF4-FFF2-40B4-BE49-F238E27FC236}">
              <a16:creationId xmlns:a16="http://schemas.microsoft.com/office/drawing/2014/main" id="{00000000-0008-0000-0700-000000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49" name="Text Box 75">
          <a:extLst>
            <a:ext uri="{FF2B5EF4-FFF2-40B4-BE49-F238E27FC236}">
              <a16:creationId xmlns:a16="http://schemas.microsoft.com/office/drawing/2014/main" id="{00000000-0008-0000-0700-000001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54" name="Text Box 75">
          <a:extLst>
            <a:ext uri="{FF2B5EF4-FFF2-40B4-BE49-F238E27FC236}">
              <a16:creationId xmlns:a16="http://schemas.microsoft.com/office/drawing/2014/main" id="{00000000-0008-0000-0700-000006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55" name="Text Box 75">
          <a:extLst>
            <a:ext uri="{FF2B5EF4-FFF2-40B4-BE49-F238E27FC236}">
              <a16:creationId xmlns:a16="http://schemas.microsoft.com/office/drawing/2014/main" id="{00000000-0008-0000-0700-000007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56" name="Text Box 75">
          <a:extLst>
            <a:ext uri="{FF2B5EF4-FFF2-40B4-BE49-F238E27FC236}">
              <a16:creationId xmlns:a16="http://schemas.microsoft.com/office/drawing/2014/main" id="{00000000-0008-0000-0700-000008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57" name="Text Box 75">
          <a:extLst>
            <a:ext uri="{FF2B5EF4-FFF2-40B4-BE49-F238E27FC236}">
              <a16:creationId xmlns:a16="http://schemas.microsoft.com/office/drawing/2014/main" id="{00000000-0008-0000-0700-000009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58" name="Text Box 75">
          <a:extLst>
            <a:ext uri="{FF2B5EF4-FFF2-40B4-BE49-F238E27FC236}">
              <a16:creationId xmlns:a16="http://schemas.microsoft.com/office/drawing/2014/main" id="{00000000-0008-0000-0700-00000A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59" name="Text Box 75">
          <a:extLst>
            <a:ext uri="{FF2B5EF4-FFF2-40B4-BE49-F238E27FC236}">
              <a16:creationId xmlns:a16="http://schemas.microsoft.com/office/drawing/2014/main" id="{00000000-0008-0000-0700-00000B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0" name="Text Box 75">
          <a:extLst>
            <a:ext uri="{FF2B5EF4-FFF2-40B4-BE49-F238E27FC236}">
              <a16:creationId xmlns:a16="http://schemas.microsoft.com/office/drawing/2014/main" id="{00000000-0008-0000-0700-00000C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1" name="Text Box 75">
          <a:extLst>
            <a:ext uri="{FF2B5EF4-FFF2-40B4-BE49-F238E27FC236}">
              <a16:creationId xmlns:a16="http://schemas.microsoft.com/office/drawing/2014/main" id="{00000000-0008-0000-0700-00000D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2" name="Text Box 75">
          <a:extLst>
            <a:ext uri="{FF2B5EF4-FFF2-40B4-BE49-F238E27FC236}">
              <a16:creationId xmlns:a16="http://schemas.microsoft.com/office/drawing/2014/main" id="{00000000-0008-0000-0700-00000E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3" name="Text Box 75">
          <a:extLst>
            <a:ext uri="{FF2B5EF4-FFF2-40B4-BE49-F238E27FC236}">
              <a16:creationId xmlns:a16="http://schemas.microsoft.com/office/drawing/2014/main" id="{00000000-0008-0000-0700-00000F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4" name="Text Box 75">
          <a:extLst>
            <a:ext uri="{FF2B5EF4-FFF2-40B4-BE49-F238E27FC236}">
              <a16:creationId xmlns:a16="http://schemas.microsoft.com/office/drawing/2014/main" id="{00000000-0008-0000-0700-000010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5" name="Text Box 75">
          <a:extLst>
            <a:ext uri="{FF2B5EF4-FFF2-40B4-BE49-F238E27FC236}">
              <a16:creationId xmlns:a16="http://schemas.microsoft.com/office/drawing/2014/main" id="{00000000-0008-0000-0700-000011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6" name="Text Box 75">
          <a:extLst>
            <a:ext uri="{FF2B5EF4-FFF2-40B4-BE49-F238E27FC236}">
              <a16:creationId xmlns:a16="http://schemas.microsoft.com/office/drawing/2014/main" id="{00000000-0008-0000-0700-000012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7" name="Text Box 75">
          <a:extLst>
            <a:ext uri="{FF2B5EF4-FFF2-40B4-BE49-F238E27FC236}">
              <a16:creationId xmlns:a16="http://schemas.microsoft.com/office/drawing/2014/main" id="{00000000-0008-0000-0700-000013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8" name="Text Box 75">
          <a:extLst>
            <a:ext uri="{FF2B5EF4-FFF2-40B4-BE49-F238E27FC236}">
              <a16:creationId xmlns:a16="http://schemas.microsoft.com/office/drawing/2014/main" id="{00000000-0008-0000-0700-000014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69" name="Text Box 75">
          <a:extLst>
            <a:ext uri="{FF2B5EF4-FFF2-40B4-BE49-F238E27FC236}">
              <a16:creationId xmlns:a16="http://schemas.microsoft.com/office/drawing/2014/main" id="{00000000-0008-0000-0700-000015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0" name="Text Box 75">
          <a:extLst>
            <a:ext uri="{FF2B5EF4-FFF2-40B4-BE49-F238E27FC236}">
              <a16:creationId xmlns:a16="http://schemas.microsoft.com/office/drawing/2014/main" id="{00000000-0008-0000-0700-000016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1" name="Text Box 75">
          <a:extLst>
            <a:ext uri="{FF2B5EF4-FFF2-40B4-BE49-F238E27FC236}">
              <a16:creationId xmlns:a16="http://schemas.microsoft.com/office/drawing/2014/main" id="{00000000-0008-0000-0700-000017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2" name="Text Box 75">
          <a:extLst>
            <a:ext uri="{FF2B5EF4-FFF2-40B4-BE49-F238E27FC236}">
              <a16:creationId xmlns:a16="http://schemas.microsoft.com/office/drawing/2014/main" id="{00000000-0008-0000-0700-000018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3" name="Text Box 75">
          <a:extLst>
            <a:ext uri="{FF2B5EF4-FFF2-40B4-BE49-F238E27FC236}">
              <a16:creationId xmlns:a16="http://schemas.microsoft.com/office/drawing/2014/main" id="{00000000-0008-0000-0700-000019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4" name="Text Box 75">
          <a:extLst>
            <a:ext uri="{FF2B5EF4-FFF2-40B4-BE49-F238E27FC236}">
              <a16:creationId xmlns:a16="http://schemas.microsoft.com/office/drawing/2014/main" id="{00000000-0008-0000-0700-00001A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5" name="Text Box 75">
          <a:extLst>
            <a:ext uri="{FF2B5EF4-FFF2-40B4-BE49-F238E27FC236}">
              <a16:creationId xmlns:a16="http://schemas.microsoft.com/office/drawing/2014/main" id="{00000000-0008-0000-0700-00001B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6" name="Text Box 75">
          <a:extLst>
            <a:ext uri="{FF2B5EF4-FFF2-40B4-BE49-F238E27FC236}">
              <a16:creationId xmlns:a16="http://schemas.microsoft.com/office/drawing/2014/main" id="{00000000-0008-0000-0700-00001C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7" name="Text Box 75">
          <a:extLst>
            <a:ext uri="{FF2B5EF4-FFF2-40B4-BE49-F238E27FC236}">
              <a16:creationId xmlns:a16="http://schemas.microsoft.com/office/drawing/2014/main" id="{00000000-0008-0000-0700-00001D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8" name="Text Box 75">
          <a:extLst>
            <a:ext uri="{FF2B5EF4-FFF2-40B4-BE49-F238E27FC236}">
              <a16:creationId xmlns:a16="http://schemas.microsoft.com/office/drawing/2014/main" id="{00000000-0008-0000-0700-00001E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79" name="Text Box 75">
          <a:extLst>
            <a:ext uri="{FF2B5EF4-FFF2-40B4-BE49-F238E27FC236}">
              <a16:creationId xmlns:a16="http://schemas.microsoft.com/office/drawing/2014/main" id="{00000000-0008-0000-0700-00001F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0" name="Text Box 75">
          <a:extLst>
            <a:ext uri="{FF2B5EF4-FFF2-40B4-BE49-F238E27FC236}">
              <a16:creationId xmlns:a16="http://schemas.microsoft.com/office/drawing/2014/main" id="{00000000-0008-0000-0700-000020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1" name="Text Box 75">
          <a:extLst>
            <a:ext uri="{FF2B5EF4-FFF2-40B4-BE49-F238E27FC236}">
              <a16:creationId xmlns:a16="http://schemas.microsoft.com/office/drawing/2014/main" id="{00000000-0008-0000-0700-000021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2" name="Text Box 75">
          <a:extLst>
            <a:ext uri="{FF2B5EF4-FFF2-40B4-BE49-F238E27FC236}">
              <a16:creationId xmlns:a16="http://schemas.microsoft.com/office/drawing/2014/main" id="{00000000-0008-0000-0700-000022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3" name="Text Box 75">
          <a:extLst>
            <a:ext uri="{FF2B5EF4-FFF2-40B4-BE49-F238E27FC236}">
              <a16:creationId xmlns:a16="http://schemas.microsoft.com/office/drawing/2014/main" id="{00000000-0008-0000-0700-000023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4" name="Text Box 75">
          <a:extLst>
            <a:ext uri="{FF2B5EF4-FFF2-40B4-BE49-F238E27FC236}">
              <a16:creationId xmlns:a16="http://schemas.microsoft.com/office/drawing/2014/main" id="{00000000-0008-0000-0700-000024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5" name="Text Box 75">
          <a:extLst>
            <a:ext uri="{FF2B5EF4-FFF2-40B4-BE49-F238E27FC236}">
              <a16:creationId xmlns:a16="http://schemas.microsoft.com/office/drawing/2014/main" id="{00000000-0008-0000-0700-000025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6" name="Text Box 75">
          <a:extLst>
            <a:ext uri="{FF2B5EF4-FFF2-40B4-BE49-F238E27FC236}">
              <a16:creationId xmlns:a16="http://schemas.microsoft.com/office/drawing/2014/main" id="{00000000-0008-0000-0700-000026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7" name="Text Box 75">
          <a:extLst>
            <a:ext uri="{FF2B5EF4-FFF2-40B4-BE49-F238E27FC236}">
              <a16:creationId xmlns:a16="http://schemas.microsoft.com/office/drawing/2014/main" id="{00000000-0008-0000-0700-000027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8" name="Text Box 75">
          <a:extLst>
            <a:ext uri="{FF2B5EF4-FFF2-40B4-BE49-F238E27FC236}">
              <a16:creationId xmlns:a16="http://schemas.microsoft.com/office/drawing/2014/main" id="{00000000-0008-0000-0700-000028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89" name="Text Box 75">
          <a:extLst>
            <a:ext uri="{FF2B5EF4-FFF2-40B4-BE49-F238E27FC236}">
              <a16:creationId xmlns:a16="http://schemas.microsoft.com/office/drawing/2014/main" id="{00000000-0008-0000-0700-000029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0" name="Text Box 75">
          <a:extLst>
            <a:ext uri="{FF2B5EF4-FFF2-40B4-BE49-F238E27FC236}">
              <a16:creationId xmlns:a16="http://schemas.microsoft.com/office/drawing/2014/main" id="{00000000-0008-0000-0700-00002A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1" name="Text Box 75">
          <a:extLst>
            <a:ext uri="{FF2B5EF4-FFF2-40B4-BE49-F238E27FC236}">
              <a16:creationId xmlns:a16="http://schemas.microsoft.com/office/drawing/2014/main" id="{00000000-0008-0000-0700-00002B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2" name="Text Box 75">
          <a:extLst>
            <a:ext uri="{FF2B5EF4-FFF2-40B4-BE49-F238E27FC236}">
              <a16:creationId xmlns:a16="http://schemas.microsoft.com/office/drawing/2014/main" id="{00000000-0008-0000-0700-00002C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3" name="Text Box 75">
          <a:extLst>
            <a:ext uri="{FF2B5EF4-FFF2-40B4-BE49-F238E27FC236}">
              <a16:creationId xmlns:a16="http://schemas.microsoft.com/office/drawing/2014/main" id="{00000000-0008-0000-0700-00002D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4" name="Text Box 75">
          <a:extLst>
            <a:ext uri="{FF2B5EF4-FFF2-40B4-BE49-F238E27FC236}">
              <a16:creationId xmlns:a16="http://schemas.microsoft.com/office/drawing/2014/main" id="{00000000-0008-0000-0700-00002E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5" name="Text Box 75">
          <a:extLst>
            <a:ext uri="{FF2B5EF4-FFF2-40B4-BE49-F238E27FC236}">
              <a16:creationId xmlns:a16="http://schemas.microsoft.com/office/drawing/2014/main" id="{00000000-0008-0000-0700-00002F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6" name="Text Box 75">
          <a:extLst>
            <a:ext uri="{FF2B5EF4-FFF2-40B4-BE49-F238E27FC236}">
              <a16:creationId xmlns:a16="http://schemas.microsoft.com/office/drawing/2014/main" id="{00000000-0008-0000-0700-000030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7" name="Text Box 75">
          <a:extLst>
            <a:ext uri="{FF2B5EF4-FFF2-40B4-BE49-F238E27FC236}">
              <a16:creationId xmlns:a16="http://schemas.microsoft.com/office/drawing/2014/main" id="{00000000-0008-0000-0700-000031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8" name="Text Box 75">
          <a:extLst>
            <a:ext uri="{FF2B5EF4-FFF2-40B4-BE49-F238E27FC236}">
              <a16:creationId xmlns:a16="http://schemas.microsoft.com/office/drawing/2014/main" id="{00000000-0008-0000-0700-000032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099" name="Text Box 75">
          <a:extLst>
            <a:ext uri="{FF2B5EF4-FFF2-40B4-BE49-F238E27FC236}">
              <a16:creationId xmlns:a16="http://schemas.microsoft.com/office/drawing/2014/main" id="{00000000-0008-0000-0700-000033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0" name="Text Box 75">
          <a:extLst>
            <a:ext uri="{FF2B5EF4-FFF2-40B4-BE49-F238E27FC236}">
              <a16:creationId xmlns:a16="http://schemas.microsoft.com/office/drawing/2014/main" id="{00000000-0008-0000-0700-000034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1" name="Text Box 75">
          <a:extLst>
            <a:ext uri="{FF2B5EF4-FFF2-40B4-BE49-F238E27FC236}">
              <a16:creationId xmlns:a16="http://schemas.microsoft.com/office/drawing/2014/main" id="{00000000-0008-0000-0700-000035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2" name="Text Box 75">
          <a:extLst>
            <a:ext uri="{FF2B5EF4-FFF2-40B4-BE49-F238E27FC236}">
              <a16:creationId xmlns:a16="http://schemas.microsoft.com/office/drawing/2014/main" id="{00000000-0008-0000-0700-000036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3" name="Text Box 75">
          <a:extLst>
            <a:ext uri="{FF2B5EF4-FFF2-40B4-BE49-F238E27FC236}">
              <a16:creationId xmlns:a16="http://schemas.microsoft.com/office/drawing/2014/main" id="{00000000-0008-0000-0700-000037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4" name="Text Box 75">
          <a:extLst>
            <a:ext uri="{FF2B5EF4-FFF2-40B4-BE49-F238E27FC236}">
              <a16:creationId xmlns:a16="http://schemas.microsoft.com/office/drawing/2014/main" id="{00000000-0008-0000-0700-000038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5" name="Text Box 75">
          <a:extLst>
            <a:ext uri="{FF2B5EF4-FFF2-40B4-BE49-F238E27FC236}">
              <a16:creationId xmlns:a16="http://schemas.microsoft.com/office/drawing/2014/main" id="{00000000-0008-0000-0700-000039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6" name="Text Box 75">
          <a:extLst>
            <a:ext uri="{FF2B5EF4-FFF2-40B4-BE49-F238E27FC236}">
              <a16:creationId xmlns:a16="http://schemas.microsoft.com/office/drawing/2014/main" id="{00000000-0008-0000-0700-00003A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7" name="Text Box 75">
          <a:extLst>
            <a:ext uri="{FF2B5EF4-FFF2-40B4-BE49-F238E27FC236}">
              <a16:creationId xmlns:a16="http://schemas.microsoft.com/office/drawing/2014/main" id="{00000000-0008-0000-0700-00003B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8" name="Text Box 75">
          <a:extLst>
            <a:ext uri="{FF2B5EF4-FFF2-40B4-BE49-F238E27FC236}">
              <a16:creationId xmlns:a16="http://schemas.microsoft.com/office/drawing/2014/main" id="{00000000-0008-0000-0700-00003C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09" name="Text Box 75">
          <a:extLst>
            <a:ext uri="{FF2B5EF4-FFF2-40B4-BE49-F238E27FC236}">
              <a16:creationId xmlns:a16="http://schemas.microsoft.com/office/drawing/2014/main" id="{00000000-0008-0000-0700-00003D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10" name="Text Box 75">
          <a:extLst>
            <a:ext uri="{FF2B5EF4-FFF2-40B4-BE49-F238E27FC236}">
              <a16:creationId xmlns:a16="http://schemas.microsoft.com/office/drawing/2014/main" id="{00000000-0008-0000-0700-00003E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11" name="Text Box 75">
          <a:extLst>
            <a:ext uri="{FF2B5EF4-FFF2-40B4-BE49-F238E27FC236}">
              <a16:creationId xmlns:a16="http://schemas.microsoft.com/office/drawing/2014/main" id="{00000000-0008-0000-0700-00003F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12" name="Text Box 75">
          <a:extLst>
            <a:ext uri="{FF2B5EF4-FFF2-40B4-BE49-F238E27FC236}">
              <a16:creationId xmlns:a16="http://schemas.microsoft.com/office/drawing/2014/main" id="{00000000-0008-0000-0700-000040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13" name="Text Box 75">
          <a:extLst>
            <a:ext uri="{FF2B5EF4-FFF2-40B4-BE49-F238E27FC236}">
              <a16:creationId xmlns:a16="http://schemas.microsoft.com/office/drawing/2014/main" id="{00000000-0008-0000-0700-000041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14" name="Text Box 75">
          <a:extLst>
            <a:ext uri="{FF2B5EF4-FFF2-40B4-BE49-F238E27FC236}">
              <a16:creationId xmlns:a16="http://schemas.microsoft.com/office/drawing/2014/main" id="{00000000-0008-0000-0700-000042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15" name="Text Box 75">
          <a:extLst>
            <a:ext uri="{FF2B5EF4-FFF2-40B4-BE49-F238E27FC236}">
              <a16:creationId xmlns:a16="http://schemas.microsoft.com/office/drawing/2014/main" id="{00000000-0008-0000-0700-000043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16" name="Text Box 75">
          <a:extLst>
            <a:ext uri="{FF2B5EF4-FFF2-40B4-BE49-F238E27FC236}">
              <a16:creationId xmlns:a16="http://schemas.microsoft.com/office/drawing/2014/main" id="{00000000-0008-0000-0700-000044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17" name="Text Box 75">
          <a:extLst>
            <a:ext uri="{FF2B5EF4-FFF2-40B4-BE49-F238E27FC236}">
              <a16:creationId xmlns:a16="http://schemas.microsoft.com/office/drawing/2014/main" id="{00000000-0008-0000-0700-000045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18" name="Text Box 75">
          <a:extLst>
            <a:ext uri="{FF2B5EF4-FFF2-40B4-BE49-F238E27FC236}">
              <a16:creationId xmlns:a16="http://schemas.microsoft.com/office/drawing/2014/main" id="{00000000-0008-0000-0700-000046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19" name="Text Box 75">
          <a:extLst>
            <a:ext uri="{FF2B5EF4-FFF2-40B4-BE49-F238E27FC236}">
              <a16:creationId xmlns:a16="http://schemas.microsoft.com/office/drawing/2014/main" id="{00000000-0008-0000-0700-000047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20" name="Text Box 75">
          <a:extLst>
            <a:ext uri="{FF2B5EF4-FFF2-40B4-BE49-F238E27FC236}">
              <a16:creationId xmlns:a16="http://schemas.microsoft.com/office/drawing/2014/main" id="{00000000-0008-0000-0700-000048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21" name="Text Box 75">
          <a:extLst>
            <a:ext uri="{FF2B5EF4-FFF2-40B4-BE49-F238E27FC236}">
              <a16:creationId xmlns:a16="http://schemas.microsoft.com/office/drawing/2014/main" id="{00000000-0008-0000-0700-000049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22" name="Text Box 75">
          <a:extLst>
            <a:ext uri="{FF2B5EF4-FFF2-40B4-BE49-F238E27FC236}">
              <a16:creationId xmlns:a16="http://schemas.microsoft.com/office/drawing/2014/main" id="{00000000-0008-0000-0700-00004A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23" name="Text Box 75">
          <a:extLst>
            <a:ext uri="{FF2B5EF4-FFF2-40B4-BE49-F238E27FC236}">
              <a16:creationId xmlns:a16="http://schemas.microsoft.com/office/drawing/2014/main" id="{00000000-0008-0000-0700-00004B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24" name="Text Box 75">
          <a:extLst>
            <a:ext uri="{FF2B5EF4-FFF2-40B4-BE49-F238E27FC236}">
              <a16:creationId xmlns:a16="http://schemas.microsoft.com/office/drawing/2014/main" id="{00000000-0008-0000-0700-00004C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25" name="Text Box 75">
          <a:extLst>
            <a:ext uri="{FF2B5EF4-FFF2-40B4-BE49-F238E27FC236}">
              <a16:creationId xmlns:a16="http://schemas.microsoft.com/office/drawing/2014/main" id="{00000000-0008-0000-0700-00004D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26" name="Text Box 75">
          <a:extLst>
            <a:ext uri="{FF2B5EF4-FFF2-40B4-BE49-F238E27FC236}">
              <a16:creationId xmlns:a16="http://schemas.microsoft.com/office/drawing/2014/main" id="{00000000-0008-0000-0700-00004E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27" name="Text Box 75">
          <a:extLst>
            <a:ext uri="{FF2B5EF4-FFF2-40B4-BE49-F238E27FC236}">
              <a16:creationId xmlns:a16="http://schemas.microsoft.com/office/drawing/2014/main" id="{00000000-0008-0000-0700-00004F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28" name="Text Box 75">
          <a:extLst>
            <a:ext uri="{FF2B5EF4-FFF2-40B4-BE49-F238E27FC236}">
              <a16:creationId xmlns:a16="http://schemas.microsoft.com/office/drawing/2014/main" id="{00000000-0008-0000-0700-000050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29" name="Text Box 75">
          <a:extLst>
            <a:ext uri="{FF2B5EF4-FFF2-40B4-BE49-F238E27FC236}">
              <a16:creationId xmlns:a16="http://schemas.microsoft.com/office/drawing/2014/main" id="{00000000-0008-0000-0700-000051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30" name="Text Box 75">
          <a:extLst>
            <a:ext uri="{FF2B5EF4-FFF2-40B4-BE49-F238E27FC236}">
              <a16:creationId xmlns:a16="http://schemas.microsoft.com/office/drawing/2014/main" id="{00000000-0008-0000-0700-000052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31" name="Text Box 75">
          <a:extLst>
            <a:ext uri="{FF2B5EF4-FFF2-40B4-BE49-F238E27FC236}">
              <a16:creationId xmlns:a16="http://schemas.microsoft.com/office/drawing/2014/main" id="{00000000-0008-0000-0700-000053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32" name="Text Box 75">
          <a:extLst>
            <a:ext uri="{FF2B5EF4-FFF2-40B4-BE49-F238E27FC236}">
              <a16:creationId xmlns:a16="http://schemas.microsoft.com/office/drawing/2014/main" id="{00000000-0008-0000-0700-000054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33" name="Text Box 75">
          <a:extLst>
            <a:ext uri="{FF2B5EF4-FFF2-40B4-BE49-F238E27FC236}">
              <a16:creationId xmlns:a16="http://schemas.microsoft.com/office/drawing/2014/main" id="{00000000-0008-0000-0700-000055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34" name="Text Box 75">
          <a:extLst>
            <a:ext uri="{FF2B5EF4-FFF2-40B4-BE49-F238E27FC236}">
              <a16:creationId xmlns:a16="http://schemas.microsoft.com/office/drawing/2014/main" id="{00000000-0008-0000-0700-000056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135" name="Text Box 75">
          <a:extLst>
            <a:ext uri="{FF2B5EF4-FFF2-40B4-BE49-F238E27FC236}">
              <a16:creationId xmlns:a16="http://schemas.microsoft.com/office/drawing/2014/main" id="{00000000-0008-0000-0700-000057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36" name="Text Box 75">
          <a:extLst>
            <a:ext uri="{FF2B5EF4-FFF2-40B4-BE49-F238E27FC236}">
              <a16:creationId xmlns:a16="http://schemas.microsoft.com/office/drawing/2014/main" id="{00000000-0008-0000-0700-000058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37" name="Text Box 75">
          <a:extLst>
            <a:ext uri="{FF2B5EF4-FFF2-40B4-BE49-F238E27FC236}">
              <a16:creationId xmlns:a16="http://schemas.microsoft.com/office/drawing/2014/main" id="{00000000-0008-0000-0700-000059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38" name="Text Box 75">
          <a:extLst>
            <a:ext uri="{FF2B5EF4-FFF2-40B4-BE49-F238E27FC236}">
              <a16:creationId xmlns:a16="http://schemas.microsoft.com/office/drawing/2014/main" id="{00000000-0008-0000-0700-00005A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39" name="Text Box 75">
          <a:extLst>
            <a:ext uri="{FF2B5EF4-FFF2-40B4-BE49-F238E27FC236}">
              <a16:creationId xmlns:a16="http://schemas.microsoft.com/office/drawing/2014/main" id="{00000000-0008-0000-0700-00005B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0" name="Text Box 75">
          <a:extLst>
            <a:ext uri="{FF2B5EF4-FFF2-40B4-BE49-F238E27FC236}">
              <a16:creationId xmlns:a16="http://schemas.microsoft.com/office/drawing/2014/main" id="{00000000-0008-0000-0700-00005C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1" name="Text Box 75">
          <a:extLst>
            <a:ext uri="{FF2B5EF4-FFF2-40B4-BE49-F238E27FC236}">
              <a16:creationId xmlns:a16="http://schemas.microsoft.com/office/drawing/2014/main" id="{00000000-0008-0000-0700-00005D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2" name="Text Box 75">
          <a:extLst>
            <a:ext uri="{FF2B5EF4-FFF2-40B4-BE49-F238E27FC236}">
              <a16:creationId xmlns:a16="http://schemas.microsoft.com/office/drawing/2014/main" id="{00000000-0008-0000-0700-00005E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3" name="Text Box 75">
          <a:extLst>
            <a:ext uri="{FF2B5EF4-FFF2-40B4-BE49-F238E27FC236}">
              <a16:creationId xmlns:a16="http://schemas.microsoft.com/office/drawing/2014/main" id="{00000000-0008-0000-0700-00005F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4" name="Text Box 75">
          <a:extLst>
            <a:ext uri="{FF2B5EF4-FFF2-40B4-BE49-F238E27FC236}">
              <a16:creationId xmlns:a16="http://schemas.microsoft.com/office/drawing/2014/main" id="{00000000-0008-0000-0700-000060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5" name="Text Box 75">
          <a:extLst>
            <a:ext uri="{FF2B5EF4-FFF2-40B4-BE49-F238E27FC236}">
              <a16:creationId xmlns:a16="http://schemas.microsoft.com/office/drawing/2014/main" id="{00000000-0008-0000-0700-000061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6" name="Text Box 75">
          <a:extLst>
            <a:ext uri="{FF2B5EF4-FFF2-40B4-BE49-F238E27FC236}">
              <a16:creationId xmlns:a16="http://schemas.microsoft.com/office/drawing/2014/main" id="{00000000-0008-0000-0700-000062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7" name="Text Box 75">
          <a:extLst>
            <a:ext uri="{FF2B5EF4-FFF2-40B4-BE49-F238E27FC236}">
              <a16:creationId xmlns:a16="http://schemas.microsoft.com/office/drawing/2014/main" id="{00000000-0008-0000-0700-000063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8" name="Text Box 75">
          <a:extLst>
            <a:ext uri="{FF2B5EF4-FFF2-40B4-BE49-F238E27FC236}">
              <a16:creationId xmlns:a16="http://schemas.microsoft.com/office/drawing/2014/main" id="{00000000-0008-0000-0700-000064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49" name="Text Box 75">
          <a:extLst>
            <a:ext uri="{FF2B5EF4-FFF2-40B4-BE49-F238E27FC236}">
              <a16:creationId xmlns:a16="http://schemas.microsoft.com/office/drawing/2014/main" id="{00000000-0008-0000-0700-000065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0" name="Text Box 75">
          <a:extLst>
            <a:ext uri="{FF2B5EF4-FFF2-40B4-BE49-F238E27FC236}">
              <a16:creationId xmlns:a16="http://schemas.microsoft.com/office/drawing/2014/main" id="{00000000-0008-0000-0700-000066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1" name="Text Box 75">
          <a:extLst>
            <a:ext uri="{FF2B5EF4-FFF2-40B4-BE49-F238E27FC236}">
              <a16:creationId xmlns:a16="http://schemas.microsoft.com/office/drawing/2014/main" id="{00000000-0008-0000-0700-000067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2" name="Text Box 75">
          <a:extLst>
            <a:ext uri="{FF2B5EF4-FFF2-40B4-BE49-F238E27FC236}">
              <a16:creationId xmlns:a16="http://schemas.microsoft.com/office/drawing/2014/main" id="{00000000-0008-0000-0700-000068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3" name="Text Box 75">
          <a:extLst>
            <a:ext uri="{FF2B5EF4-FFF2-40B4-BE49-F238E27FC236}">
              <a16:creationId xmlns:a16="http://schemas.microsoft.com/office/drawing/2014/main" id="{00000000-0008-0000-0700-000069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4" name="Text Box 75">
          <a:extLst>
            <a:ext uri="{FF2B5EF4-FFF2-40B4-BE49-F238E27FC236}">
              <a16:creationId xmlns:a16="http://schemas.microsoft.com/office/drawing/2014/main" id="{00000000-0008-0000-0700-00006A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5" name="Text Box 75">
          <a:extLst>
            <a:ext uri="{FF2B5EF4-FFF2-40B4-BE49-F238E27FC236}">
              <a16:creationId xmlns:a16="http://schemas.microsoft.com/office/drawing/2014/main" id="{00000000-0008-0000-0700-00006B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6" name="Text Box 75">
          <a:extLst>
            <a:ext uri="{FF2B5EF4-FFF2-40B4-BE49-F238E27FC236}">
              <a16:creationId xmlns:a16="http://schemas.microsoft.com/office/drawing/2014/main" id="{00000000-0008-0000-0700-00006C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7" name="Text Box 75">
          <a:extLst>
            <a:ext uri="{FF2B5EF4-FFF2-40B4-BE49-F238E27FC236}">
              <a16:creationId xmlns:a16="http://schemas.microsoft.com/office/drawing/2014/main" id="{00000000-0008-0000-0700-00006D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8" name="Text Box 75">
          <a:extLst>
            <a:ext uri="{FF2B5EF4-FFF2-40B4-BE49-F238E27FC236}">
              <a16:creationId xmlns:a16="http://schemas.microsoft.com/office/drawing/2014/main" id="{00000000-0008-0000-0700-00006E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59" name="Text Box 75">
          <a:extLst>
            <a:ext uri="{FF2B5EF4-FFF2-40B4-BE49-F238E27FC236}">
              <a16:creationId xmlns:a16="http://schemas.microsoft.com/office/drawing/2014/main" id="{00000000-0008-0000-0700-00006F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0" name="Text Box 75">
          <a:extLst>
            <a:ext uri="{FF2B5EF4-FFF2-40B4-BE49-F238E27FC236}">
              <a16:creationId xmlns:a16="http://schemas.microsoft.com/office/drawing/2014/main" id="{00000000-0008-0000-0700-000070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1" name="Text Box 75">
          <a:extLst>
            <a:ext uri="{FF2B5EF4-FFF2-40B4-BE49-F238E27FC236}">
              <a16:creationId xmlns:a16="http://schemas.microsoft.com/office/drawing/2014/main" id="{00000000-0008-0000-0700-000071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2" name="Text Box 75">
          <a:extLst>
            <a:ext uri="{FF2B5EF4-FFF2-40B4-BE49-F238E27FC236}">
              <a16:creationId xmlns:a16="http://schemas.microsoft.com/office/drawing/2014/main" id="{00000000-0008-0000-0700-000072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3" name="Text Box 75">
          <a:extLst>
            <a:ext uri="{FF2B5EF4-FFF2-40B4-BE49-F238E27FC236}">
              <a16:creationId xmlns:a16="http://schemas.microsoft.com/office/drawing/2014/main" id="{00000000-0008-0000-0700-000073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4" name="Text Box 75">
          <a:extLst>
            <a:ext uri="{FF2B5EF4-FFF2-40B4-BE49-F238E27FC236}">
              <a16:creationId xmlns:a16="http://schemas.microsoft.com/office/drawing/2014/main" id="{00000000-0008-0000-0700-000074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5" name="Text Box 75">
          <a:extLst>
            <a:ext uri="{FF2B5EF4-FFF2-40B4-BE49-F238E27FC236}">
              <a16:creationId xmlns:a16="http://schemas.microsoft.com/office/drawing/2014/main" id="{00000000-0008-0000-0700-000075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6" name="Text Box 75">
          <a:extLst>
            <a:ext uri="{FF2B5EF4-FFF2-40B4-BE49-F238E27FC236}">
              <a16:creationId xmlns:a16="http://schemas.microsoft.com/office/drawing/2014/main" id="{00000000-0008-0000-0700-000076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7" name="Text Box 75">
          <a:extLst>
            <a:ext uri="{FF2B5EF4-FFF2-40B4-BE49-F238E27FC236}">
              <a16:creationId xmlns:a16="http://schemas.microsoft.com/office/drawing/2014/main" id="{00000000-0008-0000-0700-000077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8" name="Text Box 75">
          <a:extLst>
            <a:ext uri="{FF2B5EF4-FFF2-40B4-BE49-F238E27FC236}">
              <a16:creationId xmlns:a16="http://schemas.microsoft.com/office/drawing/2014/main" id="{00000000-0008-0000-0700-000078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69" name="Text Box 75">
          <a:extLst>
            <a:ext uri="{FF2B5EF4-FFF2-40B4-BE49-F238E27FC236}">
              <a16:creationId xmlns:a16="http://schemas.microsoft.com/office/drawing/2014/main" id="{00000000-0008-0000-0700-000079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0" name="Text Box 75">
          <a:extLst>
            <a:ext uri="{FF2B5EF4-FFF2-40B4-BE49-F238E27FC236}">
              <a16:creationId xmlns:a16="http://schemas.microsoft.com/office/drawing/2014/main" id="{00000000-0008-0000-0700-00007A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1" name="Text Box 75">
          <a:extLst>
            <a:ext uri="{FF2B5EF4-FFF2-40B4-BE49-F238E27FC236}">
              <a16:creationId xmlns:a16="http://schemas.microsoft.com/office/drawing/2014/main" id="{00000000-0008-0000-0700-00007B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2" name="Text Box 75">
          <a:extLst>
            <a:ext uri="{FF2B5EF4-FFF2-40B4-BE49-F238E27FC236}">
              <a16:creationId xmlns:a16="http://schemas.microsoft.com/office/drawing/2014/main" id="{00000000-0008-0000-0700-00007C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3" name="Text Box 75">
          <a:extLst>
            <a:ext uri="{FF2B5EF4-FFF2-40B4-BE49-F238E27FC236}">
              <a16:creationId xmlns:a16="http://schemas.microsoft.com/office/drawing/2014/main" id="{00000000-0008-0000-0700-00007D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4" name="Text Box 75">
          <a:extLst>
            <a:ext uri="{FF2B5EF4-FFF2-40B4-BE49-F238E27FC236}">
              <a16:creationId xmlns:a16="http://schemas.microsoft.com/office/drawing/2014/main" id="{00000000-0008-0000-0700-00007E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5" name="Text Box 75">
          <a:extLst>
            <a:ext uri="{FF2B5EF4-FFF2-40B4-BE49-F238E27FC236}">
              <a16:creationId xmlns:a16="http://schemas.microsoft.com/office/drawing/2014/main" id="{00000000-0008-0000-0700-00007F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6" name="Text Box 75">
          <a:extLst>
            <a:ext uri="{FF2B5EF4-FFF2-40B4-BE49-F238E27FC236}">
              <a16:creationId xmlns:a16="http://schemas.microsoft.com/office/drawing/2014/main" id="{00000000-0008-0000-0700-000080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7" name="Text Box 75">
          <a:extLst>
            <a:ext uri="{FF2B5EF4-FFF2-40B4-BE49-F238E27FC236}">
              <a16:creationId xmlns:a16="http://schemas.microsoft.com/office/drawing/2014/main" id="{00000000-0008-0000-0700-000081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8" name="Text Box 75">
          <a:extLst>
            <a:ext uri="{FF2B5EF4-FFF2-40B4-BE49-F238E27FC236}">
              <a16:creationId xmlns:a16="http://schemas.microsoft.com/office/drawing/2014/main" id="{00000000-0008-0000-0700-000082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179" name="Text Box 75">
          <a:extLst>
            <a:ext uri="{FF2B5EF4-FFF2-40B4-BE49-F238E27FC236}">
              <a16:creationId xmlns:a16="http://schemas.microsoft.com/office/drawing/2014/main" id="{00000000-0008-0000-0700-00008308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48" name="Text Box 75">
          <a:extLst>
            <a:ext uri="{FF2B5EF4-FFF2-40B4-BE49-F238E27FC236}">
              <a16:creationId xmlns:a16="http://schemas.microsoft.com/office/drawing/2014/main" id="{00000000-0008-0000-0700-0000C8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49" name="Text Box 75">
          <a:extLst>
            <a:ext uri="{FF2B5EF4-FFF2-40B4-BE49-F238E27FC236}">
              <a16:creationId xmlns:a16="http://schemas.microsoft.com/office/drawing/2014/main" id="{00000000-0008-0000-0700-0000C9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54" name="Text Box 75">
          <a:extLst>
            <a:ext uri="{FF2B5EF4-FFF2-40B4-BE49-F238E27FC236}">
              <a16:creationId xmlns:a16="http://schemas.microsoft.com/office/drawing/2014/main" id="{00000000-0008-0000-0700-0000CE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55" name="Text Box 75">
          <a:extLst>
            <a:ext uri="{FF2B5EF4-FFF2-40B4-BE49-F238E27FC236}">
              <a16:creationId xmlns:a16="http://schemas.microsoft.com/office/drawing/2014/main" id="{00000000-0008-0000-0700-0000CF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56" name="Text Box 75">
          <a:extLst>
            <a:ext uri="{FF2B5EF4-FFF2-40B4-BE49-F238E27FC236}">
              <a16:creationId xmlns:a16="http://schemas.microsoft.com/office/drawing/2014/main" id="{00000000-0008-0000-0700-0000D0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57" name="Text Box 75">
          <a:extLst>
            <a:ext uri="{FF2B5EF4-FFF2-40B4-BE49-F238E27FC236}">
              <a16:creationId xmlns:a16="http://schemas.microsoft.com/office/drawing/2014/main" id="{00000000-0008-0000-0700-0000D1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58" name="Text Box 75">
          <a:extLst>
            <a:ext uri="{FF2B5EF4-FFF2-40B4-BE49-F238E27FC236}">
              <a16:creationId xmlns:a16="http://schemas.microsoft.com/office/drawing/2014/main" id="{00000000-0008-0000-0700-0000D2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59" name="Text Box 75">
          <a:extLst>
            <a:ext uri="{FF2B5EF4-FFF2-40B4-BE49-F238E27FC236}">
              <a16:creationId xmlns:a16="http://schemas.microsoft.com/office/drawing/2014/main" id="{00000000-0008-0000-0700-0000D3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66" name="Text Box 75">
          <a:extLst>
            <a:ext uri="{FF2B5EF4-FFF2-40B4-BE49-F238E27FC236}">
              <a16:creationId xmlns:a16="http://schemas.microsoft.com/office/drawing/2014/main" id="{00000000-0008-0000-0700-0000DA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67" name="Text Box 75">
          <a:extLst>
            <a:ext uri="{FF2B5EF4-FFF2-40B4-BE49-F238E27FC236}">
              <a16:creationId xmlns:a16="http://schemas.microsoft.com/office/drawing/2014/main" id="{00000000-0008-0000-0700-0000DB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72" name="Text Box 75">
          <a:extLst>
            <a:ext uri="{FF2B5EF4-FFF2-40B4-BE49-F238E27FC236}">
              <a16:creationId xmlns:a16="http://schemas.microsoft.com/office/drawing/2014/main" id="{00000000-0008-0000-0700-0000E0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73" name="Text Box 75">
          <a:extLst>
            <a:ext uri="{FF2B5EF4-FFF2-40B4-BE49-F238E27FC236}">
              <a16:creationId xmlns:a16="http://schemas.microsoft.com/office/drawing/2014/main" id="{00000000-0008-0000-0700-0000E1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74" name="Text Box 75">
          <a:extLst>
            <a:ext uri="{FF2B5EF4-FFF2-40B4-BE49-F238E27FC236}">
              <a16:creationId xmlns:a16="http://schemas.microsoft.com/office/drawing/2014/main" id="{00000000-0008-0000-0700-0000E2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75" name="Text Box 75">
          <a:extLst>
            <a:ext uri="{FF2B5EF4-FFF2-40B4-BE49-F238E27FC236}">
              <a16:creationId xmlns:a16="http://schemas.microsoft.com/office/drawing/2014/main" id="{00000000-0008-0000-0700-0000E3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76" name="Text Box 75">
          <a:extLst>
            <a:ext uri="{FF2B5EF4-FFF2-40B4-BE49-F238E27FC236}">
              <a16:creationId xmlns:a16="http://schemas.microsoft.com/office/drawing/2014/main" id="{00000000-0008-0000-0700-0000E4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77" name="Text Box 75">
          <a:extLst>
            <a:ext uri="{FF2B5EF4-FFF2-40B4-BE49-F238E27FC236}">
              <a16:creationId xmlns:a16="http://schemas.microsoft.com/office/drawing/2014/main" id="{00000000-0008-0000-0700-0000E5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78" name="Text Box 75">
          <a:extLst>
            <a:ext uri="{FF2B5EF4-FFF2-40B4-BE49-F238E27FC236}">
              <a16:creationId xmlns:a16="http://schemas.microsoft.com/office/drawing/2014/main" id="{00000000-0008-0000-0700-0000E6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79" name="Text Box 75">
          <a:extLst>
            <a:ext uri="{FF2B5EF4-FFF2-40B4-BE49-F238E27FC236}">
              <a16:creationId xmlns:a16="http://schemas.microsoft.com/office/drawing/2014/main" id="{00000000-0008-0000-0700-0000E7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0" name="Text Box 75">
          <a:extLst>
            <a:ext uri="{FF2B5EF4-FFF2-40B4-BE49-F238E27FC236}">
              <a16:creationId xmlns:a16="http://schemas.microsoft.com/office/drawing/2014/main" id="{00000000-0008-0000-0700-0000E8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1" name="Text Box 75">
          <a:extLst>
            <a:ext uri="{FF2B5EF4-FFF2-40B4-BE49-F238E27FC236}">
              <a16:creationId xmlns:a16="http://schemas.microsoft.com/office/drawing/2014/main" id="{00000000-0008-0000-0700-0000E9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2" name="Text Box 75">
          <a:extLst>
            <a:ext uri="{FF2B5EF4-FFF2-40B4-BE49-F238E27FC236}">
              <a16:creationId xmlns:a16="http://schemas.microsoft.com/office/drawing/2014/main" id="{00000000-0008-0000-0700-0000EA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3" name="Text Box 75">
          <a:extLst>
            <a:ext uri="{FF2B5EF4-FFF2-40B4-BE49-F238E27FC236}">
              <a16:creationId xmlns:a16="http://schemas.microsoft.com/office/drawing/2014/main" id="{00000000-0008-0000-0700-0000EB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4" name="Text Box 75">
          <a:extLst>
            <a:ext uri="{FF2B5EF4-FFF2-40B4-BE49-F238E27FC236}">
              <a16:creationId xmlns:a16="http://schemas.microsoft.com/office/drawing/2014/main" id="{00000000-0008-0000-0700-0000EC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5" name="Text Box 75">
          <a:extLst>
            <a:ext uri="{FF2B5EF4-FFF2-40B4-BE49-F238E27FC236}">
              <a16:creationId xmlns:a16="http://schemas.microsoft.com/office/drawing/2014/main" id="{00000000-0008-0000-0700-0000ED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6" name="Text Box 75">
          <a:extLst>
            <a:ext uri="{FF2B5EF4-FFF2-40B4-BE49-F238E27FC236}">
              <a16:creationId xmlns:a16="http://schemas.microsoft.com/office/drawing/2014/main" id="{00000000-0008-0000-0700-0000EE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7" name="Text Box 75">
          <a:extLst>
            <a:ext uri="{FF2B5EF4-FFF2-40B4-BE49-F238E27FC236}">
              <a16:creationId xmlns:a16="http://schemas.microsoft.com/office/drawing/2014/main" id="{00000000-0008-0000-0700-0000EF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8" name="Text Box 75">
          <a:extLst>
            <a:ext uri="{FF2B5EF4-FFF2-40B4-BE49-F238E27FC236}">
              <a16:creationId xmlns:a16="http://schemas.microsoft.com/office/drawing/2014/main" id="{00000000-0008-0000-0700-0000F0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89" name="Text Box 75">
          <a:extLst>
            <a:ext uri="{FF2B5EF4-FFF2-40B4-BE49-F238E27FC236}">
              <a16:creationId xmlns:a16="http://schemas.microsoft.com/office/drawing/2014/main" id="{00000000-0008-0000-0700-0000F1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0" name="Text Box 75">
          <a:extLst>
            <a:ext uri="{FF2B5EF4-FFF2-40B4-BE49-F238E27FC236}">
              <a16:creationId xmlns:a16="http://schemas.microsoft.com/office/drawing/2014/main" id="{00000000-0008-0000-0700-0000F2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1" name="Text Box 75">
          <a:extLst>
            <a:ext uri="{FF2B5EF4-FFF2-40B4-BE49-F238E27FC236}">
              <a16:creationId xmlns:a16="http://schemas.microsoft.com/office/drawing/2014/main" id="{00000000-0008-0000-0700-0000F3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2" name="Text Box 75">
          <a:extLst>
            <a:ext uri="{FF2B5EF4-FFF2-40B4-BE49-F238E27FC236}">
              <a16:creationId xmlns:a16="http://schemas.microsoft.com/office/drawing/2014/main" id="{00000000-0008-0000-0700-0000F4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3" name="Text Box 75">
          <a:extLst>
            <a:ext uri="{FF2B5EF4-FFF2-40B4-BE49-F238E27FC236}">
              <a16:creationId xmlns:a16="http://schemas.microsoft.com/office/drawing/2014/main" id="{00000000-0008-0000-0700-0000F5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4" name="Text Box 75">
          <a:extLst>
            <a:ext uri="{FF2B5EF4-FFF2-40B4-BE49-F238E27FC236}">
              <a16:creationId xmlns:a16="http://schemas.microsoft.com/office/drawing/2014/main" id="{00000000-0008-0000-0700-0000F6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5" name="Text Box 75">
          <a:extLst>
            <a:ext uri="{FF2B5EF4-FFF2-40B4-BE49-F238E27FC236}">
              <a16:creationId xmlns:a16="http://schemas.microsoft.com/office/drawing/2014/main" id="{00000000-0008-0000-0700-0000F7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6" name="Text Box 75">
          <a:extLst>
            <a:ext uri="{FF2B5EF4-FFF2-40B4-BE49-F238E27FC236}">
              <a16:creationId xmlns:a16="http://schemas.microsoft.com/office/drawing/2014/main" id="{00000000-0008-0000-0700-0000F8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7" name="Text Box 75">
          <a:extLst>
            <a:ext uri="{FF2B5EF4-FFF2-40B4-BE49-F238E27FC236}">
              <a16:creationId xmlns:a16="http://schemas.microsoft.com/office/drawing/2014/main" id="{00000000-0008-0000-0700-0000F9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8" name="Text Box 75">
          <a:extLst>
            <a:ext uri="{FF2B5EF4-FFF2-40B4-BE49-F238E27FC236}">
              <a16:creationId xmlns:a16="http://schemas.microsoft.com/office/drawing/2014/main" id="{00000000-0008-0000-0700-0000FA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299" name="Text Box 75">
          <a:extLst>
            <a:ext uri="{FF2B5EF4-FFF2-40B4-BE49-F238E27FC236}">
              <a16:creationId xmlns:a16="http://schemas.microsoft.com/office/drawing/2014/main" id="{00000000-0008-0000-0700-0000FB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0" name="Text Box 75">
          <a:extLst>
            <a:ext uri="{FF2B5EF4-FFF2-40B4-BE49-F238E27FC236}">
              <a16:creationId xmlns:a16="http://schemas.microsoft.com/office/drawing/2014/main" id="{00000000-0008-0000-0700-0000FC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1" name="Text Box 75">
          <a:extLst>
            <a:ext uri="{FF2B5EF4-FFF2-40B4-BE49-F238E27FC236}">
              <a16:creationId xmlns:a16="http://schemas.microsoft.com/office/drawing/2014/main" id="{00000000-0008-0000-0700-0000FD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2" name="Text Box 75">
          <a:extLst>
            <a:ext uri="{FF2B5EF4-FFF2-40B4-BE49-F238E27FC236}">
              <a16:creationId xmlns:a16="http://schemas.microsoft.com/office/drawing/2014/main" id="{00000000-0008-0000-0700-0000FE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3" name="Text Box 75">
          <a:extLst>
            <a:ext uri="{FF2B5EF4-FFF2-40B4-BE49-F238E27FC236}">
              <a16:creationId xmlns:a16="http://schemas.microsoft.com/office/drawing/2014/main" id="{00000000-0008-0000-0700-0000FF08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4" name="Text Box 75">
          <a:extLst>
            <a:ext uri="{FF2B5EF4-FFF2-40B4-BE49-F238E27FC236}">
              <a16:creationId xmlns:a16="http://schemas.microsoft.com/office/drawing/2014/main" id="{00000000-0008-0000-0700-000000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5" name="Text Box 75">
          <a:extLst>
            <a:ext uri="{FF2B5EF4-FFF2-40B4-BE49-F238E27FC236}">
              <a16:creationId xmlns:a16="http://schemas.microsoft.com/office/drawing/2014/main" id="{00000000-0008-0000-0700-000001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6" name="Text Box 75">
          <a:extLst>
            <a:ext uri="{FF2B5EF4-FFF2-40B4-BE49-F238E27FC236}">
              <a16:creationId xmlns:a16="http://schemas.microsoft.com/office/drawing/2014/main" id="{00000000-0008-0000-0700-000002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7" name="Text Box 75">
          <a:extLst>
            <a:ext uri="{FF2B5EF4-FFF2-40B4-BE49-F238E27FC236}">
              <a16:creationId xmlns:a16="http://schemas.microsoft.com/office/drawing/2014/main" id="{00000000-0008-0000-0700-000003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8" name="Text Box 75">
          <a:extLst>
            <a:ext uri="{FF2B5EF4-FFF2-40B4-BE49-F238E27FC236}">
              <a16:creationId xmlns:a16="http://schemas.microsoft.com/office/drawing/2014/main" id="{00000000-0008-0000-0700-000004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09" name="Text Box 75">
          <a:extLst>
            <a:ext uri="{FF2B5EF4-FFF2-40B4-BE49-F238E27FC236}">
              <a16:creationId xmlns:a16="http://schemas.microsoft.com/office/drawing/2014/main" id="{00000000-0008-0000-0700-000005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0" name="Text Box 75">
          <a:extLst>
            <a:ext uri="{FF2B5EF4-FFF2-40B4-BE49-F238E27FC236}">
              <a16:creationId xmlns:a16="http://schemas.microsoft.com/office/drawing/2014/main" id="{00000000-0008-0000-0700-000006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1" name="Text Box 75">
          <a:extLst>
            <a:ext uri="{FF2B5EF4-FFF2-40B4-BE49-F238E27FC236}">
              <a16:creationId xmlns:a16="http://schemas.microsoft.com/office/drawing/2014/main" id="{00000000-0008-0000-0700-000007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2" name="Text Box 75">
          <a:extLst>
            <a:ext uri="{FF2B5EF4-FFF2-40B4-BE49-F238E27FC236}">
              <a16:creationId xmlns:a16="http://schemas.microsoft.com/office/drawing/2014/main" id="{00000000-0008-0000-0700-000008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3" name="Text Box 75">
          <a:extLst>
            <a:ext uri="{FF2B5EF4-FFF2-40B4-BE49-F238E27FC236}">
              <a16:creationId xmlns:a16="http://schemas.microsoft.com/office/drawing/2014/main" id="{00000000-0008-0000-0700-000009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4" name="Text Box 75">
          <a:extLst>
            <a:ext uri="{FF2B5EF4-FFF2-40B4-BE49-F238E27FC236}">
              <a16:creationId xmlns:a16="http://schemas.microsoft.com/office/drawing/2014/main" id="{00000000-0008-0000-0700-00000A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5" name="Text Box 75">
          <a:extLst>
            <a:ext uri="{FF2B5EF4-FFF2-40B4-BE49-F238E27FC236}">
              <a16:creationId xmlns:a16="http://schemas.microsoft.com/office/drawing/2014/main" id="{00000000-0008-0000-0700-00000B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6" name="Text Box 75">
          <a:extLst>
            <a:ext uri="{FF2B5EF4-FFF2-40B4-BE49-F238E27FC236}">
              <a16:creationId xmlns:a16="http://schemas.microsoft.com/office/drawing/2014/main" id="{00000000-0008-0000-0700-00000C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7" name="Text Box 75">
          <a:extLst>
            <a:ext uri="{FF2B5EF4-FFF2-40B4-BE49-F238E27FC236}">
              <a16:creationId xmlns:a16="http://schemas.microsoft.com/office/drawing/2014/main" id="{00000000-0008-0000-0700-00000D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8" name="Text Box 75">
          <a:extLst>
            <a:ext uri="{FF2B5EF4-FFF2-40B4-BE49-F238E27FC236}">
              <a16:creationId xmlns:a16="http://schemas.microsoft.com/office/drawing/2014/main" id="{00000000-0008-0000-0700-00000E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19" name="Text Box 75">
          <a:extLst>
            <a:ext uri="{FF2B5EF4-FFF2-40B4-BE49-F238E27FC236}">
              <a16:creationId xmlns:a16="http://schemas.microsoft.com/office/drawing/2014/main" id="{00000000-0008-0000-0700-00000F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0" name="Text Box 75">
          <a:extLst>
            <a:ext uri="{FF2B5EF4-FFF2-40B4-BE49-F238E27FC236}">
              <a16:creationId xmlns:a16="http://schemas.microsoft.com/office/drawing/2014/main" id="{00000000-0008-0000-0700-000010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1" name="Text Box 75">
          <a:extLst>
            <a:ext uri="{FF2B5EF4-FFF2-40B4-BE49-F238E27FC236}">
              <a16:creationId xmlns:a16="http://schemas.microsoft.com/office/drawing/2014/main" id="{00000000-0008-0000-0700-000011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2" name="Text Box 75">
          <a:extLst>
            <a:ext uri="{FF2B5EF4-FFF2-40B4-BE49-F238E27FC236}">
              <a16:creationId xmlns:a16="http://schemas.microsoft.com/office/drawing/2014/main" id="{00000000-0008-0000-0700-000012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3" name="Text Box 75">
          <a:extLst>
            <a:ext uri="{FF2B5EF4-FFF2-40B4-BE49-F238E27FC236}">
              <a16:creationId xmlns:a16="http://schemas.microsoft.com/office/drawing/2014/main" id="{00000000-0008-0000-0700-000013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4" name="Text Box 75">
          <a:extLst>
            <a:ext uri="{FF2B5EF4-FFF2-40B4-BE49-F238E27FC236}">
              <a16:creationId xmlns:a16="http://schemas.microsoft.com/office/drawing/2014/main" id="{00000000-0008-0000-0700-000014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5" name="Text Box 75">
          <a:extLst>
            <a:ext uri="{FF2B5EF4-FFF2-40B4-BE49-F238E27FC236}">
              <a16:creationId xmlns:a16="http://schemas.microsoft.com/office/drawing/2014/main" id="{00000000-0008-0000-0700-000015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6" name="Text Box 75">
          <a:extLst>
            <a:ext uri="{FF2B5EF4-FFF2-40B4-BE49-F238E27FC236}">
              <a16:creationId xmlns:a16="http://schemas.microsoft.com/office/drawing/2014/main" id="{00000000-0008-0000-0700-000016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7" name="Text Box 75">
          <a:extLst>
            <a:ext uri="{FF2B5EF4-FFF2-40B4-BE49-F238E27FC236}">
              <a16:creationId xmlns:a16="http://schemas.microsoft.com/office/drawing/2014/main" id="{00000000-0008-0000-0700-000017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8" name="Text Box 75">
          <a:extLst>
            <a:ext uri="{FF2B5EF4-FFF2-40B4-BE49-F238E27FC236}">
              <a16:creationId xmlns:a16="http://schemas.microsoft.com/office/drawing/2014/main" id="{00000000-0008-0000-0700-000018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29" name="Text Box 75">
          <a:extLst>
            <a:ext uri="{FF2B5EF4-FFF2-40B4-BE49-F238E27FC236}">
              <a16:creationId xmlns:a16="http://schemas.microsoft.com/office/drawing/2014/main" id="{00000000-0008-0000-0700-000019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0" name="Text Box 75">
          <a:extLst>
            <a:ext uri="{FF2B5EF4-FFF2-40B4-BE49-F238E27FC236}">
              <a16:creationId xmlns:a16="http://schemas.microsoft.com/office/drawing/2014/main" id="{00000000-0008-0000-0700-00001A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1" name="Text Box 75">
          <a:extLst>
            <a:ext uri="{FF2B5EF4-FFF2-40B4-BE49-F238E27FC236}">
              <a16:creationId xmlns:a16="http://schemas.microsoft.com/office/drawing/2014/main" id="{00000000-0008-0000-0700-00001B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2" name="Text Box 75">
          <a:extLst>
            <a:ext uri="{FF2B5EF4-FFF2-40B4-BE49-F238E27FC236}">
              <a16:creationId xmlns:a16="http://schemas.microsoft.com/office/drawing/2014/main" id="{00000000-0008-0000-0700-00001C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3" name="Text Box 75">
          <a:extLst>
            <a:ext uri="{FF2B5EF4-FFF2-40B4-BE49-F238E27FC236}">
              <a16:creationId xmlns:a16="http://schemas.microsoft.com/office/drawing/2014/main" id="{00000000-0008-0000-0700-00001D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4" name="Text Box 75">
          <a:extLst>
            <a:ext uri="{FF2B5EF4-FFF2-40B4-BE49-F238E27FC236}">
              <a16:creationId xmlns:a16="http://schemas.microsoft.com/office/drawing/2014/main" id="{00000000-0008-0000-0700-00001E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5" name="Text Box 75">
          <a:extLst>
            <a:ext uri="{FF2B5EF4-FFF2-40B4-BE49-F238E27FC236}">
              <a16:creationId xmlns:a16="http://schemas.microsoft.com/office/drawing/2014/main" id="{00000000-0008-0000-0700-00001F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6" name="Text Box 75">
          <a:extLst>
            <a:ext uri="{FF2B5EF4-FFF2-40B4-BE49-F238E27FC236}">
              <a16:creationId xmlns:a16="http://schemas.microsoft.com/office/drawing/2014/main" id="{00000000-0008-0000-0700-000020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7" name="Text Box 75">
          <a:extLst>
            <a:ext uri="{FF2B5EF4-FFF2-40B4-BE49-F238E27FC236}">
              <a16:creationId xmlns:a16="http://schemas.microsoft.com/office/drawing/2014/main" id="{00000000-0008-0000-0700-000021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8" name="Text Box 75">
          <a:extLst>
            <a:ext uri="{FF2B5EF4-FFF2-40B4-BE49-F238E27FC236}">
              <a16:creationId xmlns:a16="http://schemas.microsoft.com/office/drawing/2014/main" id="{00000000-0008-0000-0700-000022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39" name="Text Box 75">
          <a:extLst>
            <a:ext uri="{FF2B5EF4-FFF2-40B4-BE49-F238E27FC236}">
              <a16:creationId xmlns:a16="http://schemas.microsoft.com/office/drawing/2014/main" id="{00000000-0008-0000-0700-000023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40" name="Text Box 75">
          <a:extLst>
            <a:ext uri="{FF2B5EF4-FFF2-40B4-BE49-F238E27FC236}">
              <a16:creationId xmlns:a16="http://schemas.microsoft.com/office/drawing/2014/main" id="{00000000-0008-0000-0700-000024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41" name="Text Box 75">
          <a:extLst>
            <a:ext uri="{FF2B5EF4-FFF2-40B4-BE49-F238E27FC236}">
              <a16:creationId xmlns:a16="http://schemas.microsoft.com/office/drawing/2014/main" id="{00000000-0008-0000-0700-000025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42" name="Text Box 75">
          <a:extLst>
            <a:ext uri="{FF2B5EF4-FFF2-40B4-BE49-F238E27FC236}">
              <a16:creationId xmlns:a16="http://schemas.microsoft.com/office/drawing/2014/main" id="{00000000-0008-0000-0700-000026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43" name="Text Box 75">
          <a:extLst>
            <a:ext uri="{FF2B5EF4-FFF2-40B4-BE49-F238E27FC236}">
              <a16:creationId xmlns:a16="http://schemas.microsoft.com/office/drawing/2014/main" id="{00000000-0008-0000-0700-000027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44" name="Text Box 75">
          <a:extLst>
            <a:ext uri="{FF2B5EF4-FFF2-40B4-BE49-F238E27FC236}">
              <a16:creationId xmlns:a16="http://schemas.microsoft.com/office/drawing/2014/main" id="{00000000-0008-0000-0700-000028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6</xdr:row>
      <xdr:rowOff>3295650</xdr:rowOff>
    </xdr:from>
    <xdr:ext cx="85725" cy="342579"/>
    <xdr:sp macro="" textlink="">
      <xdr:nvSpPr>
        <xdr:cNvPr id="2345" name="Text Box 75">
          <a:extLst>
            <a:ext uri="{FF2B5EF4-FFF2-40B4-BE49-F238E27FC236}">
              <a16:creationId xmlns:a16="http://schemas.microsoft.com/office/drawing/2014/main" id="{00000000-0008-0000-0700-000029090000}"/>
            </a:ext>
          </a:extLst>
        </xdr:cNvPr>
        <xdr:cNvSpPr txBox="1">
          <a:spLocks noChangeArrowheads="1"/>
        </xdr:cNvSpPr>
      </xdr:nvSpPr>
      <xdr:spPr bwMode="auto">
        <a:xfrm>
          <a:off x="81936851" y="31208382"/>
          <a:ext cx="85725" cy="342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58" name="Text Box 75">
          <a:extLst>
            <a:ext uri="{FF2B5EF4-FFF2-40B4-BE49-F238E27FC236}">
              <a16:creationId xmlns:a16="http://schemas.microsoft.com/office/drawing/2014/main" id="{00000000-0008-0000-0700-00003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59" name="Text Box 75">
          <a:extLst>
            <a:ext uri="{FF2B5EF4-FFF2-40B4-BE49-F238E27FC236}">
              <a16:creationId xmlns:a16="http://schemas.microsoft.com/office/drawing/2014/main" id="{00000000-0008-0000-0700-00003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64" name="Text Box 75">
          <a:extLst>
            <a:ext uri="{FF2B5EF4-FFF2-40B4-BE49-F238E27FC236}">
              <a16:creationId xmlns:a16="http://schemas.microsoft.com/office/drawing/2014/main" id="{00000000-0008-0000-0700-00003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65" name="Text Box 75">
          <a:extLst>
            <a:ext uri="{FF2B5EF4-FFF2-40B4-BE49-F238E27FC236}">
              <a16:creationId xmlns:a16="http://schemas.microsoft.com/office/drawing/2014/main" id="{00000000-0008-0000-0700-00003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66" name="Text Box 75">
          <a:extLst>
            <a:ext uri="{FF2B5EF4-FFF2-40B4-BE49-F238E27FC236}">
              <a16:creationId xmlns:a16="http://schemas.microsoft.com/office/drawing/2014/main" id="{00000000-0008-0000-0700-00003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67" name="Text Box 75">
          <a:extLst>
            <a:ext uri="{FF2B5EF4-FFF2-40B4-BE49-F238E27FC236}">
              <a16:creationId xmlns:a16="http://schemas.microsoft.com/office/drawing/2014/main" id="{00000000-0008-0000-0700-00003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68" name="Text Box 75">
          <a:extLst>
            <a:ext uri="{FF2B5EF4-FFF2-40B4-BE49-F238E27FC236}">
              <a16:creationId xmlns:a16="http://schemas.microsoft.com/office/drawing/2014/main" id="{00000000-0008-0000-0700-00004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69" name="Text Box 75">
          <a:extLst>
            <a:ext uri="{FF2B5EF4-FFF2-40B4-BE49-F238E27FC236}">
              <a16:creationId xmlns:a16="http://schemas.microsoft.com/office/drawing/2014/main" id="{00000000-0008-0000-0700-00004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76" name="Text Box 75">
          <a:extLst>
            <a:ext uri="{FF2B5EF4-FFF2-40B4-BE49-F238E27FC236}">
              <a16:creationId xmlns:a16="http://schemas.microsoft.com/office/drawing/2014/main" id="{00000000-0008-0000-0700-00004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77" name="Text Box 75">
          <a:extLst>
            <a:ext uri="{FF2B5EF4-FFF2-40B4-BE49-F238E27FC236}">
              <a16:creationId xmlns:a16="http://schemas.microsoft.com/office/drawing/2014/main" id="{00000000-0008-0000-0700-00004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82" name="Text Box 75">
          <a:extLst>
            <a:ext uri="{FF2B5EF4-FFF2-40B4-BE49-F238E27FC236}">
              <a16:creationId xmlns:a16="http://schemas.microsoft.com/office/drawing/2014/main" id="{00000000-0008-0000-0700-00004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83" name="Text Box 75">
          <a:extLst>
            <a:ext uri="{FF2B5EF4-FFF2-40B4-BE49-F238E27FC236}">
              <a16:creationId xmlns:a16="http://schemas.microsoft.com/office/drawing/2014/main" id="{00000000-0008-0000-0700-00004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84" name="Text Box 75">
          <a:extLst>
            <a:ext uri="{FF2B5EF4-FFF2-40B4-BE49-F238E27FC236}">
              <a16:creationId xmlns:a16="http://schemas.microsoft.com/office/drawing/2014/main" id="{00000000-0008-0000-0700-00005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85" name="Text Box 75">
          <a:extLst>
            <a:ext uri="{FF2B5EF4-FFF2-40B4-BE49-F238E27FC236}">
              <a16:creationId xmlns:a16="http://schemas.microsoft.com/office/drawing/2014/main" id="{00000000-0008-0000-0700-00005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86" name="Text Box 75">
          <a:extLst>
            <a:ext uri="{FF2B5EF4-FFF2-40B4-BE49-F238E27FC236}">
              <a16:creationId xmlns:a16="http://schemas.microsoft.com/office/drawing/2014/main" id="{00000000-0008-0000-0700-000052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87" name="Text Box 75">
          <a:extLst>
            <a:ext uri="{FF2B5EF4-FFF2-40B4-BE49-F238E27FC236}">
              <a16:creationId xmlns:a16="http://schemas.microsoft.com/office/drawing/2014/main" id="{00000000-0008-0000-0700-000053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88" name="Text Box 75">
          <a:extLst>
            <a:ext uri="{FF2B5EF4-FFF2-40B4-BE49-F238E27FC236}">
              <a16:creationId xmlns:a16="http://schemas.microsoft.com/office/drawing/2014/main" id="{00000000-0008-0000-0700-000054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89" name="Text Box 75">
          <a:extLst>
            <a:ext uri="{FF2B5EF4-FFF2-40B4-BE49-F238E27FC236}">
              <a16:creationId xmlns:a16="http://schemas.microsoft.com/office/drawing/2014/main" id="{00000000-0008-0000-0700-000055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0" name="Text Box 75">
          <a:extLst>
            <a:ext uri="{FF2B5EF4-FFF2-40B4-BE49-F238E27FC236}">
              <a16:creationId xmlns:a16="http://schemas.microsoft.com/office/drawing/2014/main" id="{00000000-0008-0000-0700-00005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1" name="Text Box 75">
          <a:extLst>
            <a:ext uri="{FF2B5EF4-FFF2-40B4-BE49-F238E27FC236}">
              <a16:creationId xmlns:a16="http://schemas.microsoft.com/office/drawing/2014/main" id="{00000000-0008-0000-0700-00005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2" name="Text Box 75">
          <a:extLst>
            <a:ext uri="{FF2B5EF4-FFF2-40B4-BE49-F238E27FC236}">
              <a16:creationId xmlns:a16="http://schemas.microsoft.com/office/drawing/2014/main" id="{00000000-0008-0000-0700-00005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3" name="Text Box 75">
          <a:extLst>
            <a:ext uri="{FF2B5EF4-FFF2-40B4-BE49-F238E27FC236}">
              <a16:creationId xmlns:a16="http://schemas.microsoft.com/office/drawing/2014/main" id="{00000000-0008-0000-0700-00005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4" name="Text Box 75">
          <a:extLst>
            <a:ext uri="{FF2B5EF4-FFF2-40B4-BE49-F238E27FC236}">
              <a16:creationId xmlns:a16="http://schemas.microsoft.com/office/drawing/2014/main" id="{00000000-0008-0000-0700-00005A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5" name="Text Box 75">
          <a:extLst>
            <a:ext uri="{FF2B5EF4-FFF2-40B4-BE49-F238E27FC236}">
              <a16:creationId xmlns:a16="http://schemas.microsoft.com/office/drawing/2014/main" id="{00000000-0008-0000-0700-00005B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6" name="Text Box 75">
          <a:extLst>
            <a:ext uri="{FF2B5EF4-FFF2-40B4-BE49-F238E27FC236}">
              <a16:creationId xmlns:a16="http://schemas.microsoft.com/office/drawing/2014/main" id="{00000000-0008-0000-0700-00005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7" name="Text Box 75">
          <a:extLst>
            <a:ext uri="{FF2B5EF4-FFF2-40B4-BE49-F238E27FC236}">
              <a16:creationId xmlns:a16="http://schemas.microsoft.com/office/drawing/2014/main" id="{00000000-0008-0000-0700-00005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8" name="Text Box 75">
          <a:extLst>
            <a:ext uri="{FF2B5EF4-FFF2-40B4-BE49-F238E27FC236}">
              <a16:creationId xmlns:a16="http://schemas.microsoft.com/office/drawing/2014/main" id="{00000000-0008-0000-0700-00005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399" name="Text Box 75">
          <a:extLst>
            <a:ext uri="{FF2B5EF4-FFF2-40B4-BE49-F238E27FC236}">
              <a16:creationId xmlns:a16="http://schemas.microsoft.com/office/drawing/2014/main" id="{00000000-0008-0000-0700-00005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0" name="Text Box 75">
          <a:extLst>
            <a:ext uri="{FF2B5EF4-FFF2-40B4-BE49-F238E27FC236}">
              <a16:creationId xmlns:a16="http://schemas.microsoft.com/office/drawing/2014/main" id="{00000000-0008-0000-0700-00006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1" name="Text Box 75">
          <a:extLst>
            <a:ext uri="{FF2B5EF4-FFF2-40B4-BE49-F238E27FC236}">
              <a16:creationId xmlns:a16="http://schemas.microsoft.com/office/drawing/2014/main" id="{00000000-0008-0000-0700-00006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2" name="Text Box 75">
          <a:extLst>
            <a:ext uri="{FF2B5EF4-FFF2-40B4-BE49-F238E27FC236}">
              <a16:creationId xmlns:a16="http://schemas.microsoft.com/office/drawing/2014/main" id="{00000000-0008-0000-0700-000062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3" name="Text Box 75">
          <a:extLst>
            <a:ext uri="{FF2B5EF4-FFF2-40B4-BE49-F238E27FC236}">
              <a16:creationId xmlns:a16="http://schemas.microsoft.com/office/drawing/2014/main" id="{00000000-0008-0000-0700-000063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4" name="Text Box 75">
          <a:extLst>
            <a:ext uri="{FF2B5EF4-FFF2-40B4-BE49-F238E27FC236}">
              <a16:creationId xmlns:a16="http://schemas.microsoft.com/office/drawing/2014/main" id="{00000000-0008-0000-0700-000064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5" name="Text Box 75">
          <a:extLst>
            <a:ext uri="{FF2B5EF4-FFF2-40B4-BE49-F238E27FC236}">
              <a16:creationId xmlns:a16="http://schemas.microsoft.com/office/drawing/2014/main" id="{00000000-0008-0000-0700-000065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6" name="Text Box 75">
          <a:extLst>
            <a:ext uri="{FF2B5EF4-FFF2-40B4-BE49-F238E27FC236}">
              <a16:creationId xmlns:a16="http://schemas.microsoft.com/office/drawing/2014/main" id="{00000000-0008-0000-0700-00006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7" name="Text Box 75">
          <a:extLst>
            <a:ext uri="{FF2B5EF4-FFF2-40B4-BE49-F238E27FC236}">
              <a16:creationId xmlns:a16="http://schemas.microsoft.com/office/drawing/2014/main" id="{00000000-0008-0000-0700-00006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8" name="Text Box 75">
          <a:extLst>
            <a:ext uri="{FF2B5EF4-FFF2-40B4-BE49-F238E27FC236}">
              <a16:creationId xmlns:a16="http://schemas.microsoft.com/office/drawing/2014/main" id="{00000000-0008-0000-0700-00006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09" name="Text Box 75">
          <a:extLst>
            <a:ext uri="{FF2B5EF4-FFF2-40B4-BE49-F238E27FC236}">
              <a16:creationId xmlns:a16="http://schemas.microsoft.com/office/drawing/2014/main" id="{00000000-0008-0000-0700-00006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0" name="Text Box 75">
          <a:extLst>
            <a:ext uri="{FF2B5EF4-FFF2-40B4-BE49-F238E27FC236}">
              <a16:creationId xmlns:a16="http://schemas.microsoft.com/office/drawing/2014/main" id="{00000000-0008-0000-0700-00006A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1" name="Text Box 75">
          <a:extLst>
            <a:ext uri="{FF2B5EF4-FFF2-40B4-BE49-F238E27FC236}">
              <a16:creationId xmlns:a16="http://schemas.microsoft.com/office/drawing/2014/main" id="{00000000-0008-0000-0700-00006B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2" name="Text Box 75">
          <a:extLst>
            <a:ext uri="{FF2B5EF4-FFF2-40B4-BE49-F238E27FC236}">
              <a16:creationId xmlns:a16="http://schemas.microsoft.com/office/drawing/2014/main" id="{00000000-0008-0000-0700-00006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3" name="Text Box 75">
          <a:extLst>
            <a:ext uri="{FF2B5EF4-FFF2-40B4-BE49-F238E27FC236}">
              <a16:creationId xmlns:a16="http://schemas.microsoft.com/office/drawing/2014/main" id="{00000000-0008-0000-0700-00006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4" name="Text Box 75">
          <a:extLst>
            <a:ext uri="{FF2B5EF4-FFF2-40B4-BE49-F238E27FC236}">
              <a16:creationId xmlns:a16="http://schemas.microsoft.com/office/drawing/2014/main" id="{00000000-0008-0000-0700-00006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5" name="Text Box 75">
          <a:extLst>
            <a:ext uri="{FF2B5EF4-FFF2-40B4-BE49-F238E27FC236}">
              <a16:creationId xmlns:a16="http://schemas.microsoft.com/office/drawing/2014/main" id="{00000000-0008-0000-0700-00006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6" name="Text Box 75">
          <a:extLst>
            <a:ext uri="{FF2B5EF4-FFF2-40B4-BE49-F238E27FC236}">
              <a16:creationId xmlns:a16="http://schemas.microsoft.com/office/drawing/2014/main" id="{00000000-0008-0000-0700-00007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7" name="Text Box 75">
          <a:extLst>
            <a:ext uri="{FF2B5EF4-FFF2-40B4-BE49-F238E27FC236}">
              <a16:creationId xmlns:a16="http://schemas.microsoft.com/office/drawing/2014/main" id="{00000000-0008-0000-0700-00007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8" name="Text Box 75">
          <a:extLst>
            <a:ext uri="{FF2B5EF4-FFF2-40B4-BE49-F238E27FC236}">
              <a16:creationId xmlns:a16="http://schemas.microsoft.com/office/drawing/2014/main" id="{00000000-0008-0000-0700-000072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19" name="Text Box 75">
          <a:extLst>
            <a:ext uri="{FF2B5EF4-FFF2-40B4-BE49-F238E27FC236}">
              <a16:creationId xmlns:a16="http://schemas.microsoft.com/office/drawing/2014/main" id="{00000000-0008-0000-0700-000073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0" name="Text Box 75">
          <a:extLst>
            <a:ext uri="{FF2B5EF4-FFF2-40B4-BE49-F238E27FC236}">
              <a16:creationId xmlns:a16="http://schemas.microsoft.com/office/drawing/2014/main" id="{00000000-0008-0000-0700-000074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1" name="Text Box 75">
          <a:extLst>
            <a:ext uri="{FF2B5EF4-FFF2-40B4-BE49-F238E27FC236}">
              <a16:creationId xmlns:a16="http://schemas.microsoft.com/office/drawing/2014/main" id="{00000000-0008-0000-0700-000075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2" name="Text Box 75">
          <a:extLst>
            <a:ext uri="{FF2B5EF4-FFF2-40B4-BE49-F238E27FC236}">
              <a16:creationId xmlns:a16="http://schemas.microsoft.com/office/drawing/2014/main" id="{00000000-0008-0000-0700-00007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3" name="Text Box 75">
          <a:extLst>
            <a:ext uri="{FF2B5EF4-FFF2-40B4-BE49-F238E27FC236}">
              <a16:creationId xmlns:a16="http://schemas.microsoft.com/office/drawing/2014/main" id="{00000000-0008-0000-0700-00007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4" name="Text Box 75">
          <a:extLst>
            <a:ext uri="{FF2B5EF4-FFF2-40B4-BE49-F238E27FC236}">
              <a16:creationId xmlns:a16="http://schemas.microsoft.com/office/drawing/2014/main" id="{00000000-0008-0000-0700-00007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5" name="Text Box 75">
          <a:extLst>
            <a:ext uri="{FF2B5EF4-FFF2-40B4-BE49-F238E27FC236}">
              <a16:creationId xmlns:a16="http://schemas.microsoft.com/office/drawing/2014/main" id="{00000000-0008-0000-0700-00007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6" name="Text Box 75">
          <a:extLst>
            <a:ext uri="{FF2B5EF4-FFF2-40B4-BE49-F238E27FC236}">
              <a16:creationId xmlns:a16="http://schemas.microsoft.com/office/drawing/2014/main" id="{00000000-0008-0000-0700-00007A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7" name="Text Box 75">
          <a:extLst>
            <a:ext uri="{FF2B5EF4-FFF2-40B4-BE49-F238E27FC236}">
              <a16:creationId xmlns:a16="http://schemas.microsoft.com/office/drawing/2014/main" id="{00000000-0008-0000-0700-00007B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8" name="Text Box 75">
          <a:extLst>
            <a:ext uri="{FF2B5EF4-FFF2-40B4-BE49-F238E27FC236}">
              <a16:creationId xmlns:a16="http://schemas.microsoft.com/office/drawing/2014/main" id="{00000000-0008-0000-0700-00007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29" name="Text Box 75">
          <a:extLst>
            <a:ext uri="{FF2B5EF4-FFF2-40B4-BE49-F238E27FC236}">
              <a16:creationId xmlns:a16="http://schemas.microsoft.com/office/drawing/2014/main" id="{00000000-0008-0000-0700-00007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0" name="Text Box 75">
          <a:extLst>
            <a:ext uri="{FF2B5EF4-FFF2-40B4-BE49-F238E27FC236}">
              <a16:creationId xmlns:a16="http://schemas.microsoft.com/office/drawing/2014/main" id="{00000000-0008-0000-0700-00007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1" name="Text Box 75">
          <a:extLst>
            <a:ext uri="{FF2B5EF4-FFF2-40B4-BE49-F238E27FC236}">
              <a16:creationId xmlns:a16="http://schemas.microsoft.com/office/drawing/2014/main" id="{00000000-0008-0000-0700-00007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2" name="Text Box 75">
          <a:extLst>
            <a:ext uri="{FF2B5EF4-FFF2-40B4-BE49-F238E27FC236}">
              <a16:creationId xmlns:a16="http://schemas.microsoft.com/office/drawing/2014/main" id="{00000000-0008-0000-0700-00008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3" name="Text Box 75">
          <a:extLst>
            <a:ext uri="{FF2B5EF4-FFF2-40B4-BE49-F238E27FC236}">
              <a16:creationId xmlns:a16="http://schemas.microsoft.com/office/drawing/2014/main" id="{00000000-0008-0000-0700-00008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4" name="Text Box 75">
          <a:extLst>
            <a:ext uri="{FF2B5EF4-FFF2-40B4-BE49-F238E27FC236}">
              <a16:creationId xmlns:a16="http://schemas.microsoft.com/office/drawing/2014/main" id="{00000000-0008-0000-0700-000082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5" name="Text Box 75">
          <a:extLst>
            <a:ext uri="{FF2B5EF4-FFF2-40B4-BE49-F238E27FC236}">
              <a16:creationId xmlns:a16="http://schemas.microsoft.com/office/drawing/2014/main" id="{00000000-0008-0000-0700-000083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6" name="Text Box 75">
          <a:extLst>
            <a:ext uri="{FF2B5EF4-FFF2-40B4-BE49-F238E27FC236}">
              <a16:creationId xmlns:a16="http://schemas.microsoft.com/office/drawing/2014/main" id="{00000000-0008-0000-0700-000084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7" name="Text Box 75">
          <a:extLst>
            <a:ext uri="{FF2B5EF4-FFF2-40B4-BE49-F238E27FC236}">
              <a16:creationId xmlns:a16="http://schemas.microsoft.com/office/drawing/2014/main" id="{00000000-0008-0000-0700-000085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8" name="Text Box 75">
          <a:extLst>
            <a:ext uri="{FF2B5EF4-FFF2-40B4-BE49-F238E27FC236}">
              <a16:creationId xmlns:a16="http://schemas.microsoft.com/office/drawing/2014/main" id="{00000000-0008-0000-0700-00008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39" name="Text Box 75">
          <a:extLst>
            <a:ext uri="{FF2B5EF4-FFF2-40B4-BE49-F238E27FC236}">
              <a16:creationId xmlns:a16="http://schemas.microsoft.com/office/drawing/2014/main" id="{00000000-0008-0000-0700-00008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0" name="Text Box 75">
          <a:extLst>
            <a:ext uri="{FF2B5EF4-FFF2-40B4-BE49-F238E27FC236}">
              <a16:creationId xmlns:a16="http://schemas.microsoft.com/office/drawing/2014/main" id="{00000000-0008-0000-0700-00008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1" name="Text Box 75">
          <a:extLst>
            <a:ext uri="{FF2B5EF4-FFF2-40B4-BE49-F238E27FC236}">
              <a16:creationId xmlns:a16="http://schemas.microsoft.com/office/drawing/2014/main" id="{00000000-0008-0000-0700-00008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2" name="Text Box 75">
          <a:extLst>
            <a:ext uri="{FF2B5EF4-FFF2-40B4-BE49-F238E27FC236}">
              <a16:creationId xmlns:a16="http://schemas.microsoft.com/office/drawing/2014/main" id="{00000000-0008-0000-0700-00008A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3" name="Text Box 75">
          <a:extLst>
            <a:ext uri="{FF2B5EF4-FFF2-40B4-BE49-F238E27FC236}">
              <a16:creationId xmlns:a16="http://schemas.microsoft.com/office/drawing/2014/main" id="{00000000-0008-0000-0700-00008B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4" name="Text Box 75">
          <a:extLst>
            <a:ext uri="{FF2B5EF4-FFF2-40B4-BE49-F238E27FC236}">
              <a16:creationId xmlns:a16="http://schemas.microsoft.com/office/drawing/2014/main" id="{00000000-0008-0000-0700-00008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5" name="Text Box 75">
          <a:extLst>
            <a:ext uri="{FF2B5EF4-FFF2-40B4-BE49-F238E27FC236}">
              <a16:creationId xmlns:a16="http://schemas.microsoft.com/office/drawing/2014/main" id="{00000000-0008-0000-0700-00008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6" name="Text Box 75">
          <a:extLst>
            <a:ext uri="{FF2B5EF4-FFF2-40B4-BE49-F238E27FC236}">
              <a16:creationId xmlns:a16="http://schemas.microsoft.com/office/drawing/2014/main" id="{00000000-0008-0000-0700-00008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7" name="Text Box 75">
          <a:extLst>
            <a:ext uri="{FF2B5EF4-FFF2-40B4-BE49-F238E27FC236}">
              <a16:creationId xmlns:a16="http://schemas.microsoft.com/office/drawing/2014/main" id="{00000000-0008-0000-0700-00008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8" name="Text Box 75">
          <a:extLst>
            <a:ext uri="{FF2B5EF4-FFF2-40B4-BE49-F238E27FC236}">
              <a16:creationId xmlns:a16="http://schemas.microsoft.com/office/drawing/2014/main" id="{00000000-0008-0000-0700-00009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49" name="Text Box 75">
          <a:extLst>
            <a:ext uri="{FF2B5EF4-FFF2-40B4-BE49-F238E27FC236}">
              <a16:creationId xmlns:a16="http://schemas.microsoft.com/office/drawing/2014/main" id="{00000000-0008-0000-0700-00009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0" name="Text Box 75">
          <a:extLst>
            <a:ext uri="{FF2B5EF4-FFF2-40B4-BE49-F238E27FC236}">
              <a16:creationId xmlns:a16="http://schemas.microsoft.com/office/drawing/2014/main" id="{00000000-0008-0000-0700-000092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1" name="Text Box 75">
          <a:extLst>
            <a:ext uri="{FF2B5EF4-FFF2-40B4-BE49-F238E27FC236}">
              <a16:creationId xmlns:a16="http://schemas.microsoft.com/office/drawing/2014/main" id="{00000000-0008-0000-0700-000093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2" name="Text Box 75">
          <a:extLst>
            <a:ext uri="{FF2B5EF4-FFF2-40B4-BE49-F238E27FC236}">
              <a16:creationId xmlns:a16="http://schemas.microsoft.com/office/drawing/2014/main" id="{00000000-0008-0000-0700-000094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3" name="Text Box 75">
          <a:extLst>
            <a:ext uri="{FF2B5EF4-FFF2-40B4-BE49-F238E27FC236}">
              <a16:creationId xmlns:a16="http://schemas.microsoft.com/office/drawing/2014/main" id="{00000000-0008-0000-0700-000095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4" name="Text Box 75">
          <a:extLst>
            <a:ext uri="{FF2B5EF4-FFF2-40B4-BE49-F238E27FC236}">
              <a16:creationId xmlns:a16="http://schemas.microsoft.com/office/drawing/2014/main" id="{00000000-0008-0000-0700-00009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5" name="Text Box 75">
          <a:extLst>
            <a:ext uri="{FF2B5EF4-FFF2-40B4-BE49-F238E27FC236}">
              <a16:creationId xmlns:a16="http://schemas.microsoft.com/office/drawing/2014/main" id="{00000000-0008-0000-0700-00009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6" name="Text Box 75">
          <a:extLst>
            <a:ext uri="{FF2B5EF4-FFF2-40B4-BE49-F238E27FC236}">
              <a16:creationId xmlns:a16="http://schemas.microsoft.com/office/drawing/2014/main" id="{00000000-0008-0000-0700-00009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7" name="Text Box 75">
          <a:extLst>
            <a:ext uri="{FF2B5EF4-FFF2-40B4-BE49-F238E27FC236}">
              <a16:creationId xmlns:a16="http://schemas.microsoft.com/office/drawing/2014/main" id="{00000000-0008-0000-0700-00009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8" name="Text Box 75">
          <a:extLst>
            <a:ext uri="{FF2B5EF4-FFF2-40B4-BE49-F238E27FC236}">
              <a16:creationId xmlns:a16="http://schemas.microsoft.com/office/drawing/2014/main" id="{00000000-0008-0000-0700-00009A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59" name="Text Box 75">
          <a:extLst>
            <a:ext uri="{FF2B5EF4-FFF2-40B4-BE49-F238E27FC236}">
              <a16:creationId xmlns:a16="http://schemas.microsoft.com/office/drawing/2014/main" id="{00000000-0008-0000-0700-00009B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0" name="Text Box 75">
          <a:extLst>
            <a:ext uri="{FF2B5EF4-FFF2-40B4-BE49-F238E27FC236}">
              <a16:creationId xmlns:a16="http://schemas.microsoft.com/office/drawing/2014/main" id="{00000000-0008-0000-0700-00009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1" name="Text Box 75">
          <a:extLst>
            <a:ext uri="{FF2B5EF4-FFF2-40B4-BE49-F238E27FC236}">
              <a16:creationId xmlns:a16="http://schemas.microsoft.com/office/drawing/2014/main" id="{00000000-0008-0000-0700-00009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2" name="Text Box 75">
          <a:extLst>
            <a:ext uri="{FF2B5EF4-FFF2-40B4-BE49-F238E27FC236}">
              <a16:creationId xmlns:a16="http://schemas.microsoft.com/office/drawing/2014/main" id="{00000000-0008-0000-0700-00009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3" name="Text Box 75">
          <a:extLst>
            <a:ext uri="{FF2B5EF4-FFF2-40B4-BE49-F238E27FC236}">
              <a16:creationId xmlns:a16="http://schemas.microsoft.com/office/drawing/2014/main" id="{00000000-0008-0000-0700-00009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4" name="Text Box 75">
          <a:extLst>
            <a:ext uri="{FF2B5EF4-FFF2-40B4-BE49-F238E27FC236}">
              <a16:creationId xmlns:a16="http://schemas.microsoft.com/office/drawing/2014/main" id="{00000000-0008-0000-0700-0000A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5" name="Text Box 75">
          <a:extLst>
            <a:ext uri="{FF2B5EF4-FFF2-40B4-BE49-F238E27FC236}">
              <a16:creationId xmlns:a16="http://schemas.microsoft.com/office/drawing/2014/main" id="{00000000-0008-0000-0700-0000A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6" name="Text Box 75">
          <a:extLst>
            <a:ext uri="{FF2B5EF4-FFF2-40B4-BE49-F238E27FC236}">
              <a16:creationId xmlns:a16="http://schemas.microsoft.com/office/drawing/2014/main" id="{00000000-0008-0000-0700-0000A2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7" name="Text Box 75">
          <a:extLst>
            <a:ext uri="{FF2B5EF4-FFF2-40B4-BE49-F238E27FC236}">
              <a16:creationId xmlns:a16="http://schemas.microsoft.com/office/drawing/2014/main" id="{00000000-0008-0000-0700-0000A3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8" name="Text Box 75">
          <a:extLst>
            <a:ext uri="{FF2B5EF4-FFF2-40B4-BE49-F238E27FC236}">
              <a16:creationId xmlns:a16="http://schemas.microsoft.com/office/drawing/2014/main" id="{00000000-0008-0000-0700-0000A4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69" name="Text Box 75">
          <a:extLst>
            <a:ext uri="{FF2B5EF4-FFF2-40B4-BE49-F238E27FC236}">
              <a16:creationId xmlns:a16="http://schemas.microsoft.com/office/drawing/2014/main" id="{00000000-0008-0000-0700-0000A5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0" name="Text Box 75">
          <a:extLst>
            <a:ext uri="{FF2B5EF4-FFF2-40B4-BE49-F238E27FC236}">
              <a16:creationId xmlns:a16="http://schemas.microsoft.com/office/drawing/2014/main" id="{00000000-0008-0000-0700-0000A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1" name="Text Box 75">
          <a:extLst>
            <a:ext uri="{FF2B5EF4-FFF2-40B4-BE49-F238E27FC236}">
              <a16:creationId xmlns:a16="http://schemas.microsoft.com/office/drawing/2014/main" id="{00000000-0008-0000-0700-0000A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2" name="Text Box 75">
          <a:extLst>
            <a:ext uri="{FF2B5EF4-FFF2-40B4-BE49-F238E27FC236}">
              <a16:creationId xmlns:a16="http://schemas.microsoft.com/office/drawing/2014/main" id="{00000000-0008-0000-0700-0000A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3" name="Text Box 75">
          <a:extLst>
            <a:ext uri="{FF2B5EF4-FFF2-40B4-BE49-F238E27FC236}">
              <a16:creationId xmlns:a16="http://schemas.microsoft.com/office/drawing/2014/main" id="{00000000-0008-0000-0700-0000A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4" name="Text Box 75">
          <a:extLst>
            <a:ext uri="{FF2B5EF4-FFF2-40B4-BE49-F238E27FC236}">
              <a16:creationId xmlns:a16="http://schemas.microsoft.com/office/drawing/2014/main" id="{00000000-0008-0000-0700-0000AA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5" name="Text Box 75">
          <a:extLst>
            <a:ext uri="{FF2B5EF4-FFF2-40B4-BE49-F238E27FC236}">
              <a16:creationId xmlns:a16="http://schemas.microsoft.com/office/drawing/2014/main" id="{00000000-0008-0000-0700-0000AB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6" name="Text Box 75">
          <a:extLst>
            <a:ext uri="{FF2B5EF4-FFF2-40B4-BE49-F238E27FC236}">
              <a16:creationId xmlns:a16="http://schemas.microsoft.com/office/drawing/2014/main" id="{00000000-0008-0000-0700-0000A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7" name="Text Box 75">
          <a:extLst>
            <a:ext uri="{FF2B5EF4-FFF2-40B4-BE49-F238E27FC236}">
              <a16:creationId xmlns:a16="http://schemas.microsoft.com/office/drawing/2014/main" id="{00000000-0008-0000-0700-0000A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8" name="Text Box 75">
          <a:extLst>
            <a:ext uri="{FF2B5EF4-FFF2-40B4-BE49-F238E27FC236}">
              <a16:creationId xmlns:a16="http://schemas.microsoft.com/office/drawing/2014/main" id="{00000000-0008-0000-0700-0000A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79" name="Text Box 75">
          <a:extLst>
            <a:ext uri="{FF2B5EF4-FFF2-40B4-BE49-F238E27FC236}">
              <a16:creationId xmlns:a16="http://schemas.microsoft.com/office/drawing/2014/main" id="{00000000-0008-0000-0700-0000A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0" name="Text Box 75">
          <a:extLst>
            <a:ext uri="{FF2B5EF4-FFF2-40B4-BE49-F238E27FC236}">
              <a16:creationId xmlns:a16="http://schemas.microsoft.com/office/drawing/2014/main" id="{00000000-0008-0000-0700-0000B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1" name="Text Box 75">
          <a:extLst>
            <a:ext uri="{FF2B5EF4-FFF2-40B4-BE49-F238E27FC236}">
              <a16:creationId xmlns:a16="http://schemas.microsoft.com/office/drawing/2014/main" id="{00000000-0008-0000-0700-0000B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2" name="Text Box 75">
          <a:extLst>
            <a:ext uri="{FF2B5EF4-FFF2-40B4-BE49-F238E27FC236}">
              <a16:creationId xmlns:a16="http://schemas.microsoft.com/office/drawing/2014/main" id="{00000000-0008-0000-0700-0000B2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3" name="Text Box 75">
          <a:extLst>
            <a:ext uri="{FF2B5EF4-FFF2-40B4-BE49-F238E27FC236}">
              <a16:creationId xmlns:a16="http://schemas.microsoft.com/office/drawing/2014/main" id="{00000000-0008-0000-0700-0000B3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4" name="Text Box 75">
          <a:extLst>
            <a:ext uri="{FF2B5EF4-FFF2-40B4-BE49-F238E27FC236}">
              <a16:creationId xmlns:a16="http://schemas.microsoft.com/office/drawing/2014/main" id="{00000000-0008-0000-0700-0000B4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5" name="Text Box 75">
          <a:extLst>
            <a:ext uri="{FF2B5EF4-FFF2-40B4-BE49-F238E27FC236}">
              <a16:creationId xmlns:a16="http://schemas.microsoft.com/office/drawing/2014/main" id="{00000000-0008-0000-0700-0000B5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6" name="Text Box 75">
          <a:extLst>
            <a:ext uri="{FF2B5EF4-FFF2-40B4-BE49-F238E27FC236}">
              <a16:creationId xmlns:a16="http://schemas.microsoft.com/office/drawing/2014/main" id="{00000000-0008-0000-0700-0000B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7" name="Text Box 75">
          <a:extLst>
            <a:ext uri="{FF2B5EF4-FFF2-40B4-BE49-F238E27FC236}">
              <a16:creationId xmlns:a16="http://schemas.microsoft.com/office/drawing/2014/main" id="{00000000-0008-0000-0700-0000B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8" name="Text Box 75">
          <a:extLst>
            <a:ext uri="{FF2B5EF4-FFF2-40B4-BE49-F238E27FC236}">
              <a16:creationId xmlns:a16="http://schemas.microsoft.com/office/drawing/2014/main" id="{00000000-0008-0000-0700-0000B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89" name="Text Box 75">
          <a:extLst>
            <a:ext uri="{FF2B5EF4-FFF2-40B4-BE49-F238E27FC236}">
              <a16:creationId xmlns:a16="http://schemas.microsoft.com/office/drawing/2014/main" id="{00000000-0008-0000-0700-0000B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0" name="Text Box 75">
          <a:extLst>
            <a:ext uri="{FF2B5EF4-FFF2-40B4-BE49-F238E27FC236}">
              <a16:creationId xmlns:a16="http://schemas.microsoft.com/office/drawing/2014/main" id="{00000000-0008-0000-0700-0000BA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1" name="Text Box 75">
          <a:extLst>
            <a:ext uri="{FF2B5EF4-FFF2-40B4-BE49-F238E27FC236}">
              <a16:creationId xmlns:a16="http://schemas.microsoft.com/office/drawing/2014/main" id="{00000000-0008-0000-0700-0000BB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2" name="Text Box 75">
          <a:extLst>
            <a:ext uri="{FF2B5EF4-FFF2-40B4-BE49-F238E27FC236}">
              <a16:creationId xmlns:a16="http://schemas.microsoft.com/office/drawing/2014/main" id="{00000000-0008-0000-0700-0000B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3" name="Text Box 75">
          <a:extLst>
            <a:ext uri="{FF2B5EF4-FFF2-40B4-BE49-F238E27FC236}">
              <a16:creationId xmlns:a16="http://schemas.microsoft.com/office/drawing/2014/main" id="{00000000-0008-0000-0700-0000B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4" name="Text Box 75">
          <a:extLst>
            <a:ext uri="{FF2B5EF4-FFF2-40B4-BE49-F238E27FC236}">
              <a16:creationId xmlns:a16="http://schemas.microsoft.com/office/drawing/2014/main" id="{00000000-0008-0000-0700-0000B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5" name="Text Box 75">
          <a:extLst>
            <a:ext uri="{FF2B5EF4-FFF2-40B4-BE49-F238E27FC236}">
              <a16:creationId xmlns:a16="http://schemas.microsoft.com/office/drawing/2014/main" id="{00000000-0008-0000-0700-0000B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6" name="Text Box 75">
          <a:extLst>
            <a:ext uri="{FF2B5EF4-FFF2-40B4-BE49-F238E27FC236}">
              <a16:creationId xmlns:a16="http://schemas.microsoft.com/office/drawing/2014/main" id="{00000000-0008-0000-0700-0000C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7" name="Text Box 75">
          <a:extLst>
            <a:ext uri="{FF2B5EF4-FFF2-40B4-BE49-F238E27FC236}">
              <a16:creationId xmlns:a16="http://schemas.microsoft.com/office/drawing/2014/main" id="{00000000-0008-0000-0700-0000C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8" name="Text Box 75">
          <a:extLst>
            <a:ext uri="{FF2B5EF4-FFF2-40B4-BE49-F238E27FC236}">
              <a16:creationId xmlns:a16="http://schemas.microsoft.com/office/drawing/2014/main" id="{00000000-0008-0000-0700-0000C2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499" name="Text Box 75">
          <a:extLst>
            <a:ext uri="{FF2B5EF4-FFF2-40B4-BE49-F238E27FC236}">
              <a16:creationId xmlns:a16="http://schemas.microsoft.com/office/drawing/2014/main" id="{00000000-0008-0000-0700-0000C3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0" name="Text Box 75">
          <a:extLst>
            <a:ext uri="{FF2B5EF4-FFF2-40B4-BE49-F238E27FC236}">
              <a16:creationId xmlns:a16="http://schemas.microsoft.com/office/drawing/2014/main" id="{00000000-0008-0000-0700-0000C4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1" name="Text Box 75">
          <a:extLst>
            <a:ext uri="{FF2B5EF4-FFF2-40B4-BE49-F238E27FC236}">
              <a16:creationId xmlns:a16="http://schemas.microsoft.com/office/drawing/2014/main" id="{00000000-0008-0000-0700-0000C5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2" name="Text Box 75">
          <a:extLst>
            <a:ext uri="{FF2B5EF4-FFF2-40B4-BE49-F238E27FC236}">
              <a16:creationId xmlns:a16="http://schemas.microsoft.com/office/drawing/2014/main" id="{00000000-0008-0000-0700-0000C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3" name="Text Box 75">
          <a:extLst>
            <a:ext uri="{FF2B5EF4-FFF2-40B4-BE49-F238E27FC236}">
              <a16:creationId xmlns:a16="http://schemas.microsoft.com/office/drawing/2014/main" id="{00000000-0008-0000-0700-0000C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4" name="Text Box 75">
          <a:extLst>
            <a:ext uri="{FF2B5EF4-FFF2-40B4-BE49-F238E27FC236}">
              <a16:creationId xmlns:a16="http://schemas.microsoft.com/office/drawing/2014/main" id="{00000000-0008-0000-0700-0000C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5" name="Text Box 75">
          <a:extLst>
            <a:ext uri="{FF2B5EF4-FFF2-40B4-BE49-F238E27FC236}">
              <a16:creationId xmlns:a16="http://schemas.microsoft.com/office/drawing/2014/main" id="{00000000-0008-0000-0700-0000C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6" name="Text Box 75">
          <a:extLst>
            <a:ext uri="{FF2B5EF4-FFF2-40B4-BE49-F238E27FC236}">
              <a16:creationId xmlns:a16="http://schemas.microsoft.com/office/drawing/2014/main" id="{00000000-0008-0000-0700-0000CA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7" name="Text Box 75">
          <a:extLst>
            <a:ext uri="{FF2B5EF4-FFF2-40B4-BE49-F238E27FC236}">
              <a16:creationId xmlns:a16="http://schemas.microsoft.com/office/drawing/2014/main" id="{00000000-0008-0000-0700-0000CB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8" name="Text Box 75">
          <a:extLst>
            <a:ext uri="{FF2B5EF4-FFF2-40B4-BE49-F238E27FC236}">
              <a16:creationId xmlns:a16="http://schemas.microsoft.com/office/drawing/2014/main" id="{00000000-0008-0000-0700-0000C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09" name="Text Box 75">
          <a:extLst>
            <a:ext uri="{FF2B5EF4-FFF2-40B4-BE49-F238E27FC236}">
              <a16:creationId xmlns:a16="http://schemas.microsoft.com/office/drawing/2014/main" id="{00000000-0008-0000-0700-0000C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0" name="Text Box 75">
          <a:extLst>
            <a:ext uri="{FF2B5EF4-FFF2-40B4-BE49-F238E27FC236}">
              <a16:creationId xmlns:a16="http://schemas.microsoft.com/office/drawing/2014/main" id="{00000000-0008-0000-0700-0000C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1" name="Text Box 75">
          <a:extLst>
            <a:ext uri="{FF2B5EF4-FFF2-40B4-BE49-F238E27FC236}">
              <a16:creationId xmlns:a16="http://schemas.microsoft.com/office/drawing/2014/main" id="{00000000-0008-0000-0700-0000C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2" name="Text Box 75">
          <a:extLst>
            <a:ext uri="{FF2B5EF4-FFF2-40B4-BE49-F238E27FC236}">
              <a16:creationId xmlns:a16="http://schemas.microsoft.com/office/drawing/2014/main" id="{00000000-0008-0000-0700-0000D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3" name="Text Box 75">
          <a:extLst>
            <a:ext uri="{FF2B5EF4-FFF2-40B4-BE49-F238E27FC236}">
              <a16:creationId xmlns:a16="http://schemas.microsoft.com/office/drawing/2014/main" id="{00000000-0008-0000-0700-0000D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4" name="Text Box 75">
          <a:extLst>
            <a:ext uri="{FF2B5EF4-FFF2-40B4-BE49-F238E27FC236}">
              <a16:creationId xmlns:a16="http://schemas.microsoft.com/office/drawing/2014/main" id="{00000000-0008-0000-0700-0000D2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5" name="Text Box 75">
          <a:extLst>
            <a:ext uri="{FF2B5EF4-FFF2-40B4-BE49-F238E27FC236}">
              <a16:creationId xmlns:a16="http://schemas.microsoft.com/office/drawing/2014/main" id="{00000000-0008-0000-0700-0000D3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6" name="Text Box 75">
          <a:extLst>
            <a:ext uri="{FF2B5EF4-FFF2-40B4-BE49-F238E27FC236}">
              <a16:creationId xmlns:a16="http://schemas.microsoft.com/office/drawing/2014/main" id="{00000000-0008-0000-0700-0000D4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7" name="Text Box 75">
          <a:extLst>
            <a:ext uri="{FF2B5EF4-FFF2-40B4-BE49-F238E27FC236}">
              <a16:creationId xmlns:a16="http://schemas.microsoft.com/office/drawing/2014/main" id="{00000000-0008-0000-0700-0000D5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8" name="Text Box 75">
          <a:extLst>
            <a:ext uri="{FF2B5EF4-FFF2-40B4-BE49-F238E27FC236}">
              <a16:creationId xmlns:a16="http://schemas.microsoft.com/office/drawing/2014/main" id="{00000000-0008-0000-0700-0000D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19" name="Text Box 75">
          <a:extLst>
            <a:ext uri="{FF2B5EF4-FFF2-40B4-BE49-F238E27FC236}">
              <a16:creationId xmlns:a16="http://schemas.microsoft.com/office/drawing/2014/main" id="{00000000-0008-0000-0700-0000D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20" name="Text Box 75">
          <a:extLst>
            <a:ext uri="{FF2B5EF4-FFF2-40B4-BE49-F238E27FC236}">
              <a16:creationId xmlns:a16="http://schemas.microsoft.com/office/drawing/2014/main" id="{00000000-0008-0000-0700-0000D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21" name="Text Box 75">
          <a:extLst>
            <a:ext uri="{FF2B5EF4-FFF2-40B4-BE49-F238E27FC236}">
              <a16:creationId xmlns:a16="http://schemas.microsoft.com/office/drawing/2014/main" id="{00000000-0008-0000-0700-0000D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22" name="Text Box 75">
          <a:extLst>
            <a:ext uri="{FF2B5EF4-FFF2-40B4-BE49-F238E27FC236}">
              <a16:creationId xmlns:a16="http://schemas.microsoft.com/office/drawing/2014/main" id="{00000000-0008-0000-0700-0000DA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23" name="Text Box 75">
          <a:extLst>
            <a:ext uri="{FF2B5EF4-FFF2-40B4-BE49-F238E27FC236}">
              <a16:creationId xmlns:a16="http://schemas.microsoft.com/office/drawing/2014/main" id="{00000000-0008-0000-0700-0000DB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24" name="Text Box 75">
          <a:extLst>
            <a:ext uri="{FF2B5EF4-FFF2-40B4-BE49-F238E27FC236}">
              <a16:creationId xmlns:a16="http://schemas.microsoft.com/office/drawing/2014/main" id="{00000000-0008-0000-0700-0000DC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25" name="Text Box 75">
          <a:extLst>
            <a:ext uri="{FF2B5EF4-FFF2-40B4-BE49-F238E27FC236}">
              <a16:creationId xmlns:a16="http://schemas.microsoft.com/office/drawing/2014/main" id="{00000000-0008-0000-0700-0000DD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26" name="Text Box 75">
          <a:extLst>
            <a:ext uri="{FF2B5EF4-FFF2-40B4-BE49-F238E27FC236}">
              <a16:creationId xmlns:a16="http://schemas.microsoft.com/office/drawing/2014/main" id="{00000000-0008-0000-0700-0000D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27" name="Text Box 75">
          <a:extLst>
            <a:ext uri="{FF2B5EF4-FFF2-40B4-BE49-F238E27FC236}">
              <a16:creationId xmlns:a16="http://schemas.microsoft.com/office/drawing/2014/main" id="{00000000-0008-0000-0700-0000D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28" name="Text Box 75">
          <a:extLst>
            <a:ext uri="{FF2B5EF4-FFF2-40B4-BE49-F238E27FC236}">
              <a16:creationId xmlns:a16="http://schemas.microsoft.com/office/drawing/2014/main" id="{00000000-0008-0000-0700-0000E0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29" name="Text Box 75">
          <a:extLst>
            <a:ext uri="{FF2B5EF4-FFF2-40B4-BE49-F238E27FC236}">
              <a16:creationId xmlns:a16="http://schemas.microsoft.com/office/drawing/2014/main" id="{00000000-0008-0000-0700-0000E1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30" name="Text Box 75">
          <a:extLst>
            <a:ext uri="{FF2B5EF4-FFF2-40B4-BE49-F238E27FC236}">
              <a16:creationId xmlns:a16="http://schemas.microsoft.com/office/drawing/2014/main" id="{00000000-0008-0000-0700-0000E2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31" name="Text Box 75">
          <a:extLst>
            <a:ext uri="{FF2B5EF4-FFF2-40B4-BE49-F238E27FC236}">
              <a16:creationId xmlns:a16="http://schemas.microsoft.com/office/drawing/2014/main" id="{00000000-0008-0000-0700-0000E3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32" name="Text Box 75">
          <a:extLst>
            <a:ext uri="{FF2B5EF4-FFF2-40B4-BE49-F238E27FC236}">
              <a16:creationId xmlns:a16="http://schemas.microsoft.com/office/drawing/2014/main" id="{00000000-0008-0000-0700-0000E4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33" name="Text Box 75">
          <a:extLst>
            <a:ext uri="{FF2B5EF4-FFF2-40B4-BE49-F238E27FC236}">
              <a16:creationId xmlns:a16="http://schemas.microsoft.com/office/drawing/2014/main" id="{00000000-0008-0000-0700-0000E5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34" name="Text Box 75">
          <a:extLst>
            <a:ext uri="{FF2B5EF4-FFF2-40B4-BE49-F238E27FC236}">
              <a16:creationId xmlns:a16="http://schemas.microsoft.com/office/drawing/2014/main" id="{00000000-0008-0000-0700-0000E6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35" name="Text Box 75">
          <a:extLst>
            <a:ext uri="{FF2B5EF4-FFF2-40B4-BE49-F238E27FC236}">
              <a16:creationId xmlns:a16="http://schemas.microsoft.com/office/drawing/2014/main" id="{00000000-0008-0000-0700-0000E7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36" name="Text Box 75">
          <a:extLst>
            <a:ext uri="{FF2B5EF4-FFF2-40B4-BE49-F238E27FC236}">
              <a16:creationId xmlns:a16="http://schemas.microsoft.com/office/drawing/2014/main" id="{00000000-0008-0000-0700-0000E8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37" name="Text Box 75">
          <a:extLst>
            <a:ext uri="{FF2B5EF4-FFF2-40B4-BE49-F238E27FC236}">
              <a16:creationId xmlns:a16="http://schemas.microsoft.com/office/drawing/2014/main" id="{00000000-0008-0000-0700-0000E9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38" name="Text Box 75">
          <a:extLst>
            <a:ext uri="{FF2B5EF4-FFF2-40B4-BE49-F238E27FC236}">
              <a16:creationId xmlns:a16="http://schemas.microsoft.com/office/drawing/2014/main" id="{00000000-0008-0000-0700-0000EA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39" name="Text Box 75">
          <a:extLst>
            <a:ext uri="{FF2B5EF4-FFF2-40B4-BE49-F238E27FC236}">
              <a16:creationId xmlns:a16="http://schemas.microsoft.com/office/drawing/2014/main" id="{00000000-0008-0000-0700-0000EB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40" name="Text Box 75">
          <a:extLst>
            <a:ext uri="{FF2B5EF4-FFF2-40B4-BE49-F238E27FC236}">
              <a16:creationId xmlns:a16="http://schemas.microsoft.com/office/drawing/2014/main" id="{00000000-0008-0000-0700-0000EC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41" name="Text Box 75">
          <a:extLst>
            <a:ext uri="{FF2B5EF4-FFF2-40B4-BE49-F238E27FC236}">
              <a16:creationId xmlns:a16="http://schemas.microsoft.com/office/drawing/2014/main" id="{00000000-0008-0000-0700-0000ED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42" name="Text Box 75">
          <a:extLst>
            <a:ext uri="{FF2B5EF4-FFF2-40B4-BE49-F238E27FC236}">
              <a16:creationId xmlns:a16="http://schemas.microsoft.com/office/drawing/2014/main" id="{00000000-0008-0000-0700-0000EE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43" name="Text Box 75">
          <a:extLst>
            <a:ext uri="{FF2B5EF4-FFF2-40B4-BE49-F238E27FC236}">
              <a16:creationId xmlns:a16="http://schemas.microsoft.com/office/drawing/2014/main" id="{00000000-0008-0000-0700-0000EF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44" name="Text Box 75">
          <a:extLst>
            <a:ext uri="{FF2B5EF4-FFF2-40B4-BE49-F238E27FC236}">
              <a16:creationId xmlns:a16="http://schemas.microsoft.com/office/drawing/2014/main" id="{00000000-0008-0000-0700-0000F0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45" name="Text Box 75">
          <a:extLst>
            <a:ext uri="{FF2B5EF4-FFF2-40B4-BE49-F238E27FC236}">
              <a16:creationId xmlns:a16="http://schemas.microsoft.com/office/drawing/2014/main" id="{00000000-0008-0000-0700-0000F109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46" name="Text Box 75">
          <a:extLst>
            <a:ext uri="{FF2B5EF4-FFF2-40B4-BE49-F238E27FC236}">
              <a16:creationId xmlns:a16="http://schemas.microsoft.com/office/drawing/2014/main" id="{00000000-0008-0000-0700-0000F2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47" name="Text Box 75">
          <a:extLst>
            <a:ext uri="{FF2B5EF4-FFF2-40B4-BE49-F238E27FC236}">
              <a16:creationId xmlns:a16="http://schemas.microsoft.com/office/drawing/2014/main" id="{00000000-0008-0000-0700-0000F3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48" name="Text Box 75">
          <a:extLst>
            <a:ext uri="{FF2B5EF4-FFF2-40B4-BE49-F238E27FC236}">
              <a16:creationId xmlns:a16="http://schemas.microsoft.com/office/drawing/2014/main" id="{00000000-0008-0000-0700-0000F4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49" name="Text Box 75">
          <a:extLst>
            <a:ext uri="{FF2B5EF4-FFF2-40B4-BE49-F238E27FC236}">
              <a16:creationId xmlns:a16="http://schemas.microsoft.com/office/drawing/2014/main" id="{00000000-0008-0000-0700-0000F5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0" name="Text Box 75">
          <a:extLst>
            <a:ext uri="{FF2B5EF4-FFF2-40B4-BE49-F238E27FC236}">
              <a16:creationId xmlns:a16="http://schemas.microsoft.com/office/drawing/2014/main" id="{00000000-0008-0000-0700-0000F6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1" name="Text Box 75">
          <a:extLst>
            <a:ext uri="{FF2B5EF4-FFF2-40B4-BE49-F238E27FC236}">
              <a16:creationId xmlns:a16="http://schemas.microsoft.com/office/drawing/2014/main" id="{00000000-0008-0000-0700-0000F7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2" name="Text Box 75">
          <a:extLst>
            <a:ext uri="{FF2B5EF4-FFF2-40B4-BE49-F238E27FC236}">
              <a16:creationId xmlns:a16="http://schemas.microsoft.com/office/drawing/2014/main" id="{00000000-0008-0000-0700-0000F8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3" name="Text Box 75">
          <a:extLst>
            <a:ext uri="{FF2B5EF4-FFF2-40B4-BE49-F238E27FC236}">
              <a16:creationId xmlns:a16="http://schemas.microsoft.com/office/drawing/2014/main" id="{00000000-0008-0000-0700-0000F9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4" name="Text Box 75">
          <a:extLst>
            <a:ext uri="{FF2B5EF4-FFF2-40B4-BE49-F238E27FC236}">
              <a16:creationId xmlns:a16="http://schemas.microsoft.com/office/drawing/2014/main" id="{00000000-0008-0000-0700-0000FA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5" name="Text Box 75">
          <a:extLst>
            <a:ext uri="{FF2B5EF4-FFF2-40B4-BE49-F238E27FC236}">
              <a16:creationId xmlns:a16="http://schemas.microsoft.com/office/drawing/2014/main" id="{00000000-0008-0000-0700-0000FB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6" name="Text Box 75">
          <a:extLst>
            <a:ext uri="{FF2B5EF4-FFF2-40B4-BE49-F238E27FC236}">
              <a16:creationId xmlns:a16="http://schemas.microsoft.com/office/drawing/2014/main" id="{00000000-0008-0000-0700-0000FC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7" name="Text Box 75">
          <a:extLst>
            <a:ext uri="{FF2B5EF4-FFF2-40B4-BE49-F238E27FC236}">
              <a16:creationId xmlns:a16="http://schemas.microsoft.com/office/drawing/2014/main" id="{00000000-0008-0000-0700-0000FD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8" name="Text Box 75">
          <a:extLst>
            <a:ext uri="{FF2B5EF4-FFF2-40B4-BE49-F238E27FC236}">
              <a16:creationId xmlns:a16="http://schemas.microsoft.com/office/drawing/2014/main" id="{00000000-0008-0000-0700-0000FE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59" name="Text Box 75">
          <a:extLst>
            <a:ext uri="{FF2B5EF4-FFF2-40B4-BE49-F238E27FC236}">
              <a16:creationId xmlns:a16="http://schemas.microsoft.com/office/drawing/2014/main" id="{00000000-0008-0000-0700-0000FF09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60" name="Text Box 75">
          <a:extLst>
            <a:ext uri="{FF2B5EF4-FFF2-40B4-BE49-F238E27FC236}">
              <a16:creationId xmlns:a16="http://schemas.microsoft.com/office/drawing/2014/main" id="{00000000-0008-0000-0700-0000000A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61" name="Text Box 75">
          <a:extLst>
            <a:ext uri="{FF2B5EF4-FFF2-40B4-BE49-F238E27FC236}">
              <a16:creationId xmlns:a16="http://schemas.microsoft.com/office/drawing/2014/main" id="{00000000-0008-0000-0700-0000010A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50</xdr:col>
      <xdr:colOff>1400175</xdr:colOff>
      <xdr:row>7</xdr:row>
      <xdr:rowOff>3295650</xdr:rowOff>
    </xdr:from>
    <xdr:ext cx="85725" cy="323287"/>
    <xdr:sp macro="" textlink="">
      <xdr:nvSpPr>
        <xdr:cNvPr id="2562" name="Text Box 75">
          <a:extLst>
            <a:ext uri="{FF2B5EF4-FFF2-40B4-BE49-F238E27FC236}">
              <a16:creationId xmlns:a16="http://schemas.microsoft.com/office/drawing/2014/main" id="{00000000-0008-0000-0700-0000020A0000}"/>
            </a:ext>
          </a:extLst>
        </xdr:cNvPr>
        <xdr:cNvSpPr txBox="1">
          <a:spLocks noChangeArrowheads="1"/>
        </xdr:cNvSpPr>
      </xdr:nvSpPr>
      <xdr:spPr bwMode="auto">
        <a:xfrm>
          <a:off x="81936851" y="32732382"/>
          <a:ext cx="85725" cy="32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0" name="Text Box 75">
          <a:extLst>
            <a:ext uri="{FF2B5EF4-FFF2-40B4-BE49-F238E27FC236}">
              <a16:creationId xmlns:a16="http://schemas.microsoft.com/office/drawing/2014/main" id="{00000000-0008-0000-0700-00001E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1" name="Text Box 75">
          <a:extLst>
            <a:ext uri="{FF2B5EF4-FFF2-40B4-BE49-F238E27FC236}">
              <a16:creationId xmlns:a16="http://schemas.microsoft.com/office/drawing/2014/main" id="{00000000-0008-0000-0700-00001F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2" name="Text Box 75">
          <a:extLst>
            <a:ext uri="{FF2B5EF4-FFF2-40B4-BE49-F238E27FC236}">
              <a16:creationId xmlns:a16="http://schemas.microsoft.com/office/drawing/2014/main" id="{00000000-0008-0000-0700-000020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3" name="Text Box 75">
          <a:extLst>
            <a:ext uri="{FF2B5EF4-FFF2-40B4-BE49-F238E27FC236}">
              <a16:creationId xmlns:a16="http://schemas.microsoft.com/office/drawing/2014/main" id="{00000000-0008-0000-0700-000021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4" name="Text Box 75">
          <a:extLst>
            <a:ext uri="{FF2B5EF4-FFF2-40B4-BE49-F238E27FC236}">
              <a16:creationId xmlns:a16="http://schemas.microsoft.com/office/drawing/2014/main" id="{00000000-0008-0000-0700-000022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5" name="Text Box 75">
          <a:extLst>
            <a:ext uri="{FF2B5EF4-FFF2-40B4-BE49-F238E27FC236}">
              <a16:creationId xmlns:a16="http://schemas.microsoft.com/office/drawing/2014/main" id="{00000000-0008-0000-0700-000023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6" name="Text Box 75">
          <a:extLst>
            <a:ext uri="{FF2B5EF4-FFF2-40B4-BE49-F238E27FC236}">
              <a16:creationId xmlns:a16="http://schemas.microsoft.com/office/drawing/2014/main" id="{00000000-0008-0000-0700-000024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7" name="Text Box 75">
          <a:extLst>
            <a:ext uri="{FF2B5EF4-FFF2-40B4-BE49-F238E27FC236}">
              <a16:creationId xmlns:a16="http://schemas.microsoft.com/office/drawing/2014/main" id="{00000000-0008-0000-0700-000025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8" name="Text Box 75">
          <a:extLst>
            <a:ext uri="{FF2B5EF4-FFF2-40B4-BE49-F238E27FC236}">
              <a16:creationId xmlns:a16="http://schemas.microsoft.com/office/drawing/2014/main" id="{00000000-0008-0000-0700-000026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599" name="Text Box 75">
          <a:extLst>
            <a:ext uri="{FF2B5EF4-FFF2-40B4-BE49-F238E27FC236}">
              <a16:creationId xmlns:a16="http://schemas.microsoft.com/office/drawing/2014/main" id="{00000000-0008-0000-0700-000027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0" name="Text Box 75">
          <a:extLst>
            <a:ext uri="{FF2B5EF4-FFF2-40B4-BE49-F238E27FC236}">
              <a16:creationId xmlns:a16="http://schemas.microsoft.com/office/drawing/2014/main" id="{00000000-0008-0000-0700-000028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1" name="Text Box 75">
          <a:extLst>
            <a:ext uri="{FF2B5EF4-FFF2-40B4-BE49-F238E27FC236}">
              <a16:creationId xmlns:a16="http://schemas.microsoft.com/office/drawing/2014/main" id="{00000000-0008-0000-0700-000029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2" name="Text Box 75">
          <a:extLst>
            <a:ext uri="{FF2B5EF4-FFF2-40B4-BE49-F238E27FC236}">
              <a16:creationId xmlns:a16="http://schemas.microsoft.com/office/drawing/2014/main" id="{00000000-0008-0000-0700-00002A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3" name="Text Box 75">
          <a:extLst>
            <a:ext uri="{FF2B5EF4-FFF2-40B4-BE49-F238E27FC236}">
              <a16:creationId xmlns:a16="http://schemas.microsoft.com/office/drawing/2014/main" id="{00000000-0008-0000-0700-00002B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4" name="Text Box 75">
          <a:extLst>
            <a:ext uri="{FF2B5EF4-FFF2-40B4-BE49-F238E27FC236}">
              <a16:creationId xmlns:a16="http://schemas.microsoft.com/office/drawing/2014/main" id="{00000000-0008-0000-0700-00002C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5" name="Text Box 75">
          <a:extLst>
            <a:ext uri="{FF2B5EF4-FFF2-40B4-BE49-F238E27FC236}">
              <a16:creationId xmlns:a16="http://schemas.microsoft.com/office/drawing/2014/main" id="{00000000-0008-0000-0700-00002D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6" name="Text Box 75">
          <a:extLst>
            <a:ext uri="{FF2B5EF4-FFF2-40B4-BE49-F238E27FC236}">
              <a16:creationId xmlns:a16="http://schemas.microsoft.com/office/drawing/2014/main" id="{00000000-0008-0000-0700-00002E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7" name="Text Box 75">
          <a:extLst>
            <a:ext uri="{FF2B5EF4-FFF2-40B4-BE49-F238E27FC236}">
              <a16:creationId xmlns:a16="http://schemas.microsoft.com/office/drawing/2014/main" id="{00000000-0008-0000-0700-00002F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8" name="Text Box 75">
          <a:extLst>
            <a:ext uri="{FF2B5EF4-FFF2-40B4-BE49-F238E27FC236}">
              <a16:creationId xmlns:a16="http://schemas.microsoft.com/office/drawing/2014/main" id="{00000000-0008-0000-0700-000030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09" name="Text Box 75">
          <a:extLst>
            <a:ext uri="{FF2B5EF4-FFF2-40B4-BE49-F238E27FC236}">
              <a16:creationId xmlns:a16="http://schemas.microsoft.com/office/drawing/2014/main" id="{00000000-0008-0000-0700-000031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0" name="Text Box 75">
          <a:extLst>
            <a:ext uri="{FF2B5EF4-FFF2-40B4-BE49-F238E27FC236}">
              <a16:creationId xmlns:a16="http://schemas.microsoft.com/office/drawing/2014/main" id="{00000000-0008-0000-0700-000032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1" name="Text Box 75">
          <a:extLst>
            <a:ext uri="{FF2B5EF4-FFF2-40B4-BE49-F238E27FC236}">
              <a16:creationId xmlns:a16="http://schemas.microsoft.com/office/drawing/2014/main" id="{00000000-0008-0000-0700-000033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2" name="Text Box 75">
          <a:extLst>
            <a:ext uri="{FF2B5EF4-FFF2-40B4-BE49-F238E27FC236}">
              <a16:creationId xmlns:a16="http://schemas.microsoft.com/office/drawing/2014/main" id="{00000000-0008-0000-0700-000034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3" name="Text Box 75">
          <a:extLst>
            <a:ext uri="{FF2B5EF4-FFF2-40B4-BE49-F238E27FC236}">
              <a16:creationId xmlns:a16="http://schemas.microsoft.com/office/drawing/2014/main" id="{00000000-0008-0000-0700-000035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4" name="Text Box 75">
          <a:extLst>
            <a:ext uri="{FF2B5EF4-FFF2-40B4-BE49-F238E27FC236}">
              <a16:creationId xmlns:a16="http://schemas.microsoft.com/office/drawing/2014/main" id="{00000000-0008-0000-0700-000036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5" name="Text Box 75">
          <a:extLst>
            <a:ext uri="{FF2B5EF4-FFF2-40B4-BE49-F238E27FC236}">
              <a16:creationId xmlns:a16="http://schemas.microsoft.com/office/drawing/2014/main" id="{00000000-0008-0000-0700-000037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6" name="Text Box 75">
          <a:extLst>
            <a:ext uri="{FF2B5EF4-FFF2-40B4-BE49-F238E27FC236}">
              <a16:creationId xmlns:a16="http://schemas.microsoft.com/office/drawing/2014/main" id="{00000000-0008-0000-0700-000038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7" name="Text Box 75">
          <a:extLst>
            <a:ext uri="{FF2B5EF4-FFF2-40B4-BE49-F238E27FC236}">
              <a16:creationId xmlns:a16="http://schemas.microsoft.com/office/drawing/2014/main" id="{00000000-0008-0000-0700-000039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8" name="Text Box 75">
          <a:extLst>
            <a:ext uri="{FF2B5EF4-FFF2-40B4-BE49-F238E27FC236}">
              <a16:creationId xmlns:a16="http://schemas.microsoft.com/office/drawing/2014/main" id="{00000000-0008-0000-0700-00003A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19" name="Text Box 75">
          <a:extLst>
            <a:ext uri="{FF2B5EF4-FFF2-40B4-BE49-F238E27FC236}">
              <a16:creationId xmlns:a16="http://schemas.microsoft.com/office/drawing/2014/main" id="{00000000-0008-0000-0700-00003B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0" name="Text Box 75">
          <a:extLst>
            <a:ext uri="{FF2B5EF4-FFF2-40B4-BE49-F238E27FC236}">
              <a16:creationId xmlns:a16="http://schemas.microsoft.com/office/drawing/2014/main" id="{00000000-0008-0000-0700-00003C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1" name="Text Box 75">
          <a:extLst>
            <a:ext uri="{FF2B5EF4-FFF2-40B4-BE49-F238E27FC236}">
              <a16:creationId xmlns:a16="http://schemas.microsoft.com/office/drawing/2014/main" id="{00000000-0008-0000-0700-00003D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2" name="Text Box 75">
          <a:extLst>
            <a:ext uri="{FF2B5EF4-FFF2-40B4-BE49-F238E27FC236}">
              <a16:creationId xmlns:a16="http://schemas.microsoft.com/office/drawing/2014/main" id="{00000000-0008-0000-0700-00003E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3" name="Text Box 75">
          <a:extLst>
            <a:ext uri="{FF2B5EF4-FFF2-40B4-BE49-F238E27FC236}">
              <a16:creationId xmlns:a16="http://schemas.microsoft.com/office/drawing/2014/main" id="{00000000-0008-0000-0700-00003F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4" name="Text Box 75">
          <a:extLst>
            <a:ext uri="{FF2B5EF4-FFF2-40B4-BE49-F238E27FC236}">
              <a16:creationId xmlns:a16="http://schemas.microsoft.com/office/drawing/2014/main" id="{00000000-0008-0000-0700-000040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5" name="Text Box 75">
          <a:extLst>
            <a:ext uri="{FF2B5EF4-FFF2-40B4-BE49-F238E27FC236}">
              <a16:creationId xmlns:a16="http://schemas.microsoft.com/office/drawing/2014/main" id="{00000000-0008-0000-0700-000041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6" name="Text Box 75">
          <a:extLst>
            <a:ext uri="{FF2B5EF4-FFF2-40B4-BE49-F238E27FC236}">
              <a16:creationId xmlns:a16="http://schemas.microsoft.com/office/drawing/2014/main" id="{00000000-0008-0000-0700-000042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7" name="Text Box 75">
          <a:extLst>
            <a:ext uri="{FF2B5EF4-FFF2-40B4-BE49-F238E27FC236}">
              <a16:creationId xmlns:a16="http://schemas.microsoft.com/office/drawing/2014/main" id="{00000000-0008-0000-0700-000043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8" name="Text Box 75">
          <a:extLst>
            <a:ext uri="{FF2B5EF4-FFF2-40B4-BE49-F238E27FC236}">
              <a16:creationId xmlns:a16="http://schemas.microsoft.com/office/drawing/2014/main" id="{00000000-0008-0000-0700-000044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29" name="Text Box 75">
          <a:extLst>
            <a:ext uri="{FF2B5EF4-FFF2-40B4-BE49-F238E27FC236}">
              <a16:creationId xmlns:a16="http://schemas.microsoft.com/office/drawing/2014/main" id="{00000000-0008-0000-0700-000045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0" name="Text Box 75">
          <a:extLst>
            <a:ext uri="{FF2B5EF4-FFF2-40B4-BE49-F238E27FC236}">
              <a16:creationId xmlns:a16="http://schemas.microsoft.com/office/drawing/2014/main" id="{00000000-0008-0000-0700-000046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1" name="Text Box 75">
          <a:extLst>
            <a:ext uri="{FF2B5EF4-FFF2-40B4-BE49-F238E27FC236}">
              <a16:creationId xmlns:a16="http://schemas.microsoft.com/office/drawing/2014/main" id="{00000000-0008-0000-0700-000047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2" name="Text Box 75">
          <a:extLst>
            <a:ext uri="{FF2B5EF4-FFF2-40B4-BE49-F238E27FC236}">
              <a16:creationId xmlns:a16="http://schemas.microsoft.com/office/drawing/2014/main" id="{00000000-0008-0000-0700-000048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3" name="Text Box 75">
          <a:extLst>
            <a:ext uri="{FF2B5EF4-FFF2-40B4-BE49-F238E27FC236}">
              <a16:creationId xmlns:a16="http://schemas.microsoft.com/office/drawing/2014/main" id="{00000000-0008-0000-0700-000049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4" name="Text Box 75">
          <a:extLst>
            <a:ext uri="{FF2B5EF4-FFF2-40B4-BE49-F238E27FC236}">
              <a16:creationId xmlns:a16="http://schemas.microsoft.com/office/drawing/2014/main" id="{00000000-0008-0000-0700-00004A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5" name="Text Box 75">
          <a:extLst>
            <a:ext uri="{FF2B5EF4-FFF2-40B4-BE49-F238E27FC236}">
              <a16:creationId xmlns:a16="http://schemas.microsoft.com/office/drawing/2014/main" id="{00000000-0008-0000-0700-00004B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6" name="Text Box 75">
          <a:extLst>
            <a:ext uri="{FF2B5EF4-FFF2-40B4-BE49-F238E27FC236}">
              <a16:creationId xmlns:a16="http://schemas.microsoft.com/office/drawing/2014/main" id="{00000000-0008-0000-0700-00004C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7" name="Text Box 75">
          <a:extLst>
            <a:ext uri="{FF2B5EF4-FFF2-40B4-BE49-F238E27FC236}">
              <a16:creationId xmlns:a16="http://schemas.microsoft.com/office/drawing/2014/main" id="{00000000-0008-0000-0700-00004D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8" name="Text Box 75">
          <a:extLst>
            <a:ext uri="{FF2B5EF4-FFF2-40B4-BE49-F238E27FC236}">
              <a16:creationId xmlns:a16="http://schemas.microsoft.com/office/drawing/2014/main" id="{00000000-0008-0000-0700-00004E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39" name="Text Box 75">
          <a:extLst>
            <a:ext uri="{FF2B5EF4-FFF2-40B4-BE49-F238E27FC236}">
              <a16:creationId xmlns:a16="http://schemas.microsoft.com/office/drawing/2014/main" id="{00000000-0008-0000-0700-00004F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0" name="Text Box 75">
          <a:extLst>
            <a:ext uri="{FF2B5EF4-FFF2-40B4-BE49-F238E27FC236}">
              <a16:creationId xmlns:a16="http://schemas.microsoft.com/office/drawing/2014/main" id="{00000000-0008-0000-0700-000050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1" name="Text Box 75">
          <a:extLst>
            <a:ext uri="{FF2B5EF4-FFF2-40B4-BE49-F238E27FC236}">
              <a16:creationId xmlns:a16="http://schemas.microsoft.com/office/drawing/2014/main" id="{00000000-0008-0000-0700-000051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2" name="Text Box 75">
          <a:extLst>
            <a:ext uri="{FF2B5EF4-FFF2-40B4-BE49-F238E27FC236}">
              <a16:creationId xmlns:a16="http://schemas.microsoft.com/office/drawing/2014/main" id="{00000000-0008-0000-0700-000052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3" name="Text Box 75">
          <a:extLst>
            <a:ext uri="{FF2B5EF4-FFF2-40B4-BE49-F238E27FC236}">
              <a16:creationId xmlns:a16="http://schemas.microsoft.com/office/drawing/2014/main" id="{00000000-0008-0000-0700-000053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4" name="Text Box 75">
          <a:extLst>
            <a:ext uri="{FF2B5EF4-FFF2-40B4-BE49-F238E27FC236}">
              <a16:creationId xmlns:a16="http://schemas.microsoft.com/office/drawing/2014/main" id="{00000000-0008-0000-0700-000054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5" name="Text Box 75">
          <a:extLst>
            <a:ext uri="{FF2B5EF4-FFF2-40B4-BE49-F238E27FC236}">
              <a16:creationId xmlns:a16="http://schemas.microsoft.com/office/drawing/2014/main" id="{00000000-0008-0000-0700-000055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6" name="Text Box 75">
          <a:extLst>
            <a:ext uri="{FF2B5EF4-FFF2-40B4-BE49-F238E27FC236}">
              <a16:creationId xmlns:a16="http://schemas.microsoft.com/office/drawing/2014/main" id="{00000000-0008-0000-0700-000056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7" name="Text Box 75">
          <a:extLst>
            <a:ext uri="{FF2B5EF4-FFF2-40B4-BE49-F238E27FC236}">
              <a16:creationId xmlns:a16="http://schemas.microsoft.com/office/drawing/2014/main" id="{00000000-0008-0000-0700-000057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8" name="Text Box 75">
          <a:extLst>
            <a:ext uri="{FF2B5EF4-FFF2-40B4-BE49-F238E27FC236}">
              <a16:creationId xmlns:a16="http://schemas.microsoft.com/office/drawing/2014/main" id="{00000000-0008-0000-0700-000058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49" name="Text Box 75">
          <a:extLst>
            <a:ext uri="{FF2B5EF4-FFF2-40B4-BE49-F238E27FC236}">
              <a16:creationId xmlns:a16="http://schemas.microsoft.com/office/drawing/2014/main" id="{00000000-0008-0000-0700-000059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0" name="Text Box 75">
          <a:extLst>
            <a:ext uri="{FF2B5EF4-FFF2-40B4-BE49-F238E27FC236}">
              <a16:creationId xmlns:a16="http://schemas.microsoft.com/office/drawing/2014/main" id="{00000000-0008-0000-0700-00005A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1" name="Text Box 75">
          <a:extLst>
            <a:ext uri="{FF2B5EF4-FFF2-40B4-BE49-F238E27FC236}">
              <a16:creationId xmlns:a16="http://schemas.microsoft.com/office/drawing/2014/main" id="{00000000-0008-0000-0700-00005B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2" name="Text Box 75">
          <a:extLst>
            <a:ext uri="{FF2B5EF4-FFF2-40B4-BE49-F238E27FC236}">
              <a16:creationId xmlns:a16="http://schemas.microsoft.com/office/drawing/2014/main" id="{00000000-0008-0000-0700-00005C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3" name="Text Box 75">
          <a:extLst>
            <a:ext uri="{FF2B5EF4-FFF2-40B4-BE49-F238E27FC236}">
              <a16:creationId xmlns:a16="http://schemas.microsoft.com/office/drawing/2014/main" id="{00000000-0008-0000-0700-00005D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4" name="Text Box 75">
          <a:extLst>
            <a:ext uri="{FF2B5EF4-FFF2-40B4-BE49-F238E27FC236}">
              <a16:creationId xmlns:a16="http://schemas.microsoft.com/office/drawing/2014/main" id="{00000000-0008-0000-0700-00005E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5" name="Text Box 75">
          <a:extLst>
            <a:ext uri="{FF2B5EF4-FFF2-40B4-BE49-F238E27FC236}">
              <a16:creationId xmlns:a16="http://schemas.microsoft.com/office/drawing/2014/main" id="{00000000-0008-0000-0700-00005F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6" name="Text Box 75">
          <a:extLst>
            <a:ext uri="{FF2B5EF4-FFF2-40B4-BE49-F238E27FC236}">
              <a16:creationId xmlns:a16="http://schemas.microsoft.com/office/drawing/2014/main" id="{00000000-0008-0000-0700-000060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7" name="Text Box 75">
          <a:extLst>
            <a:ext uri="{FF2B5EF4-FFF2-40B4-BE49-F238E27FC236}">
              <a16:creationId xmlns:a16="http://schemas.microsoft.com/office/drawing/2014/main" id="{00000000-0008-0000-0700-000061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8" name="Text Box 75">
          <a:extLst>
            <a:ext uri="{FF2B5EF4-FFF2-40B4-BE49-F238E27FC236}">
              <a16:creationId xmlns:a16="http://schemas.microsoft.com/office/drawing/2014/main" id="{00000000-0008-0000-0700-000062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59" name="Text Box 75">
          <a:extLst>
            <a:ext uri="{FF2B5EF4-FFF2-40B4-BE49-F238E27FC236}">
              <a16:creationId xmlns:a16="http://schemas.microsoft.com/office/drawing/2014/main" id="{00000000-0008-0000-0700-000063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0" name="Text Box 75">
          <a:extLst>
            <a:ext uri="{FF2B5EF4-FFF2-40B4-BE49-F238E27FC236}">
              <a16:creationId xmlns:a16="http://schemas.microsoft.com/office/drawing/2014/main" id="{00000000-0008-0000-0700-000064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1" name="Text Box 75">
          <a:extLst>
            <a:ext uri="{FF2B5EF4-FFF2-40B4-BE49-F238E27FC236}">
              <a16:creationId xmlns:a16="http://schemas.microsoft.com/office/drawing/2014/main" id="{00000000-0008-0000-0700-000065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2" name="Text Box 75">
          <a:extLst>
            <a:ext uri="{FF2B5EF4-FFF2-40B4-BE49-F238E27FC236}">
              <a16:creationId xmlns:a16="http://schemas.microsoft.com/office/drawing/2014/main" id="{00000000-0008-0000-0700-000066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3" name="Text Box 75">
          <a:extLst>
            <a:ext uri="{FF2B5EF4-FFF2-40B4-BE49-F238E27FC236}">
              <a16:creationId xmlns:a16="http://schemas.microsoft.com/office/drawing/2014/main" id="{00000000-0008-0000-0700-000067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4" name="Text Box 75">
          <a:extLst>
            <a:ext uri="{FF2B5EF4-FFF2-40B4-BE49-F238E27FC236}">
              <a16:creationId xmlns:a16="http://schemas.microsoft.com/office/drawing/2014/main" id="{00000000-0008-0000-0700-000068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5" name="Text Box 75">
          <a:extLst>
            <a:ext uri="{FF2B5EF4-FFF2-40B4-BE49-F238E27FC236}">
              <a16:creationId xmlns:a16="http://schemas.microsoft.com/office/drawing/2014/main" id="{00000000-0008-0000-0700-000069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6" name="Text Box 75">
          <a:extLst>
            <a:ext uri="{FF2B5EF4-FFF2-40B4-BE49-F238E27FC236}">
              <a16:creationId xmlns:a16="http://schemas.microsoft.com/office/drawing/2014/main" id="{00000000-0008-0000-0700-00006A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7" name="Text Box 75">
          <a:extLst>
            <a:ext uri="{FF2B5EF4-FFF2-40B4-BE49-F238E27FC236}">
              <a16:creationId xmlns:a16="http://schemas.microsoft.com/office/drawing/2014/main" id="{00000000-0008-0000-0700-00006B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8" name="Text Box 75">
          <a:extLst>
            <a:ext uri="{FF2B5EF4-FFF2-40B4-BE49-F238E27FC236}">
              <a16:creationId xmlns:a16="http://schemas.microsoft.com/office/drawing/2014/main" id="{00000000-0008-0000-0700-00006C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69" name="Text Box 75">
          <a:extLst>
            <a:ext uri="{FF2B5EF4-FFF2-40B4-BE49-F238E27FC236}">
              <a16:creationId xmlns:a16="http://schemas.microsoft.com/office/drawing/2014/main" id="{00000000-0008-0000-0700-00006D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0" name="Text Box 75">
          <a:extLst>
            <a:ext uri="{FF2B5EF4-FFF2-40B4-BE49-F238E27FC236}">
              <a16:creationId xmlns:a16="http://schemas.microsoft.com/office/drawing/2014/main" id="{00000000-0008-0000-0700-00006E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1" name="Text Box 75">
          <a:extLst>
            <a:ext uri="{FF2B5EF4-FFF2-40B4-BE49-F238E27FC236}">
              <a16:creationId xmlns:a16="http://schemas.microsoft.com/office/drawing/2014/main" id="{00000000-0008-0000-0700-00006F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2" name="Text Box 75">
          <a:extLst>
            <a:ext uri="{FF2B5EF4-FFF2-40B4-BE49-F238E27FC236}">
              <a16:creationId xmlns:a16="http://schemas.microsoft.com/office/drawing/2014/main" id="{00000000-0008-0000-0700-000070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3" name="Text Box 75">
          <a:extLst>
            <a:ext uri="{FF2B5EF4-FFF2-40B4-BE49-F238E27FC236}">
              <a16:creationId xmlns:a16="http://schemas.microsoft.com/office/drawing/2014/main" id="{00000000-0008-0000-0700-000071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4" name="Text Box 75">
          <a:extLst>
            <a:ext uri="{FF2B5EF4-FFF2-40B4-BE49-F238E27FC236}">
              <a16:creationId xmlns:a16="http://schemas.microsoft.com/office/drawing/2014/main" id="{00000000-0008-0000-0700-000072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5" name="Text Box 75">
          <a:extLst>
            <a:ext uri="{FF2B5EF4-FFF2-40B4-BE49-F238E27FC236}">
              <a16:creationId xmlns:a16="http://schemas.microsoft.com/office/drawing/2014/main" id="{00000000-0008-0000-0700-000073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6" name="Text Box 75">
          <a:extLst>
            <a:ext uri="{FF2B5EF4-FFF2-40B4-BE49-F238E27FC236}">
              <a16:creationId xmlns:a16="http://schemas.microsoft.com/office/drawing/2014/main" id="{00000000-0008-0000-0700-000074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7" name="Text Box 75">
          <a:extLst>
            <a:ext uri="{FF2B5EF4-FFF2-40B4-BE49-F238E27FC236}">
              <a16:creationId xmlns:a16="http://schemas.microsoft.com/office/drawing/2014/main" id="{00000000-0008-0000-0700-000075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8" name="Text Box 75">
          <a:extLst>
            <a:ext uri="{FF2B5EF4-FFF2-40B4-BE49-F238E27FC236}">
              <a16:creationId xmlns:a16="http://schemas.microsoft.com/office/drawing/2014/main" id="{00000000-0008-0000-0700-000076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79" name="Text Box 75">
          <a:extLst>
            <a:ext uri="{FF2B5EF4-FFF2-40B4-BE49-F238E27FC236}">
              <a16:creationId xmlns:a16="http://schemas.microsoft.com/office/drawing/2014/main" id="{00000000-0008-0000-0700-000077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80" name="Text Box 75">
          <a:extLst>
            <a:ext uri="{FF2B5EF4-FFF2-40B4-BE49-F238E27FC236}">
              <a16:creationId xmlns:a16="http://schemas.microsoft.com/office/drawing/2014/main" id="{00000000-0008-0000-0700-000078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81" name="Text Box 75">
          <a:extLst>
            <a:ext uri="{FF2B5EF4-FFF2-40B4-BE49-F238E27FC236}">
              <a16:creationId xmlns:a16="http://schemas.microsoft.com/office/drawing/2014/main" id="{00000000-0008-0000-0700-000079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82" name="Text Box 75">
          <a:extLst>
            <a:ext uri="{FF2B5EF4-FFF2-40B4-BE49-F238E27FC236}">
              <a16:creationId xmlns:a16="http://schemas.microsoft.com/office/drawing/2014/main" id="{00000000-0008-0000-0700-00007A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83" name="Text Box 75">
          <a:extLst>
            <a:ext uri="{FF2B5EF4-FFF2-40B4-BE49-F238E27FC236}">
              <a16:creationId xmlns:a16="http://schemas.microsoft.com/office/drawing/2014/main" id="{00000000-0008-0000-0700-00007B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84" name="Text Box 75">
          <a:extLst>
            <a:ext uri="{FF2B5EF4-FFF2-40B4-BE49-F238E27FC236}">
              <a16:creationId xmlns:a16="http://schemas.microsoft.com/office/drawing/2014/main" id="{00000000-0008-0000-0700-00007C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36</xdr:row>
      <xdr:rowOff>3295650</xdr:rowOff>
    </xdr:from>
    <xdr:ext cx="85725" cy="349867"/>
    <xdr:sp macro="" textlink="">
      <xdr:nvSpPr>
        <xdr:cNvPr id="2685" name="Text Box 75">
          <a:extLst>
            <a:ext uri="{FF2B5EF4-FFF2-40B4-BE49-F238E27FC236}">
              <a16:creationId xmlns:a16="http://schemas.microsoft.com/office/drawing/2014/main" id="{00000000-0008-0000-0700-00007D0A0000}"/>
            </a:ext>
          </a:extLst>
        </xdr:cNvPr>
        <xdr:cNvSpPr txBox="1">
          <a:spLocks noChangeArrowheads="1"/>
        </xdr:cNvSpPr>
      </xdr:nvSpPr>
      <xdr:spPr bwMode="auto">
        <a:xfrm>
          <a:off x="81936851" y="32160882"/>
          <a:ext cx="85725" cy="349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82" name="Text Box 75">
          <a:extLst>
            <a:ext uri="{FF2B5EF4-FFF2-40B4-BE49-F238E27FC236}">
              <a16:creationId xmlns:a16="http://schemas.microsoft.com/office/drawing/2014/main" id="{00000000-0008-0000-0700-0000DE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83" name="Text Box 75">
          <a:extLst>
            <a:ext uri="{FF2B5EF4-FFF2-40B4-BE49-F238E27FC236}">
              <a16:creationId xmlns:a16="http://schemas.microsoft.com/office/drawing/2014/main" id="{00000000-0008-0000-0700-0000DF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84" name="Text Box 75">
          <a:extLst>
            <a:ext uri="{FF2B5EF4-FFF2-40B4-BE49-F238E27FC236}">
              <a16:creationId xmlns:a16="http://schemas.microsoft.com/office/drawing/2014/main" id="{00000000-0008-0000-0700-0000E0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85" name="Text Box 75">
          <a:extLst>
            <a:ext uri="{FF2B5EF4-FFF2-40B4-BE49-F238E27FC236}">
              <a16:creationId xmlns:a16="http://schemas.microsoft.com/office/drawing/2014/main" id="{00000000-0008-0000-0700-0000E1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86" name="Text Box 75">
          <a:extLst>
            <a:ext uri="{FF2B5EF4-FFF2-40B4-BE49-F238E27FC236}">
              <a16:creationId xmlns:a16="http://schemas.microsoft.com/office/drawing/2014/main" id="{00000000-0008-0000-0700-0000E2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87" name="Text Box 75">
          <a:extLst>
            <a:ext uri="{FF2B5EF4-FFF2-40B4-BE49-F238E27FC236}">
              <a16:creationId xmlns:a16="http://schemas.microsoft.com/office/drawing/2014/main" id="{00000000-0008-0000-0700-0000E3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88" name="Text Box 75">
          <a:extLst>
            <a:ext uri="{FF2B5EF4-FFF2-40B4-BE49-F238E27FC236}">
              <a16:creationId xmlns:a16="http://schemas.microsoft.com/office/drawing/2014/main" id="{00000000-0008-0000-0700-0000E4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89" name="Text Box 75">
          <a:extLst>
            <a:ext uri="{FF2B5EF4-FFF2-40B4-BE49-F238E27FC236}">
              <a16:creationId xmlns:a16="http://schemas.microsoft.com/office/drawing/2014/main" id="{00000000-0008-0000-0700-0000E5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0" name="Text Box 75">
          <a:extLst>
            <a:ext uri="{FF2B5EF4-FFF2-40B4-BE49-F238E27FC236}">
              <a16:creationId xmlns:a16="http://schemas.microsoft.com/office/drawing/2014/main" id="{00000000-0008-0000-0700-0000E6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1" name="Text Box 75">
          <a:extLst>
            <a:ext uri="{FF2B5EF4-FFF2-40B4-BE49-F238E27FC236}">
              <a16:creationId xmlns:a16="http://schemas.microsoft.com/office/drawing/2014/main" id="{00000000-0008-0000-0700-0000E7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2" name="Text Box 75">
          <a:extLst>
            <a:ext uri="{FF2B5EF4-FFF2-40B4-BE49-F238E27FC236}">
              <a16:creationId xmlns:a16="http://schemas.microsoft.com/office/drawing/2014/main" id="{00000000-0008-0000-0700-0000E8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3" name="Text Box 75">
          <a:extLst>
            <a:ext uri="{FF2B5EF4-FFF2-40B4-BE49-F238E27FC236}">
              <a16:creationId xmlns:a16="http://schemas.microsoft.com/office/drawing/2014/main" id="{00000000-0008-0000-0700-0000E9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4" name="Text Box 75">
          <a:extLst>
            <a:ext uri="{FF2B5EF4-FFF2-40B4-BE49-F238E27FC236}">
              <a16:creationId xmlns:a16="http://schemas.microsoft.com/office/drawing/2014/main" id="{00000000-0008-0000-0700-0000EA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5" name="Text Box 75">
          <a:extLst>
            <a:ext uri="{FF2B5EF4-FFF2-40B4-BE49-F238E27FC236}">
              <a16:creationId xmlns:a16="http://schemas.microsoft.com/office/drawing/2014/main" id="{00000000-0008-0000-0700-0000EB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6" name="Text Box 75">
          <a:extLst>
            <a:ext uri="{FF2B5EF4-FFF2-40B4-BE49-F238E27FC236}">
              <a16:creationId xmlns:a16="http://schemas.microsoft.com/office/drawing/2014/main" id="{00000000-0008-0000-0700-0000EC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7" name="Text Box 75">
          <a:extLst>
            <a:ext uri="{FF2B5EF4-FFF2-40B4-BE49-F238E27FC236}">
              <a16:creationId xmlns:a16="http://schemas.microsoft.com/office/drawing/2014/main" id="{00000000-0008-0000-0700-0000ED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8" name="Text Box 75">
          <a:extLst>
            <a:ext uri="{FF2B5EF4-FFF2-40B4-BE49-F238E27FC236}">
              <a16:creationId xmlns:a16="http://schemas.microsoft.com/office/drawing/2014/main" id="{00000000-0008-0000-0700-0000EE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799" name="Text Box 75">
          <a:extLst>
            <a:ext uri="{FF2B5EF4-FFF2-40B4-BE49-F238E27FC236}">
              <a16:creationId xmlns:a16="http://schemas.microsoft.com/office/drawing/2014/main" id="{00000000-0008-0000-0700-0000EF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0" name="Text Box 75">
          <a:extLst>
            <a:ext uri="{FF2B5EF4-FFF2-40B4-BE49-F238E27FC236}">
              <a16:creationId xmlns:a16="http://schemas.microsoft.com/office/drawing/2014/main" id="{00000000-0008-0000-0700-0000F0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1" name="Text Box 75">
          <a:extLst>
            <a:ext uri="{FF2B5EF4-FFF2-40B4-BE49-F238E27FC236}">
              <a16:creationId xmlns:a16="http://schemas.microsoft.com/office/drawing/2014/main" id="{00000000-0008-0000-0700-0000F1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2" name="Text Box 75">
          <a:extLst>
            <a:ext uri="{FF2B5EF4-FFF2-40B4-BE49-F238E27FC236}">
              <a16:creationId xmlns:a16="http://schemas.microsoft.com/office/drawing/2014/main" id="{00000000-0008-0000-0700-0000F2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3" name="Text Box 75">
          <a:extLst>
            <a:ext uri="{FF2B5EF4-FFF2-40B4-BE49-F238E27FC236}">
              <a16:creationId xmlns:a16="http://schemas.microsoft.com/office/drawing/2014/main" id="{00000000-0008-0000-0700-0000F3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4" name="Text Box 75">
          <a:extLst>
            <a:ext uri="{FF2B5EF4-FFF2-40B4-BE49-F238E27FC236}">
              <a16:creationId xmlns:a16="http://schemas.microsoft.com/office/drawing/2014/main" id="{00000000-0008-0000-0700-0000F4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5" name="Text Box 75">
          <a:extLst>
            <a:ext uri="{FF2B5EF4-FFF2-40B4-BE49-F238E27FC236}">
              <a16:creationId xmlns:a16="http://schemas.microsoft.com/office/drawing/2014/main" id="{00000000-0008-0000-0700-0000F5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6" name="Text Box 75">
          <a:extLst>
            <a:ext uri="{FF2B5EF4-FFF2-40B4-BE49-F238E27FC236}">
              <a16:creationId xmlns:a16="http://schemas.microsoft.com/office/drawing/2014/main" id="{00000000-0008-0000-0700-0000F6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7" name="Text Box 75">
          <a:extLst>
            <a:ext uri="{FF2B5EF4-FFF2-40B4-BE49-F238E27FC236}">
              <a16:creationId xmlns:a16="http://schemas.microsoft.com/office/drawing/2014/main" id="{00000000-0008-0000-0700-0000F7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8" name="Text Box 75">
          <a:extLst>
            <a:ext uri="{FF2B5EF4-FFF2-40B4-BE49-F238E27FC236}">
              <a16:creationId xmlns:a16="http://schemas.microsoft.com/office/drawing/2014/main" id="{00000000-0008-0000-0700-0000F8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09" name="Text Box 75">
          <a:extLst>
            <a:ext uri="{FF2B5EF4-FFF2-40B4-BE49-F238E27FC236}">
              <a16:creationId xmlns:a16="http://schemas.microsoft.com/office/drawing/2014/main" id="{00000000-0008-0000-0700-0000F9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0" name="Text Box 75">
          <a:extLst>
            <a:ext uri="{FF2B5EF4-FFF2-40B4-BE49-F238E27FC236}">
              <a16:creationId xmlns:a16="http://schemas.microsoft.com/office/drawing/2014/main" id="{00000000-0008-0000-0700-0000FA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1" name="Text Box 75">
          <a:extLst>
            <a:ext uri="{FF2B5EF4-FFF2-40B4-BE49-F238E27FC236}">
              <a16:creationId xmlns:a16="http://schemas.microsoft.com/office/drawing/2014/main" id="{00000000-0008-0000-0700-0000FB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2" name="Text Box 75">
          <a:extLst>
            <a:ext uri="{FF2B5EF4-FFF2-40B4-BE49-F238E27FC236}">
              <a16:creationId xmlns:a16="http://schemas.microsoft.com/office/drawing/2014/main" id="{00000000-0008-0000-0700-0000FC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3" name="Text Box 75">
          <a:extLst>
            <a:ext uri="{FF2B5EF4-FFF2-40B4-BE49-F238E27FC236}">
              <a16:creationId xmlns:a16="http://schemas.microsoft.com/office/drawing/2014/main" id="{00000000-0008-0000-0700-0000FD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4" name="Text Box 75">
          <a:extLst>
            <a:ext uri="{FF2B5EF4-FFF2-40B4-BE49-F238E27FC236}">
              <a16:creationId xmlns:a16="http://schemas.microsoft.com/office/drawing/2014/main" id="{00000000-0008-0000-0700-0000FE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5" name="Text Box 75">
          <a:extLst>
            <a:ext uri="{FF2B5EF4-FFF2-40B4-BE49-F238E27FC236}">
              <a16:creationId xmlns:a16="http://schemas.microsoft.com/office/drawing/2014/main" id="{00000000-0008-0000-0700-0000FF0A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6" name="Text Box 75">
          <a:extLst>
            <a:ext uri="{FF2B5EF4-FFF2-40B4-BE49-F238E27FC236}">
              <a16:creationId xmlns:a16="http://schemas.microsoft.com/office/drawing/2014/main" id="{00000000-0008-0000-0700-000000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7" name="Text Box 75">
          <a:extLst>
            <a:ext uri="{FF2B5EF4-FFF2-40B4-BE49-F238E27FC236}">
              <a16:creationId xmlns:a16="http://schemas.microsoft.com/office/drawing/2014/main" id="{00000000-0008-0000-0700-000001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8" name="Text Box 75">
          <a:extLst>
            <a:ext uri="{FF2B5EF4-FFF2-40B4-BE49-F238E27FC236}">
              <a16:creationId xmlns:a16="http://schemas.microsoft.com/office/drawing/2014/main" id="{00000000-0008-0000-0700-000002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19" name="Text Box 75">
          <a:extLst>
            <a:ext uri="{FF2B5EF4-FFF2-40B4-BE49-F238E27FC236}">
              <a16:creationId xmlns:a16="http://schemas.microsoft.com/office/drawing/2014/main" id="{00000000-0008-0000-0700-000003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0" name="Text Box 75">
          <a:extLst>
            <a:ext uri="{FF2B5EF4-FFF2-40B4-BE49-F238E27FC236}">
              <a16:creationId xmlns:a16="http://schemas.microsoft.com/office/drawing/2014/main" id="{00000000-0008-0000-0700-000004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1" name="Text Box 75">
          <a:extLst>
            <a:ext uri="{FF2B5EF4-FFF2-40B4-BE49-F238E27FC236}">
              <a16:creationId xmlns:a16="http://schemas.microsoft.com/office/drawing/2014/main" id="{00000000-0008-0000-0700-000005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2" name="Text Box 75">
          <a:extLst>
            <a:ext uri="{FF2B5EF4-FFF2-40B4-BE49-F238E27FC236}">
              <a16:creationId xmlns:a16="http://schemas.microsoft.com/office/drawing/2014/main" id="{00000000-0008-0000-0700-000006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3" name="Text Box 75">
          <a:extLst>
            <a:ext uri="{FF2B5EF4-FFF2-40B4-BE49-F238E27FC236}">
              <a16:creationId xmlns:a16="http://schemas.microsoft.com/office/drawing/2014/main" id="{00000000-0008-0000-0700-000007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4" name="Text Box 75">
          <a:extLst>
            <a:ext uri="{FF2B5EF4-FFF2-40B4-BE49-F238E27FC236}">
              <a16:creationId xmlns:a16="http://schemas.microsoft.com/office/drawing/2014/main" id="{00000000-0008-0000-0700-000008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5" name="Text Box 75">
          <a:extLst>
            <a:ext uri="{FF2B5EF4-FFF2-40B4-BE49-F238E27FC236}">
              <a16:creationId xmlns:a16="http://schemas.microsoft.com/office/drawing/2014/main" id="{00000000-0008-0000-0700-000009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6" name="Text Box 75">
          <a:extLst>
            <a:ext uri="{FF2B5EF4-FFF2-40B4-BE49-F238E27FC236}">
              <a16:creationId xmlns:a16="http://schemas.microsoft.com/office/drawing/2014/main" id="{00000000-0008-0000-0700-00000A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7" name="Text Box 75">
          <a:extLst>
            <a:ext uri="{FF2B5EF4-FFF2-40B4-BE49-F238E27FC236}">
              <a16:creationId xmlns:a16="http://schemas.microsoft.com/office/drawing/2014/main" id="{00000000-0008-0000-0700-00000B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8" name="Text Box 75">
          <a:extLst>
            <a:ext uri="{FF2B5EF4-FFF2-40B4-BE49-F238E27FC236}">
              <a16:creationId xmlns:a16="http://schemas.microsoft.com/office/drawing/2014/main" id="{00000000-0008-0000-0700-00000C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29" name="Text Box 75">
          <a:extLst>
            <a:ext uri="{FF2B5EF4-FFF2-40B4-BE49-F238E27FC236}">
              <a16:creationId xmlns:a16="http://schemas.microsoft.com/office/drawing/2014/main" id="{00000000-0008-0000-0700-00000D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0" name="Text Box 75">
          <a:extLst>
            <a:ext uri="{FF2B5EF4-FFF2-40B4-BE49-F238E27FC236}">
              <a16:creationId xmlns:a16="http://schemas.microsoft.com/office/drawing/2014/main" id="{00000000-0008-0000-0700-00000E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1" name="Text Box 75">
          <a:extLst>
            <a:ext uri="{FF2B5EF4-FFF2-40B4-BE49-F238E27FC236}">
              <a16:creationId xmlns:a16="http://schemas.microsoft.com/office/drawing/2014/main" id="{00000000-0008-0000-0700-00000F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2" name="Text Box 75">
          <a:extLst>
            <a:ext uri="{FF2B5EF4-FFF2-40B4-BE49-F238E27FC236}">
              <a16:creationId xmlns:a16="http://schemas.microsoft.com/office/drawing/2014/main" id="{00000000-0008-0000-0700-000010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3" name="Text Box 75">
          <a:extLst>
            <a:ext uri="{FF2B5EF4-FFF2-40B4-BE49-F238E27FC236}">
              <a16:creationId xmlns:a16="http://schemas.microsoft.com/office/drawing/2014/main" id="{00000000-0008-0000-0700-000011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4" name="Text Box 75">
          <a:extLst>
            <a:ext uri="{FF2B5EF4-FFF2-40B4-BE49-F238E27FC236}">
              <a16:creationId xmlns:a16="http://schemas.microsoft.com/office/drawing/2014/main" id="{00000000-0008-0000-0700-000012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5" name="Text Box 75">
          <a:extLst>
            <a:ext uri="{FF2B5EF4-FFF2-40B4-BE49-F238E27FC236}">
              <a16:creationId xmlns:a16="http://schemas.microsoft.com/office/drawing/2014/main" id="{00000000-0008-0000-0700-000013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6" name="Text Box 75">
          <a:extLst>
            <a:ext uri="{FF2B5EF4-FFF2-40B4-BE49-F238E27FC236}">
              <a16:creationId xmlns:a16="http://schemas.microsoft.com/office/drawing/2014/main" id="{00000000-0008-0000-0700-000014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7" name="Text Box 75">
          <a:extLst>
            <a:ext uri="{FF2B5EF4-FFF2-40B4-BE49-F238E27FC236}">
              <a16:creationId xmlns:a16="http://schemas.microsoft.com/office/drawing/2014/main" id="{00000000-0008-0000-0700-000015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8" name="Text Box 75">
          <a:extLst>
            <a:ext uri="{FF2B5EF4-FFF2-40B4-BE49-F238E27FC236}">
              <a16:creationId xmlns:a16="http://schemas.microsoft.com/office/drawing/2014/main" id="{00000000-0008-0000-0700-000016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39" name="Text Box 75">
          <a:extLst>
            <a:ext uri="{FF2B5EF4-FFF2-40B4-BE49-F238E27FC236}">
              <a16:creationId xmlns:a16="http://schemas.microsoft.com/office/drawing/2014/main" id="{00000000-0008-0000-0700-000017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0" name="Text Box 75">
          <a:extLst>
            <a:ext uri="{FF2B5EF4-FFF2-40B4-BE49-F238E27FC236}">
              <a16:creationId xmlns:a16="http://schemas.microsoft.com/office/drawing/2014/main" id="{00000000-0008-0000-0700-000018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1" name="Text Box 75">
          <a:extLst>
            <a:ext uri="{FF2B5EF4-FFF2-40B4-BE49-F238E27FC236}">
              <a16:creationId xmlns:a16="http://schemas.microsoft.com/office/drawing/2014/main" id="{00000000-0008-0000-0700-000019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2" name="Text Box 75">
          <a:extLst>
            <a:ext uri="{FF2B5EF4-FFF2-40B4-BE49-F238E27FC236}">
              <a16:creationId xmlns:a16="http://schemas.microsoft.com/office/drawing/2014/main" id="{00000000-0008-0000-0700-00001A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3" name="Text Box 75">
          <a:extLst>
            <a:ext uri="{FF2B5EF4-FFF2-40B4-BE49-F238E27FC236}">
              <a16:creationId xmlns:a16="http://schemas.microsoft.com/office/drawing/2014/main" id="{00000000-0008-0000-0700-00001B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4" name="Text Box 75">
          <a:extLst>
            <a:ext uri="{FF2B5EF4-FFF2-40B4-BE49-F238E27FC236}">
              <a16:creationId xmlns:a16="http://schemas.microsoft.com/office/drawing/2014/main" id="{00000000-0008-0000-0700-00001C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5" name="Text Box 75">
          <a:extLst>
            <a:ext uri="{FF2B5EF4-FFF2-40B4-BE49-F238E27FC236}">
              <a16:creationId xmlns:a16="http://schemas.microsoft.com/office/drawing/2014/main" id="{00000000-0008-0000-0700-00001D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6" name="Text Box 75">
          <a:extLst>
            <a:ext uri="{FF2B5EF4-FFF2-40B4-BE49-F238E27FC236}">
              <a16:creationId xmlns:a16="http://schemas.microsoft.com/office/drawing/2014/main" id="{00000000-0008-0000-0700-00001E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7" name="Text Box 75">
          <a:extLst>
            <a:ext uri="{FF2B5EF4-FFF2-40B4-BE49-F238E27FC236}">
              <a16:creationId xmlns:a16="http://schemas.microsoft.com/office/drawing/2014/main" id="{00000000-0008-0000-0700-00001F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8" name="Text Box 75">
          <a:extLst>
            <a:ext uri="{FF2B5EF4-FFF2-40B4-BE49-F238E27FC236}">
              <a16:creationId xmlns:a16="http://schemas.microsoft.com/office/drawing/2014/main" id="{00000000-0008-0000-0700-000020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49" name="Text Box 75">
          <a:extLst>
            <a:ext uri="{FF2B5EF4-FFF2-40B4-BE49-F238E27FC236}">
              <a16:creationId xmlns:a16="http://schemas.microsoft.com/office/drawing/2014/main" id="{00000000-0008-0000-0700-000021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0" name="Text Box 75">
          <a:extLst>
            <a:ext uri="{FF2B5EF4-FFF2-40B4-BE49-F238E27FC236}">
              <a16:creationId xmlns:a16="http://schemas.microsoft.com/office/drawing/2014/main" id="{00000000-0008-0000-0700-000022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1" name="Text Box 75">
          <a:extLst>
            <a:ext uri="{FF2B5EF4-FFF2-40B4-BE49-F238E27FC236}">
              <a16:creationId xmlns:a16="http://schemas.microsoft.com/office/drawing/2014/main" id="{00000000-0008-0000-0700-000023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2" name="Text Box 75">
          <a:extLst>
            <a:ext uri="{FF2B5EF4-FFF2-40B4-BE49-F238E27FC236}">
              <a16:creationId xmlns:a16="http://schemas.microsoft.com/office/drawing/2014/main" id="{00000000-0008-0000-0700-000024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3" name="Text Box 75">
          <a:extLst>
            <a:ext uri="{FF2B5EF4-FFF2-40B4-BE49-F238E27FC236}">
              <a16:creationId xmlns:a16="http://schemas.microsoft.com/office/drawing/2014/main" id="{00000000-0008-0000-0700-000025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4" name="Text Box 75">
          <a:extLst>
            <a:ext uri="{FF2B5EF4-FFF2-40B4-BE49-F238E27FC236}">
              <a16:creationId xmlns:a16="http://schemas.microsoft.com/office/drawing/2014/main" id="{00000000-0008-0000-0700-000026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5" name="Text Box 75">
          <a:extLst>
            <a:ext uri="{FF2B5EF4-FFF2-40B4-BE49-F238E27FC236}">
              <a16:creationId xmlns:a16="http://schemas.microsoft.com/office/drawing/2014/main" id="{00000000-0008-0000-0700-000027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6" name="Text Box 75">
          <a:extLst>
            <a:ext uri="{FF2B5EF4-FFF2-40B4-BE49-F238E27FC236}">
              <a16:creationId xmlns:a16="http://schemas.microsoft.com/office/drawing/2014/main" id="{00000000-0008-0000-0700-000028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7" name="Text Box 75">
          <a:extLst>
            <a:ext uri="{FF2B5EF4-FFF2-40B4-BE49-F238E27FC236}">
              <a16:creationId xmlns:a16="http://schemas.microsoft.com/office/drawing/2014/main" id="{00000000-0008-0000-0700-000029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8" name="Text Box 75">
          <a:extLst>
            <a:ext uri="{FF2B5EF4-FFF2-40B4-BE49-F238E27FC236}">
              <a16:creationId xmlns:a16="http://schemas.microsoft.com/office/drawing/2014/main" id="{00000000-0008-0000-0700-00002A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59" name="Text Box 75">
          <a:extLst>
            <a:ext uri="{FF2B5EF4-FFF2-40B4-BE49-F238E27FC236}">
              <a16:creationId xmlns:a16="http://schemas.microsoft.com/office/drawing/2014/main" id="{00000000-0008-0000-0700-00002B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0" name="Text Box 75">
          <a:extLst>
            <a:ext uri="{FF2B5EF4-FFF2-40B4-BE49-F238E27FC236}">
              <a16:creationId xmlns:a16="http://schemas.microsoft.com/office/drawing/2014/main" id="{00000000-0008-0000-0700-00002C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1" name="Text Box 75">
          <a:extLst>
            <a:ext uri="{FF2B5EF4-FFF2-40B4-BE49-F238E27FC236}">
              <a16:creationId xmlns:a16="http://schemas.microsoft.com/office/drawing/2014/main" id="{00000000-0008-0000-0700-00002D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2" name="Text Box 75">
          <a:extLst>
            <a:ext uri="{FF2B5EF4-FFF2-40B4-BE49-F238E27FC236}">
              <a16:creationId xmlns:a16="http://schemas.microsoft.com/office/drawing/2014/main" id="{00000000-0008-0000-0700-00002E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3" name="Text Box 75">
          <a:extLst>
            <a:ext uri="{FF2B5EF4-FFF2-40B4-BE49-F238E27FC236}">
              <a16:creationId xmlns:a16="http://schemas.microsoft.com/office/drawing/2014/main" id="{00000000-0008-0000-0700-00002F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4" name="Text Box 75">
          <a:extLst>
            <a:ext uri="{FF2B5EF4-FFF2-40B4-BE49-F238E27FC236}">
              <a16:creationId xmlns:a16="http://schemas.microsoft.com/office/drawing/2014/main" id="{00000000-0008-0000-0700-000030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5" name="Text Box 75">
          <a:extLst>
            <a:ext uri="{FF2B5EF4-FFF2-40B4-BE49-F238E27FC236}">
              <a16:creationId xmlns:a16="http://schemas.microsoft.com/office/drawing/2014/main" id="{00000000-0008-0000-0700-000031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6" name="Text Box 75">
          <a:extLst>
            <a:ext uri="{FF2B5EF4-FFF2-40B4-BE49-F238E27FC236}">
              <a16:creationId xmlns:a16="http://schemas.microsoft.com/office/drawing/2014/main" id="{00000000-0008-0000-0700-000032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7" name="Text Box 75">
          <a:extLst>
            <a:ext uri="{FF2B5EF4-FFF2-40B4-BE49-F238E27FC236}">
              <a16:creationId xmlns:a16="http://schemas.microsoft.com/office/drawing/2014/main" id="{00000000-0008-0000-0700-000033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8" name="Text Box 75">
          <a:extLst>
            <a:ext uri="{FF2B5EF4-FFF2-40B4-BE49-F238E27FC236}">
              <a16:creationId xmlns:a16="http://schemas.microsoft.com/office/drawing/2014/main" id="{00000000-0008-0000-0700-000034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69" name="Text Box 75">
          <a:extLst>
            <a:ext uri="{FF2B5EF4-FFF2-40B4-BE49-F238E27FC236}">
              <a16:creationId xmlns:a16="http://schemas.microsoft.com/office/drawing/2014/main" id="{00000000-0008-0000-0700-000035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0" name="Text Box 75">
          <a:extLst>
            <a:ext uri="{FF2B5EF4-FFF2-40B4-BE49-F238E27FC236}">
              <a16:creationId xmlns:a16="http://schemas.microsoft.com/office/drawing/2014/main" id="{00000000-0008-0000-0700-000036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1" name="Text Box 75">
          <a:extLst>
            <a:ext uri="{FF2B5EF4-FFF2-40B4-BE49-F238E27FC236}">
              <a16:creationId xmlns:a16="http://schemas.microsoft.com/office/drawing/2014/main" id="{00000000-0008-0000-0700-000037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2" name="Text Box 75">
          <a:extLst>
            <a:ext uri="{FF2B5EF4-FFF2-40B4-BE49-F238E27FC236}">
              <a16:creationId xmlns:a16="http://schemas.microsoft.com/office/drawing/2014/main" id="{00000000-0008-0000-0700-000038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3" name="Text Box 75">
          <a:extLst>
            <a:ext uri="{FF2B5EF4-FFF2-40B4-BE49-F238E27FC236}">
              <a16:creationId xmlns:a16="http://schemas.microsoft.com/office/drawing/2014/main" id="{00000000-0008-0000-0700-000039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4" name="Text Box 75">
          <a:extLst>
            <a:ext uri="{FF2B5EF4-FFF2-40B4-BE49-F238E27FC236}">
              <a16:creationId xmlns:a16="http://schemas.microsoft.com/office/drawing/2014/main" id="{00000000-0008-0000-0700-00003A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5" name="Text Box 75">
          <a:extLst>
            <a:ext uri="{FF2B5EF4-FFF2-40B4-BE49-F238E27FC236}">
              <a16:creationId xmlns:a16="http://schemas.microsoft.com/office/drawing/2014/main" id="{00000000-0008-0000-0700-00003B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6" name="Text Box 75">
          <a:extLst>
            <a:ext uri="{FF2B5EF4-FFF2-40B4-BE49-F238E27FC236}">
              <a16:creationId xmlns:a16="http://schemas.microsoft.com/office/drawing/2014/main" id="{00000000-0008-0000-0700-00003C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7" name="Text Box 75">
          <a:extLst>
            <a:ext uri="{FF2B5EF4-FFF2-40B4-BE49-F238E27FC236}">
              <a16:creationId xmlns:a16="http://schemas.microsoft.com/office/drawing/2014/main" id="{00000000-0008-0000-0700-00003D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8" name="Text Box 75">
          <a:extLst>
            <a:ext uri="{FF2B5EF4-FFF2-40B4-BE49-F238E27FC236}">
              <a16:creationId xmlns:a16="http://schemas.microsoft.com/office/drawing/2014/main" id="{00000000-0008-0000-0700-00003E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79" name="Text Box 75">
          <a:extLst>
            <a:ext uri="{FF2B5EF4-FFF2-40B4-BE49-F238E27FC236}">
              <a16:creationId xmlns:a16="http://schemas.microsoft.com/office/drawing/2014/main" id="{00000000-0008-0000-0700-00003F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0" name="Text Box 75">
          <a:extLst>
            <a:ext uri="{FF2B5EF4-FFF2-40B4-BE49-F238E27FC236}">
              <a16:creationId xmlns:a16="http://schemas.microsoft.com/office/drawing/2014/main" id="{00000000-0008-0000-0700-000040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1" name="Text Box 75">
          <a:extLst>
            <a:ext uri="{FF2B5EF4-FFF2-40B4-BE49-F238E27FC236}">
              <a16:creationId xmlns:a16="http://schemas.microsoft.com/office/drawing/2014/main" id="{00000000-0008-0000-0700-000041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2" name="Text Box 75">
          <a:extLst>
            <a:ext uri="{FF2B5EF4-FFF2-40B4-BE49-F238E27FC236}">
              <a16:creationId xmlns:a16="http://schemas.microsoft.com/office/drawing/2014/main" id="{00000000-0008-0000-0700-000042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3" name="Text Box 75">
          <a:extLst>
            <a:ext uri="{FF2B5EF4-FFF2-40B4-BE49-F238E27FC236}">
              <a16:creationId xmlns:a16="http://schemas.microsoft.com/office/drawing/2014/main" id="{00000000-0008-0000-0700-000043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4" name="Text Box 75">
          <a:extLst>
            <a:ext uri="{FF2B5EF4-FFF2-40B4-BE49-F238E27FC236}">
              <a16:creationId xmlns:a16="http://schemas.microsoft.com/office/drawing/2014/main" id="{00000000-0008-0000-0700-000044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5" name="Text Box 75">
          <a:extLst>
            <a:ext uri="{FF2B5EF4-FFF2-40B4-BE49-F238E27FC236}">
              <a16:creationId xmlns:a16="http://schemas.microsoft.com/office/drawing/2014/main" id="{00000000-0008-0000-0700-000045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6" name="Text Box 75">
          <a:extLst>
            <a:ext uri="{FF2B5EF4-FFF2-40B4-BE49-F238E27FC236}">
              <a16:creationId xmlns:a16="http://schemas.microsoft.com/office/drawing/2014/main" id="{00000000-0008-0000-0700-000046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7" name="Text Box 75">
          <a:extLst>
            <a:ext uri="{FF2B5EF4-FFF2-40B4-BE49-F238E27FC236}">
              <a16:creationId xmlns:a16="http://schemas.microsoft.com/office/drawing/2014/main" id="{00000000-0008-0000-0700-000047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8" name="Text Box 75">
          <a:extLst>
            <a:ext uri="{FF2B5EF4-FFF2-40B4-BE49-F238E27FC236}">
              <a16:creationId xmlns:a16="http://schemas.microsoft.com/office/drawing/2014/main" id="{00000000-0008-0000-0700-000048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89" name="Text Box 75">
          <a:extLst>
            <a:ext uri="{FF2B5EF4-FFF2-40B4-BE49-F238E27FC236}">
              <a16:creationId xmlns:a16="http://schemas.microsoft.com/office/drawing/2014/main" id="{00000000-0008-0000-0700-000049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0" name="Text Box 75">
          <a:extLst>
            <a:ext uri="{FF2B5EF4-FFF2-40B4-BE49-F238E27FC236}">
              <a16:creationId xmlns:a16="http://schemas.microsoft.com/office/drawing/2014/main" id="{00000000-0008-0000-0700-00004A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1" name="Text Box 75">
          <a:extLst>
            <a:ext uri="{FF2B5EF4-FFF2-40B4-BE49-F238E27FC236}">
              <a16:creationId xmlns:a16="http://schemas.microsoft.com/office/drawing/2014/main" id="{00000000-0008-0000-0700-00004B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2" name="Text Box 75">
          <a:extLst>
            <a:ext uri="{FF2B5EF4-FFF2-40B4-BE49-F238E27FC236}">
              <a16:creationId xmlns:a16="http://schemas.microsoft.com/office/drawing/2014/main" id="{00000000-0008-0000-0700-00004C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3" name="Text Box 75">
          <a:extLst>
            <a:ext uri="{FF2B5EF4-FFF2-40B4-BE49-F238E27FC236}">
              <a16:creationId xmlns:a16="http://schemas.microsoft.com/office/drawing/2014/main" id="{00000000-0008-0000-0700-00004D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4" name="Text Box 75">
          <a:extLst>
            <a:ext uri="{FF2B5EF4-FFF2-40B4-BE49-F238E27FC236}">
              <a16:creationId xmlns:a16="http://schemas.microsoft.com/office/drawing/2014/main" id="{00000000-0008-0000-0700-00004E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5" name="Text Box 75">
          <a:extLst>
            <a:ext uri="{FF2B5EF4-FFF2-40B4-BE49-F238E27FC236}">
              <a16:creationId xmlns:a16="http://schemas.microsoft.com/office/drawing/2014/main" id="{00000000-0008-0000-0700-00004F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6" name="Text Box 75">
          <a:extLst>
            <a:ext uri="{FF2B5EF4-FFF2-40B4-BE49-F238E27FC236}">
              <a16:creationId xmlns:a16="http://schemas.microsoft.com/office/drawing/2014/main" id="{00000000-0008-0000-0700-000050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7" name="Text Box 75">
          <a:extLst>
            <a:ext uri="{FF2B5EF4-FFF2-40B4-BE49-F238E27FC236}">
              <a16:creationId xmlns:a16="http://schemas.microsoft.com/office/drawing/2014/main" id="{00000000-0008-0000-0700-000051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8" name="Text Box 75">
          <a:extLst>
            <a:ext uri="{FF2B5EF4-FFF2-40B4-BE49-F238E27FC236}">
              <a16:creationId xmlns:a16="http://schemas.microsoft.com/office/drawing/2014/main" id="{00000000-0008-0000-0700-000052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899" name="Text Box 75">
          <a:extLst>
            <a:ext uri="{FF2B5EF4-FFF2-40B4-BE49-F238E27FC236}">
              <a16:creationId xmlns:a16="http://schemas.microsoft.com/office/drawing/2014/main" id="{00000000-0008-0000-0700-000053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0" name="Text Box 75">
          <a:extLst>
            <a:ext uri="{FF2B5EF4-FFF2-40B4-BE49-F238E27FC236}">
              <a16:creationId xmlns:a16="http://schemas.microsoft.com/office/drawing/2014/main" id="{00000000-0008-0000-0700-000054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1" name="Text Box 75">
          <a:extLst>
            <a:ext uri="{FF2B5EF4-FFF2-40B4-BE49-F238E27FC236}">
              <a16:creationId xmlns:a16="http://schemas.microsoft.com/office/drawing/2014/main" id="{00000000-0008-0000-0700-000055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2" name="Text Box 75">
          <a:extLst>
            <a:ext uri="{FF2B5EF4-FFF2-40B4-BE49-F238E27FC236}">
              <a16:creationId xmlns:a16="http://schemas.microsoft.com/office/drawing/2014/main" id="{00000000-0008-0000-0700-000056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3" name="Text Box 75">
          <a:extLst>
            <a:ext uri="{FF2B5EF4-FFF2-40B4-BE49-F238E27FC236}">
              <a16:creationId xmlns:a16="http://schemas.microsoft.com/office/drawing/2014/main" id="{00000000-0008-0000-0700-000057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4" name="Text Box 75">
          <a:extLst>
            <a:ext uri="{FF2B5EF4-FFF2-40B4-BE49-F238E27FC236}">
              <a16:creationId xmlns:a16="http://schemas.microsoft.com/office/drawing/2014/main" id="{00000000-0008-0000-0700-000058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5" name="Text Box 75">
          <a:extLst>
            <a:ext uri="{FF2B5EF4-FFF2-40B4-BE49-F238E27FC236}">
              <a16:creationId xmlns:a16="http://schemas.microsoft.com/office/drawing/2014/main" id="{00000000-0008-0000-0700-000059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6" name="Text Box 75">
          <a:extLst>
            <a:ext uri="{FF2B5EF4-FFF2-40B4-BE49-F238E27FC236}">
              <a16:creationId xmlns:a16="http://schemas.microsoft.com/office/drawing/2014/main" id="{00000000-0008-0000-0700-00005A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7" name="Text Box 75">
          <a:extLst>
            <a:ext uri="{FF2B5EF4-FFF2-40B4-BE49-F238E27FC236}">
              <a16:creationId xmlns:a16="http://schemas.microsoft.com/office/drawing/2014/main" id="{00000000-0008-0000-0700-00005B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8" name="Text Box 75">
          <a:extLst>
            <a:ext uri="{FF2B5EF4-FFF2-40B4-BE49-F238E27FC236}">
              <a16:creationId xmlns:a16="http://schemas.microsoft.com/office/drawing/2014/main" id="{00000000-0008-0000-0700-00005C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09" name="Text Box 75">
          <a:extLst>
            <a:ext uri="{FF2B5EF4-FFF2-40B4-BE49-F238E27FC236}">
              <a16:creationId xmlns:a16="http://schemas.microsoft.com/office/drawing/2014/main" id="{00000000-0008-0000-0700-00005D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1400175</xdr:colOff>
      <xdr:row>38</xdr:row>
      <xdr:rowOff>3295650</xdr:rowOff>
    </xdr:from>
    <xdr:ext cx="85725" cy="344526"/>
    <xdr:sp macro="" textlink="">
      <xdr:nvSpPr>
        <xdr:cNvPr id="2910" name="Text Box 75">
          <a:extLst>
            <a:ext uri="{FF2B5EF4-FFF2-40B4-BE49-F238E27FC236}">
              <a16:creationId xmlns:a16="http://schemas.microsoft.com/office/drawing/2014/main" id="{00000000-0008-0000-0700-00005E0B0000}"/>
            </a:ext>
          </a:extLst>
        </xdr:cNvPr>
        <xdr:cNvSpPr txBox="1">
          <a:spLocks noChangeArrowheads="1"/>
        </xdr:cNvSpPr>
      </xdr:nvSpPr>
      <xdr:spPr bwMode="auto">
        <a:xfrm>
          <a:off x="81936851" y="33218157"/>
          <a:ext cx="85725" cy="344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54</xdr:col>
      <xdr:colOff>0</xdr:colOff>
      <xdr:row>40</xdr:row>
      <xdr:rowOff>0</xdr:rowOff>
    </xdr:from>
    <xdr:ext cx="76200" cy="503864"/>
    <xdr:sp macro="" textlink="">
      <xdr:nvSpPr>
        <xdr:cNvPr id="2918" name="Text Box 75">
          <a:extLst>
            <a:ext uri="{FF2B5EF4-FFF2-40B4-BE49-F238E27FC236}">
              <a16:creationId xmlns:a16="http://schemas.microsoft.com/office/drawing/2014/main" id="{00000000-0008-0000-0700-0000660B0000}"/>
            </a:ext>
          </a:extLst>
        </xdr:cNvPr>
        <xdr:cNvSpPr txBox="1">
          <a:spLocks noChangeArrowheads="1"/>
        </xdr:cNvSpPr>
      </xdr:nvSpPr>
      <xdr:spPr bwMode="auto">
        <a:xfrm>
          <a:off x="80536676" y="33696088"/>
          <a:ext cx="76200" cy="5038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58</xdr:col>
      <xdr:colOff>0</xdr:colOff>
      <xdr:row>22</xdr:row>
      <xdr:rowOff>0</xdr:rowOff>
    </xdr:from>
    <xdr:ext cx="76200" cy="506430"/>
    <xdr:sp macro="" textlink="">
      <xdr:nvSpPr>
        <xdr:cNvPr id="2921" name="Text Box 75">
          <a:extLst>
            <a:ext uri="{FF2B5EF4-FFF2-40B4-BE49-F238E27FC236}">
              <a16:creationId xmlns:a16="http://schemas.microsoft.com/office/drawing/2014/main" id="{00000000-0008-0000-0700-0000690B0000}"/>
            </a:ext>
          </a:extLst>
        </xdr:cNvPr>
        <xdr:cNvSpPr txBox="1">
          <a:spLocks noChangeArrowheads="1"/>
        </xdr:cNvSpPr>
      </xdr:nvSpPr>
      <xdr:spPr bwMode="auto">
        <a:xfrm>
          <a:off x="80536676" y="22568647"/>
          <a:ext cx="76200" cy="5064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942414</xdr:colOff>
      <xdr:row>22</xdr:row>
      <xdr:rowOff>504265</xdr:rowOff>
    </xdr:from>
    <xdr:ext cx="84603" cy="324970"/>
    <xdr:sp macro="" textlink="">
      <xdr:nvSpPr>
        <xdr:cNvPr id="2346" name="Text Box 75">
          <a:extLst>
            <a:ext uri="{FF2B5EF4-FFF2-40B4-BE49-F238E27FC236}">
              <a16:creationId xmlns:a16="http://schemas.microsoft.com/office/drawing/2014/main" id="{00000000-0008-0000-0700-00002A090000}"/>
            </a:ext>
          </a:extLst>
        </xdr:cNvPr>
        <xdr:cNvSpPr txBox="1">
          <a:spLocks noChangeArrowheads="1"/>
        </xdr:cNvSpPr>
      </xdr:nvSpPr>
      <xdr:spPr bwMode="auto">
        <a:xfrm>
          <a:off x="173064767" y="1055594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942415</xdr:colOff>
      <xdr:row>22</xdr:row>
      <xdr:rowOff>537883</xdr:rowOff>
    </xdr:from>
    <xdr:ext cx="84603" cy="324970"/>
    <xdr:sp macro="" textlink="">
      <xdr:nvSpPr>
        <xdr:cNvPr id="2347" name="Text Box 75">
          <a:extLst>
            <a:ext uri="{FF2B5EF4-FFF2-40B4-BE49-F238E27FC236}">
              <a16:creationId xmlns:a16="http://schemas.microsoft.com/office/drawing/2014/main" id="{00000000-0008-0000-0700-00002B090000}"/>
            </a:ext>
          </a:extLst>
        </xdr:cNvPr>
        <xdr:cNvSpPr txBox="1">
          <a:spLocks noChangeArrowheads="1"/>
        </xdr:cNvSpPr>
      </xdr:nvSpPr>
      <xdr:spPr bwMode="auto">
        <a:xfrm>
          <a:off x="173064768" y="10589559"/>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606238</xdr:colOff>
      <xdr:row>23</xdr:row>
      <xdr:rowOff>22412</xdr:rowOff>
    </xdr:from>
    <xdr:ext cx="84603" cy="324970"/>
    <xdr:sp macro="" textlink="">
      <xdr:nvSpPr>
        <xdr:cNvPr id="2348" name="Text Box 75">
          <a:extLst>
            <a:ext uri="{FF2B5EF4-FFF2-40B4-BE49-F238E27FC236}">
              <a16:creationId xmlns:a16="http://schemas.microsoft.com/office/drawing/2014/main" id="{00000000-0008-0000-0700-00002C090000}"/>
            </a:ext>
          </a:extLst>
        </xdr:cNvPr>
        <xdr:cNvSpPr txBox="1">
          <a:spLocks noChangeArrowheads="1"/>
        </xdr:cNvSpPr>
      </xdr:nvSpPr>
      <xdr:spPr bwMode="auto">
        <a:xfrm>
          <a:off x="172728591" y="10645588"/>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976032</xdr:colOff>
      <xdr:row>22</xdr:row>
      <xdr:rowOff>526677</xdr:rowOff>
    </xdr:from>
    <xdr:ext cx="84603" cy="324970"/>
    <xdr:sp macro="" textlink="">
      <xdr:nvSpPr>
        <xdr:cNvPr id="2349" name="Text Box 75">
          <a:extLst>
            <a:ext uri="{FF2B5EF4-FFF2-40B4-BE49-F238E27FC236}">
              <a16:creationId xmlns:a16="http://schemas.microsoft.com/office/drawing/2014/main" id="{00000000-0008-0000-0700-00002D090000}"/>
            </a:ext>
          </a:extLst>
        </xdr:cNvPr>
        <xdr:cNvSpPr txBox="1">
          <a:spLocks noChangeArrowheads="1"/>
        </xdr:cNvSpPr>
      </xdr:nvSpPr>
      <xdr:spPr bwMode="auto">
        <a:xfrm>
          <a:off x="173098385" y="10578353"/>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25</xdr:row>
      <xdr:rowOff>0</xdr:rowOff>
    </xdr:from>
    <xdr:ext cx="84603" cy="324970"/>
    <xdr:sp macro="" textlink="">
      <xdr:nvSpPr>
        <xdr:cNvPr id="2350" name="Text Box 75">
          <a:extLst>
            <a:ext uri="{FF2B5EF4-FFF2-40B4-BE49-F238E27FC236}">
              <a16:creationId xmlns:a16="http://schemas.microsoft.com/office/drawing/2014/main" id="{00000000-0008-0000-0700-00002E090000}"/>
            </a:ext>
          </a:extLst>
        </xdr:cNvPr>
        <xdr:cNvSpPr txBox="1">
          <a:spLocks noChangeArrowheads="1"/>
        </xdr:cNvSpPr>
      </xdr:nvSpPr>
      <xdr:spPr bwMode="auto">
        <a:xfrm>
          <a:off x="173132003" y="11654118"/>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25</xdr:row>
      <xdr:rowOff>0</xdr:rowOff>
    </xdr:from>
    <xdr:ext cx="84603" cy="324970"/>
    <xdr:sp macro="" textlink="">
      <xdr:nvSpPr>
        <xdr:cNvPr id="2351" name="Text Box 75">
          <a:extLst>
            <a:ext uri="{FF2B5EF4-FFF2-40B4-BE49-F238E27FC236}">
              <a16:creationId xmlns:a16="http://schemas.microsoft.com/office/drawing/2014/main" id="{00000000-0008-0000-0700-00002F090000}"/>
            </a:ext>
          </a:extLst>
        </xdr:cNvPr>
        <xdr:cNvSpPr txBox="1">
          <a:spLocks noChangeArrowheads="1"/>
        </xdr:cNvSpPr>
      </xdr:nvSpPr>
      <xdr:spPr bwMode="auto">
        <a:xfrm>
          <a:off x="173132003" y="11654118"/>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25</xdr:row>
      <xdr:rowOff>0</xdr:rowOff>
    </xdr:from>
    <xdr:ext cx="84603" cy="324970"/>
    <xdr:sp macro="" textlink="">
      <xdr:nvSpPr>
        <xdr:cNvPr id="2352" name="Text Box 75">
          <a:extLst>
            <a:ext uri="{FF2B5EF4-FFF2-40B4-BE49-F238E27FC236}">
              <a16:creationId xmlns:a16="http://schemas.microsoft.com/office/drawing/2014/main" id="{00000000-0008-0000-0700-000030090000}"/>
            </a:ext>
          </a:extLst>
        </xdr:cNvPr>
        <xdr:cNvSpPr txBox="1">
          <a:spLocks noChangeArrowheads="1"/>
        </xdr:cNvSpPr>
      </xdr:nvSpPr>
      <xdr:spPr bwMode="auto">
        <a:xfrm>
          <a:off x="173132003" y="11654118"/>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25</xdr:row>
      <xdr:rowOff>0</xdr:rowOff>
    </xdr:from>
    <xdr:ext cx="84603" cy="324970"/>
    <xdr:sp macro="" textlink="">
      <xdr:nvSpPr>
        <xdr:cNvPr id="2353" name="Text Box 75">
          <a:extLst>
            <a:ext uri="{FF2B5EF4-FFF2-40B4-BE49-F238E27FC236}">
              <a16:creationId xmlns:a16="http://schemas.microsoft.com/office/drawing/2014/main" id="{00000000-0008-0000-0700-000031090000}"/>
            </a:ext>
          </a:extLst>
        </xdr:cNvPr>
        <xdr:cNvSpPr txBox="1">
          <a:spLocks noChangeArrowheads="1"/>
        </xdr:cNvSpPr>
      </xdr:nvSpPr>
      <xdr:spPr bwMode="auto">
        <a:xfrm>
          <a:off x="173132003" y="11654118"/>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25</xdr:row>
      <xdr:rowOff>0</xdr:rowOff>
    </xdr:from>
    <xdr:ext cx="84603" cy="324970"/>
    <xdr:sp macro="" textlink="">
      <xdr:nvSpPr>
        <xdr:cNvPr id="2354" name="Text Box 75">
          <a:extLst>
            <a:ext uri="{FF2B5EF4-FFF2-40B4-BE49-F238E27FC236}">
              <a16:creationId xmlns:a16="http://schemas.microsoft.com/office/drawing/2014/main" id="{00000000-0008-0000-0700-000032090000}"/>
            </a:ext>
          </a:extLst>
        </xdr:cNvPr>
        <xdr:cNvSpPr txBox="1">
          <a:spLocks noChangeArrowheads="1"/>
        </xdr:cNvSpPr>
      </xdr:nvSpPr>
      <xdr:spPr bwMode="auto">
        <a:xfrm>
          <a:off x="173132003" y="11654118"/>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25</xdr:row>
      <xdr:rowOff>0</xdr:rowOff>
    </xdr:from>
    <xdr:ext cx="84603" cy="324970"/>
    <xdr:sp macro="" textlink="">
      <xdr:nvSpPr>
        <xdr:cNvPr id="2355" name="Text Box 75">
          <a:extLst>
            <a:ext uri="{FF2B5EF4-FFF2-40B4-BE49-F238E27FC236}">
              <a16:creationId xmlns:a16="http://schemas.microsoft.com/office/drawing/2014/main" id="{00000000-0008-0000-0700-000033090000}"/>
            </a:ext>
          </a:extLst>
        </xdr:cNvPr>
        <xdr:cNvSpPr txBox="1">
          <a:spLocks noChangeArrowheads="1"/>
        </xdr:cNvSpPr>
      </xdr:nvSpPr>
      <xdr:spPr bwMode="auto">
        <a:xfrm>
          <a:off x="173132003" y="11654118"/>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56" name="Text Box 75">
          <a:extLst>
            <a:ext uri="{FF2B5EF4-FFF2-40B4-BE49-F238E27FC236}">
              <a16:creationId xmlns:a16="http://schemas.microsoft.com/office/drawing/2014/main" id="{00000000-0008-0000-0700-000034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57" name="Text Box 75">
          <a:extLst>
            <a:ext uri="{FF2B5EF4-FFF2-40B4-BE49-F238E27FC236}">
              <a16:creationId xmlns:a16="http://schemas.microsoft.com/office/drawing/2014/main" id="{00000000-0008-0000-0700-000035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60" name="Text Box 75">
          <a:extLst>
            <a:ext uri="{FF2B5EF4-FFF2-40B4-BE49-F238E27FC236}">
              <a16:creationId xmlns:a16="http://schemas.microsoft.com/office/drawing/2014/main" id="{00000000-0008-0000-0700-000038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61" name="Text Box 75">
          <a:extLst>
            <a:ext uri="{FF2B5EF4-FFF2-40B4-BE49-F238E27FC236}">
              <a16:creationId xmlns:a16="http://schemas.microsoft.com/office/drawing/2014/main" id="{00000000-0008-0000-0700-000039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62" name="Text Box 75">
          <a:extLst>
            <a:ext uri="{FF2B5EF4-FFF2-40B4-BE49-F238E27FC236}">
              <a16:creationId xmlns:a16="http://schemas.microsoft.com/office/drawing/2014/main" id="{00000000-0008-0000-0700-00003A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63" name="Text Box 75">
          <a:extLst>
            <a:ext uri="{FF2B5EF4-FFF2-40B4-BE49-F238E27FC236}">
              <a16:creationId xmlns:a16="http://schemas.microsoft.com/office/drawing/2014/main" id="{00000000-0008-0000-0700-00003B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70" name="Text Box 75">
          <a:extLst>
            <a:ext uri="{FF2B5EF4-FFF2-40B4-BE49-F238E27FC236}">
              <a16:creationId xmlns:a16="http://schemas.microsoft.com/office/drawing/2014/main" id="{00000000-0008-0000-0700-000042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71" name="Text Box 75">
          <a:extLst>
            <a:ext uri="{FF2B5EF4-FFF2-40B4-BE49-F238E27FC236}">
              <a16:creationId xmlns:a16="http://schemas.microsoft.com/office/drawing/2014/main" id="{00000000-0008-0000-0700-000043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72" name="Text Box 75">
          <a:extLst>
            <a:ext uri="{FF2B5EF4-FFF2-40B4-BE49-F238E27FC236}">
              <a16:creationId xmlns:a16="http://schemas.microsoft.com/office/drawing/2014/main" id="{00000000-0008-0000-0700-000044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28</xdr:row>
      <xdr:rowOff>0</xdr:rowOff>
    </xdr:from>
    <xdr:ext cx="84603" cy="324970"/>
    <xdr:sp macro="" textlink="">
      <xdr:nvSpPr>
        <xdr:cNvPr id="2373" name="Text Box 75">
          <a:extLst>
            <a:ext uri="{FF2B5EF4-FFF2-40B4-BE49-F238E27FC236}">
              <a16:creationId xmlns:a16="http://schemas.microsoft.com/office/drawing/2014/main" id="{00000000-0008-0000-0700-000045090000}"/>
            </a:ext>
          </a:extLst>
        </xdr:cNvPr>
        <xdr:cNvSpPr txBox="1">
          <a:spLocks noChangeArrowheads="1"/>
        </xdr:cNvSpPr>
      </xdr:nvSpPr>
      <xdr:spPr bwMode="auto">
        <a:xfrm>
          <a:off x="173132003" y="1213597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942414</xdr:colOff>
      <xdr:row>23</xdr:row>
      <xdr:rowOff>504265</xdr:rowOff>
    </xdr:from>
    <xdr:ext cx="84603" cy="324970"/>
    <xdr:sp macro="" textlink="">
      <xdr:nvSpPr>
        <xdr:cNvPr id="2374" name="Text Box 75">
          <a:extLst>
            <a:ext uri="{FF2B5EF4-FFF2-40B4-BE49-F238E27FC236}">
              <a16:creationId xmlns:a16="http://schemas.microsoft.com/office/drawing/2014/main" id="{00000000-0008-0000-0700-000046090000}"/>
            </a:ext>
          </a:extLst>
        </xdr:cNvPr>
        <xdr:cNvSpPr txBox="1">
          <a:spLocks noChangeArrowheads="1"/>
        </xdr:cNvSpPr>
      </xdr:nvSpPr>
      <xdr:spPr bwMode="auto">
        <a:xfrm>
          <a:off x="173064767" y="10555941"/>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942415</xdr:colOff>
      <xdr:row>23</xdr:row>
      <xdr:rowOff>537883</xdr:rowOff>
    </xdr:from>
    <xdr:ext cx="84603" cy="324970"/>
    <xdr:sp macro="" textlink="">
      <xdr:nvSpPr>
        <xdr:cNvPr id="2375" name="Text Box 75">
          <a:extLst>
            <a:ext uri="{FF2B5EF4-FFF2-40B4-BE49-F238E27FC236}">
              <a16:creationId xmlns:a16="http://schemas.microsoft.com/office/drawing/2014/main" id="{00000000-0008-0000-0700-000047090000}"/>
            </a:ext>
          </a:extLst>
        </xdr:cNvPr>
        <xdr:cNvSpPr txBox="1">
          <a:spLocks noChangeArrowheads="1"/>
        </xdr:cNvSpPr>
      </xdr:nvSpPr>
      <xdr:spPr bwMode="auto">
        <a:xfrm>
          <a:off x="173064768" y="10589559"/>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606238</xdr:colOff>
      <xdr:row>24</xdr:row>
      <xdr:rowOff>22412</xdr:rowOff>
    </xdr:from>
    <xdr:ext cx="84603" cy="324970"/>
    <xdr:sp macro="" textlink="">
      <xdr:nvSpPr>
        <xdr:cNvPr id="2378" name="Text Box 75">
          <a:extLst>
            <a:ext uri="{FF2B5EF4-FFF2-40B4-BE49-F238E27FC236}">
              <a16:creationId xmlns:a16="http://schemas.microsoft.com/office/drawing/2014/main" id="{00000000-0008-0000-0700-00004A090000}"/>
            </a:ext>
          </a:extLst>
        </xdr:cNvPr>
        <xdr:cNvSpPr txBox="1">
          <a:spLocks noChangeArrowheads="1"/>
        </xdr:cNvSpPr>
      </xdr:nvSpPr>
      <xdr:spPr bwMode="auto">
        <a:xfrm>
          <a:off x="172728591" y="10645588"/>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976032</xdr:colOff>
      <xdr:row>23</xdr:row>
      <xdr:rowOff>526677</xdr:rowOff>
    </xdr:from>
    <xdr:ext cx="84603" cy="324970"/>
    <xdr:sp macro="" textlink="">
      <xdr:nvSpPr>
        <xdr:cNvPr id="2379" name="Text Box 75">
          <a:extLst>
            <a:ext uri="{FF2B5EF4-FFF2-40B4-BE49-F238E27FC236}">
              <a16:creationId xmlns:a16="http://schemas.microsoft.com/office/drawing/2014/main" id="{00000000-0008-0000-0700-00004B090000}"/>
            </a:ext>
          </a:extLst>
        </xdr:cNvPr>
        <xdr:cNvSpPr txBox="1">
          <a:spLocks noChangeArrowheads="1"/>
        </xdr:cNvSpPr>
      </xdr:nvSpPr>
      <xdr:spPr bwMode="auto">
        <a:xfrm>
          <a:off x="173098385" y="10578353"/>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26</xdr:row>
      <xdr:rowOff>0</xdr:rowOff>
    </xdr:from>
    <xdr:ext cx="84603" cy="324970"/>
    <xdr:sp macro="" textlink="">
      <xdr:nvSpPr>
        <xdr:cNvPr id="2380" name="Text Box 75">
          <a:extLst>
            <a:ext uri="{FF2B5EF4-FFF2-40B4-BE49-F238E27FC236}">
              <a16:creationId xmlns:a16="http://schemas.microsoft.com/office/drawing/2014/main" id="{00000000-0008-0000-0700-00004C090000}"/>
            </a:ext>
          </a:extLst>
        </xdr:cNvPr>
        <xdr:cNvSpPr txBox="1">
          <a:spLocks noChangeArrowheads="1"/>
        </xdr:cNvSpPr>
      </xdr:nvSpPr>
      <xdr:spPr bwMode="auto">
        <a:xfrm>
          <a:off x="173132003" y="11329147"/>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26</xdr:row>
      <xdr:rowOff>0</xdr:rowOff>
    </xdr:from>
    <xdr:ext cx="84603" cy="324970"/>
    <xdr:sp macro="" textlink="">
      <xdr:nvSpPr>
        <xdr:cNvPr id="2381" name="Text Box 75">
          <a:extLst>
            <a:ext uri="{FF2B5EF4-FFF2-40B4-BE49-F238E27FC236}">
              <a16:creationId xmlns:a16="http://schemas.microsoft.com/office/drawing/2014/main" id="{00000000-0008-0000-0700-00004D090000}"/>
            </a:ext>
          </a:extLst>
        </xdr:cNvPr>
        <xdr:cNvSpPr txBox="1">
          <a:spLocks noChangeArrowheads="1"/>
        </xdr:cNvSpPr>
      </xdr:nvSpPr>
      <xdr:spPr bwMode="auto">
        <a:xfrm>
          <a:off x="173132003" y="11329147"/>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26</xdr:row>
      <xdr:rowOff>0</xdr:rowOff>
    </xdr:from>
    <xdr:ext cx="84603" cy="324970"/>
    <xdr:sp macro="" textlink="">
      <xdr:nvSpPr>
        <xdr:cNvPr id="2563" name="Text Box 75">
          <a:extLst>
            <a:ext uri="{FF2B5EF4-FFF2-40B4-BE49-F238E27FC236}">
              <a16:creationId xmlns:a16="http://schemas.microsoft.com/office/drawing/2014/main" id="{00000000-0008-0000-0700-0000030A0000}"/>
            </a:ext>
          </a:extLst>
        </xdr:cNvPr>
        <xdr:cNvSpPr txBox="1">
          <a:spLocks noChangeArrowheads="1"/>
        </xdr:cNvSpPr>
      </xdr:nvSpPr>
      <xdr:spPr bwMode="auto">
        <a:xfrm>
          <a:off x="173132003" y="11329147"/>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26</xdr:row>
      <xdr:rowOff>0</xdr:rowOff>
    </xdr:from>
    <xdr:ext cx="84603" cy="324970"/>
    <xdr:sp macro="" textlink="">
      <xdr:nvSpPr>
        <xdr:cNvPr id="2564" name="Text Box 75">
          <a:extLst>
            <a:ext uri="{FF2B5EF4-FFF2-40B4-BE49-F238E27FC236}">
              <a16:creationId xmlns:a16="http://schemas.microsoft.com/office/drawing/2014/main" id="{00000000-0008-0000-0700-0000040A0000}"/>
            </a:ext>
          </a:extLst>
        </xdr:cNvPr>
        <xdr:cNvSpPr txBox="1">
          <a:spLocks noChangeArrowheads="1"/>
        </xdr:cNvSpPr>
      </xdr:nvSpPr>
      <xdr:spPr bwMode="auto">
        <a:xfrm>
          <a:off x="173132003" y="11329147"/>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26</xdr:row>
      <xdr:rowOff>0</xdr:rowOff>
    </xdr:from>
    <xdr:ext cx="84603" cy="324970"/>
    <xdr:sp macro="" textlink="">
      <xdr:nvSpPr>
        <xdr:cNvPr id="2565" name="Text Box 75">
          <a:extLst>
            <a:ext uri="{FF2B5EF4-FFF2-40B4-BE49-F238E27FC236}">
              <a16:creationId xmlns:a16="http://schemas.microsoft.com/office/drawing/2014/main" id="{00000000-0008-0000-0700-0000050A0000}"/>
            </a:ext>
          </a:extLst>
        </xdr:cNvPr>
        <xdr:cNvSpPr txBox="1">
          <a:spLocks noChangeArrowheads="1"/>
        </xdr:cNvSpPr>
      </xdr:nvSpPr>
      <xdr:spPr bwMode="auto">
        <a:xfrm>
          <a:off x="173132003" y="11329147"/>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102</xdr:col>
      <xdr:colOff>1400175</xdr:colOff>
      <xdr:row>26</xdr:row>
      <xdr:rowOff>0</xdr:rowOff>
    </xdr:from>
    <xdr:ext cx="84603" cy="324970"/>
    <xdr:sp macro="" textlink="">
      <xdr:nvSpPr>
        <xdr:cNvPr id="2566" name="Text Box 75">
          <a:extLst>
            <a:ext uri="{FF2B5EF4-FFF2-40B4-BE49-F238E27FC236}">
              <a16:creationId xmlns:a16="http://schemas.microsoft.com/office/drawing/2014/main" id="{00000000-0008-0000-0700-0000060A0000}"/>
            </a:ext>
          </a:extLst>
        </xdr:cNvPr>
        <xdr:cNvSpPr txBox="1">
          <a:spLocks noChangeArrowheads="1"/>
        </xdr:cNvSpPr>
      </xdr:nvSpPr>
      <xdr:spPr bwMode="auto">
        <a:xfrm>
          <a:off x="173132003" y="11329147"/>
          <a:ext cx="84603" cy="324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118</xdr:col>
      <xdr:colOff>0</xdr:colOff>
      <xdr:row>41</xdr:row>
      <xdr:rowOff>0</xdr:rowOff>
    </xdr:from>
    <xdr:ext cx="76200" cy="481853"/>
    <xdr:sp macro="" textlink="">
      <xdr:nvSpPr>
        <xdr:cNvPr id="2567" name="Text Box 75">
          <a:extLst>
            <a:ext uri="{FF2B5EF4-FFF2-40B4-BE49-F238E27FC236}">
              <a16:creationId xmlns:a16="http://schemas.microsoft.com/office/drawing/2014/main" id="{00000000-0008-0000-0700-0000070A0000}"/>
            </a:ext>
          </a:extLst>
        </xdr:cNvPr>
        <xdr:cNvSpPr txBox="1">
          <a:spLocks noChangeArrowheads="1"/>
        </xdr:cNvSpPr>
      </xdr:nvSpPr>
      <xdr:spPr bwMode="auto">
        <a:xfrm>
          <a:off x="199464706" y="19139647"/>
          <a:ext cx="76200" cy="4818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41</xdr:row>
      <xdr:rowOff>0</xdr:rowOff>
    </xdr:from>
    <xdr:ext cx="76200" cy="481853"/>
    <xdr:sp macro="" textlink="">
      <xdr:nvSpPr>
        <xdr:cNvPr id="2568" name="Text Box 75">
          <a:extLst>
            <a:ext uri="{FF2B5EF4-FFF2-40B4-BE49-F238E27FC236}">
              <a16:creationId xmlns:a16="http://schemas.microsoft.com/office/drawing/2014/main" id="{00000000-0008-0000-0700-0000080A0000}"/>
            </a:ext>
          </a:extLst>
        </xdr:cNvPr>
        <xdr:cNvSpPr txBox="1">
          <a:spLocks noChangeArrowheads="1"/>
        </xdr:cNvSpPr>
      </xdr:nvSpPr>
      <xdr:spPr bwMode="auto">
        <a:xfrm>
          <a:off x="200406000" y="19139647"/>
          <a:ext cx="76200" cy="4818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41</xdr:row>
      <xdr:rowOff>0</xdr:rowOff>
    </xdr:from>
    <xdr:ext cx="76200" cy="481853"/>
    <xdr:sp macro="" textlink="">
      <xdr:nvSpPr>
        <xdr:cNvPr id="2569" name="Text Box 75">
          <a:extLst>
            <a:ext uri="{FF2B5EF4-FFF2-40B4-BE49-F238E27FC236}">
              <a16:creationId xmlns:a16="http://schemas.microsoft.com/office/drawing/2014/main" id="{00000000-0008-0000-0700-0000090A0000}"/>
            </a:ext>
          </a:extLst>
        </xdr:cNvPr>
        <xdr:cNvSpPr txBox="1">
          <a:spLocks noChangeArrowheads="1"/>
        </xdr:cNvSpPr>
      </xdr:nvSpPr>
      <xdr:spPr bwMode="auto">
        <a:xfrm>
          <a:off x="200406000" y="19139647"/>
          <a:ext cx="76200" cy="4818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39</xdr:row>
      <xdr:rowOff>0</xdr:rowOff>
    </xdr:from>
    <xdr:ext cx="76200" cy="491378"/>
    <xdr:sp macro="" textlink="">
      <xdr:nvSpPr>
        <xdr:cNvPr id="2570" name="Text Box 75">
          <a:extLst>
            <a:ext uri="{FF2B5EF4-FFF2-40B4-BE49-F238E27FC236}">
              <a16:creationId xmlns:a16="http://schemas.microsoft.com/office/drawing/2014/main" id="{00000000-0008-0000-0700-00000A0A0000}"/>
            </a:ext>
          </a:extLst>
        </xdr:cNvPr>
        <xdr:cNvSpPr txBox="1">
          <a:spLocks noChangeArrowheads="1"/>
        </xdr:cNvSpPr>
      </xdr:nvSpPr>
      <xdr:spPr bwMode="auto">
        <a:xfrm>
          <a:off x="200406000" y="18276794"/>
          <a:ext cx="76200" cy="4913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39</xdr:row>
      <xdr:rowOff>0</xdr:rowOff>
    </xdr:from>
    <xdr:ext cx="76200" cy="491378"/>
    <xdr:sp macro="" textlink="">
      <xdr:nvSpPr>
        <xdr:cNvPr id="2571" name="Text Box 75">
          <a:extLst>
            <a:ext uri="{FF2B5EF4-FFF2-40B4-BE49-F238E27FC236}">
              <a16:creationId xmlns:a16="http://schemas.microsoft.com/office/drawing/2014/main" id="{00000000-0008-0000-0700-00000B0A0000}"/>
            </a:ext>
          </a:extLst>
        </xdr:cNvPr>
        <xdr:cNvSpPr txBox="1">
          <a:spLocks noChangeArrowheads="1"/>
        </xdr:cNvSpPr>
      </xdr:nvSpPr>
      <xdr:spPr bwMode="auto">
        <a:xfrm>
          <a:off x="200406000" y="18276794"/>
          <a:ext cx="76200" cy="4913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118</xdr:col>
      <xdr:colOff>0</xdr:colOff>
      <xdr:row>38</xdr:row>
      <xdr:rowOff>0</xdr:rowOff>
    </xdr:from>
    <xdr:ext cx="76200" cy="599880"/>
    <xdr:sp macro="" textlink="">
      <xdr:nvSpPr>
        <xdr:cNvPr id="2572" name="Text Box 75">
          <a:extLst>
            <a:ext uri="{FF2B5EF4-FFF2-40B4-BE49-F238E27FC236}">
              <a16:creationId xmlns:a16="http://schemas.microsoft.com/office/drawing/2014/main" id="{00000000-0008-0000-0700-00000C0A0000}"/>
            </a:ext>
          </a:extLst>
        </xdr:cNvPr>
        <xdr:cNvSpPr txBox="1">
          <a:spLocks noChangeArrowheads="1"/>
        </xdr:cNvSpPr>
      </xdr:nvSpPr>
      <xdr:spPr bwMode="auto">
        <a:xfrm>
          <a:off x="199464706" y="17895794"/>
          <a:ext cx="76200" cy="59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38</xdr:row>
      <xdr:rowOff>0</xdr:rowOff>
    </xdr:from>
    <xdr:ext cx="76200" cy="599880"/>
    <xdr:sp macro="" textlink="">
      <xdr:nvSpPr>
        <xdr:cNvPr id="2573" name="Text Box 75">
          <a:extLst>
            <a:ext uri="{FF2B5EF4-FFF2-40B4-BE49-F238E27FC236}">
              <a16:creationId xmlns:a16="http://schemas.microsoft.com/office/drawing/2014/main" id="{00000000-0008-0000-0700-00000D0A0000}"/>
            </a:ext>
          </a:extLst>
        </xdr:cNvPr>
        <xdr:cNvSpPr txBox="1">
          <a:spLocks noChangeArrowheads="1"/>
        </xdr:cNvSpPr>
      </xdr:nvSpPr>
      <xdr:spPr bwMode="auto">
        <a:xfrm>
          <a:off x="200406000" y="17895794"/>
          <a:ext cx="76200" cy="59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119</xdr:col>
      <xdr:colOff>0</xdr:colOff>
      <xdr:row>38</xdr:row>
      <xdr:rowOff>0</xdr:rowOff>
    </xdr:from>
    <xdr:ext cx="76200" cy="599880"/>
    <xdr:sp macro="" textlink="">
      <xdr:nvSpPr>
        <xdr:cNvPr id="2574" name="Text Box 75">
          <a:extLst>
            <a:ext uri="{FF2B5EF4-FFF2-40B4-BE49-F238E27FC236}">
              <a16:creationId xmlns:a16="http://schemas.microsoft.com/office/drawing/2014/main" id="{00000000-0008-0000-0700-00000E0A0000}"/>
            </a:ext>
          </a:extLst>
        </xdr:cNvPr>
        <xdr:cNvSpPr txBox="1">
          <a:spLocks noChangeArrowheads="1"/>
        </xdr:cNvSpPr>
      </xdr:nvSpPr>
      <xdr:spPr bwMode="auto">
        <a:xfrm>
          <a:off x="200406000" y="17895794"/>
          <a:ext cx="76200" cy="59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75" name="Text Box 75">
          <a:extLst>
            <a:ext uri="{FF2B5EF4-FFF2-40B4-BE49-F238E27FC236}">
              <a16:creationId xmlns:a16="http://schemas.microsoft.com/office/drawing/2014/main" id="{00000000-0008-0000-0700-00000F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76" name="Text Box 75">
          <a:extLst>
            <a:ext uri="{FF2B5EF4-FFF2-40B4-BE49-F238E27FC236}">
              <a16:creationId xmlns:a16="http://schemas.microsoft.com/office/drawing/2014/main" id="{00000000-0008-0000-0700-000010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77" name="Text Box 75">
          <a:extLst>
            <a:ext uri="{FF2B5EF4-FFF2-40B4-BE49-F238E27FC236}">
              <a16:creationId xmlns:a16="http://schemas.microsoft.com/office/drawing/2014/main" id="{00000000-0008-0000-0700-000011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78" name="Text Box 75">
          <a:extLst>
            <a:ext uri="{FF2B5EF4-FFF2-40B4-BE49-F238E27FC236}">
              <a16:creationId xmlns:a16="http://schemas.microsoft.com/office/drawing/2014/main" id="{00000000-0008-0000-0700-000012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79" name="Text Box 75">
          <a:extLst>
            <a:ext uri="{FF2B5EF4-FFF2-40B4-BE49-F238E27FC236}">
              <a16:creationId xmlns:a16="http://schemas.microsoft.com/office/drawing/2014/main" id="{00000000-0008-0000-0700-000013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0" name="Text Box 75">
          <a:extLst>
            <a:ext uri="{FF2B5EF4-FFF2-40B4-BE49-F238E27FC236}">
              <a16:creationId xmlns:a16="http://schemas.microsoft.com/office/drawing/2014/main" id="{00000000-0008-0000-0700-000014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1" name="Text Box 75">
          <a:extLst>
            <a:ext uri="{FF2B5EF4-FFF2-40B4-BE49-F238E27FC236}">
              <a16:creationId xmlns:a16="http://schemas.microsoft.com/office/drawing/2014/main" id="{00000000-0008-0000-0700-000015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2" name="Text Box 75">
          <a:extLst>
            <a:ext uri="{FF2B5EF4-FFF2-40B4-BE49-F238E27FC236}">
              <a16:creationId xmlns:a16="http://schemas.microsoft.com/office/drawing/2014/main" id="{00000000-0008-0000-0700-000016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3" name="Text Box 75">
          <a:extLst>
            <a:ext uri="{FF2B5EF4-FFF2-40B4-BE49-F238E27FC236}">
              <a16:creationId xmlns:a16="http://schemas.microsoft.com/office/drawing/2014/main" id="{00000000-0008-0000-0700-000017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4" name="Text Box 75">
          <a:extLst>
            <a:ext uri="{FF2B5EF4-FFF2-40B4-BE49-F238E27FC236}">
              <a16:creationId xmlns:a16="http://schemas.microsoft.com/office/drawing/2014/main" id="{00000000-0008-0000-0700-000018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5" name="Text Box 75">
          <a:extLst>
            <a:ext uri="{FF2B5EF4-FFF2-40B4-BE49-F238E27FC236}">
              <a16:creationId xmlns:a16="http://schemas.microsoft.com/office/drawing/2014/main" id="{00000000-0008-0000-0700-000019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6" name="Text Box 75">
          <a:extLst>
            <a:ext uri="{FF2B5EF4-FFF2-40B4-BE49-F238E27FC236}">
              <a16:creationId xmlns:a16="http://schemas.microsoft.com/office/drawing/2014/main" id="{00000000-0008-0000-0700-00001A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7" name="Text Box 75">
          <a:extLst>
            <a:ext uri="{FF2B5EF4-FFF2-40B4-BE49-F238E27FC236}">
              <a16:creationId xmlns:a16="http://schemas.microsoft.com/office/drawing/2014/main" id="{00000000-0008-0000-0700-00001B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8" name="Text Box 75">
          <a:extLst>
            <a:ext uri="{FF2B5EF4-FFF2-40B4-BE49-F238E27FC236}">
              <a16:creationId xmlns:a16="http://schemas.microsoft.com/office/drawing/2014/main" id="{00000000-0008-0000-0700-00001C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589" name="Text Box 75">
          <a:extLst>
            <a:ext uri="{FF2B5EF4-FFF2-40B4-BE49-F238E27FC236}">
              <a16:creationId xmlns:a16="http://schemas.microsoft.com/office/drawing/2014/main" id="{00000000-0008-0000-0700-00001D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86" name="Text Box 75">
          <a:extLst>
            <a:ext uri="{FF2B5EF4-FFF2-40B4-BE49-F238E27FC236}">
              <a16:creationId xmlns:a16="http://schemas.microsoft.com/office/drawing/2014/main" id="{00000000-0008-0000-0700-00007E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87" name="Text Box 75">
          <a:extLst>
            <a:ext uri="{FF2B5EF4-FFF2-40B4-BE49-F238E27FC236}">
              <a16:creationId xmlns:a16="http://schemas.microsoft.com/office/drawing/2014/main" id="{00000000-0008-0000-0700-00007F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88" name="Text Box 75">
          <a:extLst>
            <a:ext uri="{FF2B5EF4-FFF2-40B4-BE49-F238E27FC236}">
              <a16:creationId xmlns:a16="http://schemas.microsoft.com/office/drawing/2014/main" id="{00000000-0008-0000-0700-000080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89" name="Text Box 75">
          <a:extLst>
            <a:ext uri="{FF2B5EF4-FFF2-40B4-BE49-F238E27FC236}">
              <a16:creationId xmlns:a16="http://schemas.microsoft.com/office/drawing/2014/main" id="{00000000-0008-0000-0700-000081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90" name="Text Box 75">
          <a:extLst>
            <a:ext uri="{FF2B5EF4-FFF2-40B4-BE49-F238E27FC236}">
              <a16:creationId xmlns:a16="http://schemas.microsoft.com/office/drawing/2014/main" id="{00000000-0008-0000-0700-000082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91" name="Text Box 75">
          <a:extLst>
            <a:ext uri="{FF2B5EF4-FFF2-40B4-BE49-F238E27FC236}">
              <a16:creationId xmlns:a16="http://schemas.microsoft.com/office/drawing/2014/main" id="{00000000-0008-0000-0700-000083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92" name="Text Box 75">
          <a:extLst>
            <a:ext uri="{FF2B5EF4-FFF2-40B4-BE49-F238E27FC236}">
              <a16:creationId xmlns:a16="http://schemas.microsoft.com/office/drawing/2014/main" id="{00000000-0008-0000-0700-000084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93" name="Text Box 75">
          <a:extLst>
            <a:ext uri="{FF2B5EF4-FFF2-40B4-BE49-F238E27FC236}">
              <a16:creationId xmlns:a16="http://schemas.microsoft.com/office/drawing/2014/main" id="{00000000-0008-0000-0700-000085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94" name="Text Box 75">
          <a:extLst>
            <a:ext uri="{FF2B5EF4-FFF2-40B4-BE49-F238E27FC236}">
              <a16:creationId xmlns:a16="http://schemas.microsoft.com/office/drawing/2014/main" id="{00000000-0008-0000-0700-000086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95" name="Text Box 75">
          <a:extLst>
            <a:ext uri="{FF2B5EF4-FFF2-40B4-BE49-F238E27FC236}">
              <a16:creationId xmlns:a16="http://schemas.microsoft.com/office/drawing/2014/main" id="{00000000-0008-0000-0700-000087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96" name="Text Box 75">
          <a:extLst>
            <a:ext uri="{FF2B5EF4-FFF2-40B4-BE49-F238E27FC236}">
              <a16:creationId xmlns:a16="http://schemas.microsoft.com/office/drawing/2014/main" id="{00000000-0008-0000-0700-000088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97" name="Text Box 75">
          <a:extLst>
            <a:ext uri="{FF2B5EF4-FFF2-40B4-BE49-F238E27FC236}">
              <a16:creationId xmlns:a16="http://schemas.microsoft.com/office/drawing/2014/main" id="{00000000-0008-0000-0700-000089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125</xdr:col>
      <xdr:colOff>0</xdr:colOff>
      <xdr:row>2</xdr:row>
      <xdr:rowOff>0</xdr:rowOff>
    </xdr:from>
    <xdr:ext cx="87993" cy="968375"/>
    <xdr:sp macro="" textlink="">
      <xdr:nvSpPr>
        <xdr:cNvPr id="2698" name="Text Box 75">
          <a:extLst>
            <a:ext uri="{FF2B5EF4-FFF2-40B4-BE49-F238E27FC236}">
              <a16:creationId xmlns:a16="http://schemas.microsoft.com/office/drawing/2014/main" id="{00000000-0008-0000-0700-00008A0A0000}"/>
            </a:ext>
          </a:extLst>
        </xdr:cNvPr>
        <xdr:cNvSpPr txBox="1">
          <a:spLocks noChangeArrowheads="1"/>
        </xdr:cNvSpPr>
      </xdr:nvSpPr>
      <xdr:spPr bwMode="auto">
        <a:xfrm>
          <a:off x="4286250" y="93830775"/>
          <a:ext cx="87993" cy="96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ND6384/Desktop/Workbook%20_v11_ok_OMP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vergara/Downloads/Workbook_4.2_AV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alogo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yuda"/>
      <sheetName val="Estructura Directorios"/>
      <sheetName val="Entregables Contractuales"/>
      <sheetName val="Nombrado Artefactos"/>
      <sheetName val="Nombrado Artefactos OP"/>
      <sheetName val="Nombrado Artefactos PC"/>
      <sheetName val="Artefactos AVL"/>
      <sheetName val="Catalogos"/>
      <sheetName val="AcroApp"/>
      <sheetName val="Matriz de Aplicaciones"/>
    </sheetNames>
    <sheetDataSet>
      <sheetData sheetId="0" refreshError="1"/>
      <sheetData sheetId="1" refreshError="1"/>
      <sheetData sheetId="2" refreshError="1"/>
      <sheetData sheetId="3" refreshError="1">
        <row r="4">
          <cell r="G4" t="str">
            <v xml:space="preserve">12-Servicios al Contribuyente                   </v>
          </cell>
        </row>
        <row r="110">
          <cell r="C110" t="str">
            <v>MAC</v>
          </cell>
        </row>
        <row r="111">
          <cell r="C111" t="str">
            <v>MAI</v>
          </cell>
        </row>
      </sheetData>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vmlDrawing" Target="../drawings/vmlDrawing7.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15"/>
  <sheetViews>
    <sheetView zoomScaleNormal="100" workbookViewId="0">
      <selection activeCell="C15" sqref="C15"/>
    </sheetView>
  </sheetViews>
  <sheetFormatPr baseColWidth="10" defaultRowHeight="15" x14ac:dyDescent="0.25"/>
  <cols>
    <col min="3" max="3" width="12.85546875" customWidth="1"/>
    <col min="6" max="6" width="2.42578125" customWidth="1"/>
    <col min="7" max="7" width="11.42578125" hidden="1" customWidth="1"/>
    <col min="11" max="11" width="14.7109375" customWidth="1"/>
  </cols>
  <sheetData>
    <row r="1" spans="1:11" x14ac:dyDescent="0.25">
      <c r="A1" s="484"/>
      <c r="B1" s="569"/>
      <c r="C1" s="569"/>
      <c r="D1" s="570" t="s">
        <v>1382</v>
      </c>
      <c r="E1" s="571"/>
      <c r="F1" s="571"/>
      <c r="G1" s="571"/>
      <c r="H1" s="572"/>
      <c r="I1" s="569"/>
      <c r="J1" s="569"/>
      <c r="K1" s="569"/>
    </row>
    <row r="2" spans="1:11" x14ac:dyDescent="0.25">
      <c r="A2" s="484"/>
      <c r="B2" s="569"/>
      <c r="C2" s="569"/>
      <c r="D2" s="573"/>
      <c r="E2" s="574"/>
      <c r="F2" s="574"/>
      <c r="G2" s="574"/>
      <c r="H2" s="575"/>
      <c r="I2" s="569"/>
      <c r="J2" s="569"/>
      <c r="K2" s="569"/>
    </row>
    <row r="3" spans="1:11" x14ac:dyDescent="0.25">
      <c r="A3" s="484"/>
      <c r="B3" s="569"/>
      <c r="C3" s="569"/>
      <c r="D3" s="573"/>
      <c r="E3" s="574"/>
      <c r="F3" s="574"/>
      <c r="G3" s="574"/>
      <c r="H3" s="575"/>
      <c r="I3" s="569"/>
      <c r="J3" s="569"/>
      <c r="K3" s="569"/>
    </row>
    <row r="4" spans="1:11" x14ac:dyDescent="0.25">
      <c r="A4" s="484"/>
      <c r="B4" s="569"/>
      <c r="C4" s="569"/>
      <c r="D4" s="573"/>
      <c r="E4" s="574"/>
      <c r="F4" s="574"/>
      <c r="G4" s="574"/>
      <c r="H4" s="575"/>
      <c r="I4" s="569"/>
      <c r="J4" s="569"/>
      <c r="K4" s="569"/>
    </row>
    <row r="5" spans="1:11" x14ac:dyDescent="0.25">
      <c r="A5" s="484"/>
      <c r="B5" s="569"/>
      <c r="C5" s="569"/>
      <c r="D5" s="576"/>
      <c r="E5" s="577"/>
      <c r="F5" s="577"/>
      <c r="G5" s="577"/>
      <c r="H5" s="578"/>
      <c r="I5" s="569"/>
      <c r="J5" s="569"/>
      <c r="K5" s="569"/>
    </row>
    <row r="6" spans="1:11" x14ac:dyDescent="0.25">
      <c r="A6" s="484"/>
      <c r="B6" s="569"/>
      <c r="C6" s="569"/>
      <c r="D6" s="579" t="s">
        <v>1388</v>
      </c>
      <c r="E6" s="580"/>
      <c r="F6" s="580"/>
      <c r="G6" s="580"/>
      <c r="H6" s="580"/>
      <c r="I6" s="569"/>
      <c r="J6" s="569"/>
      <c r="K6" s="569"/>
    </row>
    <row r="7" spans="1:11" x14ac:dyDescent="0.25">
      <c r="A7" s="484"/>
      <c r="B7" s="569"/>
      <c r="C7" s="569"/>
      <c r="D7" s="580"/>
      <c r="E7" s="580"/>
      <c r="F7" s="580"/>
      <c r="G7" s="580"/>
      <c r="H7" s="580"/>
      <c r="I7" s="569"/>
      <c r="J7" s="569"/>
      <c r="K7" s="569"/>
    </row>
    <row r="8" spans="1:11" x14ac:dyDescent="0.25">
      <c r="A8" s="484"/>
      <c r="B8" s="581" t="s">
        <v>1622</v>
      </c>
      <c r="C8" s="581"/>
      <c r="D8" s="582" t="s">
        <v>1466</v>
      </c>
      <c r="E8" s="583"/>
      <c r="F8" s="583"/>
      <c r="G8" s="583"/>
      <c r="H8" s="583"/>
      <c r="I8" s="583" t="s">
        <v>1383</v>
      </c>
      <c r="J8" s="583"/>
      <c r="K8" s="583"/>
    </row>
    <row r="9" spans="1:11" x14ac:dyDescent="0.25">
      <c r="A9" s="484"/>
      <c r="B9" s="581"/>
      <c r="C9" s="581"/>
      <c r="D9" s="583"/>
      <c r="E9" s="583"/>
      <c r="F9" s="583"/>
      <c r="G9" s="583"/>
      <c r="H9" s="583"/>
      <c r="I9" s="583"/>
      <c r="J9" s="583"/>
      <c r="K9" s="583"/>
    </row>
    <row r="10" spans="1:11" x14ac:dyDescent="0.25">
      <c r="A10" s="484"/>
      <c r="B10" s="485"/>
      <c r="C10" s="485"/>
      <c r="D10" s="486"/>
      <c r="E10" s="486"/>
      <c r="F10" s="486"/>
      <c r="G10" s="486"/>
      <c r="H10" s="486"/>
      <c r="I10" s="486"/>
      <c r="J10" s="486"/>
      <c r="K10" s="486"/>
    </row>
    <row r="11" spans="1:11" x14ac:dyDescent="0.25">
      <c r="A11" s="484"/>
      <c r="B11" s="485"/>
      <c r="C11" s="485"/>
      <c r="D11" s="486"/>
      <c r="E11" s="486"/>
      <c r="F11" s="486"/>
      <c r="G11" s="486"/>
      <c r="H11" s="486"/>
      <c r="I11" s="486"/>
      <c r="J11" s="486"/>
      <c r="K11" s="486"/>
    </row>
    <row r="12" spans="1:11" ht="18" x14ac:dyDescent="0.25">
      <c r="A12" s="484"/>
      <c r="B12" s="584" t="s">
        <v>1384</v>
      </c>
      <c r="C12" s="584"/>
      <c r="D12" s="584"/>
      <c r="E12" s="584"/>
      <c r="F12" s="584"/>
      <c r="G12" s="584"/>
      <c r="H12" s="584"/>
      <c r="I12" s="584"/>
      <c r="J12" s="584"/>
      <c r="K12" s="584"/>
    </row>
    <row r="13" spans="1:11" x14ac:dyDescent="0.25">
      <c r="A13" s="484"/>
      <c r="B13" s="484"/>
      <c r="C13" s="484"/>
      <c r="D13" s="484"/>
      <c r="E13" s="484"/>
      <c r="F13" s="484"/>
      <c r="G13" s="487"/>
      <c r="H13" s="484"/>
      <c r="I13" s="484"/>
      <c r="J13" s="484"/>
      <c r="K13" s="487"/>
    </row>
    <row r="14" spans="1:11" x14ac:dyDescent="0.25">
      <c r="A14" s="488"/>
      <c r="B14" s="489" t="s">
        <v>1385</v>
      </c>
      <c r="C14" s="489" t="s">
        <v>317</v>
      </c>
      <c r="D14" s="585" t="s">
        <v>1386</v>
      </c>
      <c r="E14" s="585"/>
      <c r="F14" s="585"/>
      <c r="G14" s="585"/>
      <c r="H14" s="585" t="s">
        <v>1387</v>
      </c>
      <c r="I14" s="585"/>
      <c r="J14" s="585"/>
      <c r="K14" s="585"/>
    </row>
    <row r="15" spans="1:11" x14ac:dyDescent="0.25">
      <c r="B15" s="490">
        <v>13</v>
      </c>
      <c r="C15" s="491">
        <v>43290</v>
      </c>
      <c r="D15" s="567" t="s">
        <v>1621</v>
      </c>
      <c r="E15" s="568"/>
      <c r="F15" s="568"/>
      <c r="G15" s="568"/>
      <c r="H15" s="567" t="s">
        <v>1794</v>
      </c>
      <c r="I15" s="567"/>
      <c r="J15" s="567"/>
      <c r="K15" s="567"/>
    </row>
  </sheetData>
  <sheetProtection algorithmName="SHA-512" hashValue="CeZiUw6mq0ur4h60qUMJ4KI6SCxKYDPgGrX93AaYadcJixwiETzamIncGcKT1L4MNXQetoCoiYhjJPQZ49uvfA==" saltValue="LuyDkXCLsi84IHiMk2GZSA==" spinCount="100000" sheet="1" objects="1" scenarios="1"/>
  <mergeCells count="12">
    <mergeCell ref="D15:G15"/>
    <mergeCell ref="H15:K15"/>
    <mergeCell ref="B1:C7"/>
    <mergeCell ref="D1:H5"/>
    <mergeCell ref="I1:K7"/>
    <mergeCell ref="D6:H7"/>
    <mergeCell ref="B8:C9"/>
    <mergeCell ref="D8:H9"/>
    <mergeCell ref="I8:K9"/>
    <mergeCell ref="B12:K12"/>
    <mergeCell ref="D14:G14"/>
    <mergeCell ref="H14:K14"/>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outlinePr summaryBelow="0"/>
  </sheetPr>
  <dimension ref="C1:K22"/>
  <sheetViews>
    <sheetView showWhiteSpace="0" zoomScaleNormal="100" zoomScaleSheetLayoutView="100" zoomScalePageLayoutView="110" workbookViewId="0">
      <selection activeCell="F12" sqref="F12:J12"/>
    </sheetView>
  </sheetViews>
  <sheetFormatPr baseColWidth="10" defaultColWidth="9.140625" defaultRowHeight="12.75" x14ac:dyDescent="0.2"/>
  <cols>
    <col min="1" max="1" width="4.42578125" style="8" customWidth="1"/>
    <col min="2" max="2" width="3" style="8" customWidth="1"/>
    <col min="3" max="3" width="4.85546875" style="8" customWidth="1"/>
    <col min="4" max="4" width="8.7109375" style="8" customWidth="1"/>
    <col min="5" max="5" width="6.140625" style="8" customWidth="1"/>
    <col min="6" max="6" width="12.7109375" style="8" customWidth="1"/>
    <col min="7" max="7" width="14.7109375" style="8" customWidth="1"/>
    <col min="8" max="8" width="20.42578125" style="8" customWidth="1"/>
    <col min="9" max="9" width="21.7109375" style="8" customWidth="1"/>
    <col min="10" max="10" width="18.42578125" style="8" customWidth="1"/>
    <col min="11" max="11" width="16.5703125" style="8" customWidth="1"/>
    <col min="12" max="12" width="20.42578125" style="8" customWidth="1"/>
    <col min="13" max="13" width="9.140625" style="8" customWidth="1"/>
    <col min="14" max="16384" width="9.140625" style="8"/>
  </cols>
  <sheetData>
    <row r="1" spans="3:11" ht="15.75" customHeight="1" x14ac:dyDescent="0.2">
      <c r="C1" s="7"/>
    </row>
    <row r="2" spans="3:11" ht="15" customHeight="1" x14ac:dyDescent="0.2">
      <c r="C2" s="587" t="s">
        <v>134</v>
      </c>
      <c r="D2" s="587"/>
      <c r="E2" s="587"/>
      <c r="F2" s="587"/>
      <c r="G2" s="587"/>
      <c r="H2" s="587"/>
      <c r="I2" s="587"/>
      <c r="J2" s="587"/>
    </row>
    <row r="3" spans="3:11" x14ac:dyDescent="0.2">
      <c r="C3" s="587"/>
      <c r="D3" s="587"/>
      <c r="E3" s="587"/>
      <c r="F3" s="587"/>
      <c r="G3" s="587"/>
      <c r="H3" s="587"/>
      <c r="I3" s="587"/>
      <c r="J3" s="587"/>
    </row>
    <row r="4" spans="3:11" x14ac:dyDescent="0.2">
      <c r="C4" s="587"/>
      <c r="D4" s="587"/>
      <c r="E4" s="587"/>
      <c r="F4" s="587"/>
      <c r="G4" s="587"/>
      <c r="H4" s="587"/>
      <c r="I4" s="587"/>
      <c r="J4" s="587"/>
    </row>
    <row r="5" spans="3:11" x14ac:dyDescent="0.2">
      <c r="C5" s="587"/>
      <c r="D5" s="587"/>
      <c r="E5" s="587"/>
      <c r="F5" s="587"/>
      <c r="G5" s="587"/>
      <c r="H5" s="587"/>
      <c r="I5" s="587"/>
      <c r="J5" s="587"/>
    </row>
    <row r="6" spans="3:11" x14ac:dyDescent="0.2">
      <c r="C6" s="587"/>
      <c r="D6" s="587"/>
      <c r="E6" s="587"/>
      <c r="F6" s="587"/>
      <c r="G6" s="587"/>
      <c r="H6" s="587"/>
      <c r="I6" s="587"/>
      <c r="J6" s="587"/>
    </row>
    <row r="7" spans="3:11" ht="7.5" customHeight="1" x14ac:dyDescent="0.2">
      <c r="C7" s="9"/>
      <c r="D7" s="10"/>
      <c r="E7" s="10"/>
      <c r="F7" s="10"/>
      <c r="G7" s="10"/>
      <c r="H7" s="10"/>
      <c r="I7" s="10"/>
      <c r="J7" s="10"/>
    </row>
    <row r="8" spans="3:11" x14ac:dyDescent="0.2">
      <c r="C8" s="9"/>
      <c r="D8" s="10"/>
      <c r="E8" s="10"/>
      <c r="F8" s="18"/>
      <c r="G8" s="10"/>
      <c r="H8" s="10"/>
      <c r="I8" s="10"/>
      <c r="J8" s="10"/>
    </row>
    <row r="9" spans="3:11" s="6" customFormat="1" ht="27" customHeight="1" x14ac:dyDescent="0.25">
      <c r="C9" s="19"/>
      <c r="D9" s="596" t="s">
        <v>129</v>
      </c>
      <c r="E9" s="596"/>
      <c r="F9" s="588" t="s">
        <v>315</v>
      </c>
      <c r="G9" s="588"/>
      <c r="H9" s="588"/>
      <c r="I9" s="588"/>
      <c r="J9" s="588"/>
    </row>
    <row r="10" spans="3:11" s="6" customFormat="1" ht="15" customHeight="1" x14ac:dyDescent="0.25">
      <c r="C10" s="19"/>
      <c r="D10" s="595" t="s">
        <v>122</v>
      </c>
      <c r="E10" s="595"/>
      <c r="F10" s="588" t="s">
        <v>133</v>
      </c>
      <c r="G10" s="588"/>
      <c r="H10" s="588"/>
      <c r="I10" s="588"/>
      <c r="J10" s="588"/>
    </row>
    <row r="11" spans="3:11" s="6" customFormat="1" ht="15" customHeight="1" x14ac:dyDescent="0.25">
      <c r="C11" s="19"/>
      <c r="D11" s="595"/>
      <c r="E11" s="595"/>
      <c r="F11" s="588"/>
      <c r="G11" s="588"/>
      <c r="H11" s="588"/>
      <c r="I11" s="588"/>
      <c r="J11" s="588"/>
    </row>
    <row r="12" spans="3:11" s="6" customFormat="1" ht="30" customHeight="1" x14ac:dyDescent="0.25">
      <c r="C12" s="19"/>
      <c r="D12" s="589" t="s">
        <v>245</v>
      </c>
      <c r="E12" s="590"/>
      <c r="F12" s="588" t="s">
        <v>1795</v>
      </c>
      <c r="G12" s="588"/>
      <c r="H12" s="588"/>
      <c r="I12" s="588"/>
      <c r="J12" s="588"/>
    </row>
    <row r="13" spans="3:11" s="6" customFormat="1" ht="15" x14ac:dyDescent="0.25">
      <c r="C13" s="19"/>
      <c r="D13" s="591" t="s">
        <v>138</v>
      </c>
      <c r="E13" s="592"/>
      <c r="F13" s="588" t="s">
        <v>182</v>
      </c>
      <c r="G13" s="588"/>
      <c r="H13" s="588"/>
      <c r="I13" s="588"/>
      <c r="J13" s="588"/>
    </row>
    <row r="14" spans="3:11" s="6" customFormat="1" ht="25.5" customHeight="1" x14ac:dyDescent="0.25">
      <c r="C14" s="19"/>
      <c r="D14" s="593" t="s">
        <v>1380</v>
      </c>
      <c r="E14" s="594"/>
      <c r="F14" s="588" t="s">
        <v>1210</v>
      </c>
      <c r="G14" s="588"/>
      <c r="H14" s="588"/>
      <c r="I14" s="588"/>
      <c r="J14" s="588"/>
    </row>
    <row r="15" spans="3:11" s="6" customFormat="1" ht="15" customHeight="1" x14ac:dyDescent="0.25">
      <c r="C15" s="19"/>
      <c r="D15" s="412"/>
      <c r="E15" s="413"/>
      <c r="F15" s="409"/>
      <c r="G15" s="409"/>
      <c r="H15" s="409"/>
      <c r="I15" s="409"/>
      <c r="J15" s="409"/>
    </row>
    <row r="16" spans="3:11" s="6" customFormat="1" ht="30.75" customHeight="1" x14ac:dyDescent="0.25">
      <c r="C16" s="19"/>
      <c r="D16" s="414" t="s">
        <v>1303</v>
      </c>
      <c r="E16" s="586" t="s">
        <v>1381</v>
      </c>
      <c r="F16" s="586"/>
      <c r="G16" s="586"/>
      <c r="H16" s="586"/>
      <c r="I16" s="586"/>
      <c r="J16" s="586"/>
      <c r="K16" s="586"/>
    </row>
    <row r="17" ht="12.75" customHeight="1" x14ac:dyDescent="0.2"/>
    <row r="18" ht="12.75" customHeight="1" x14ac:dyDescent="0.2"/>
    <row r="19" ht="12.75" customHeight="1" x14ac:dyDescent="0.2"/>
    <row r="20" ht="12.75" customHeight="1" x14ac:dyDescent="0.2"/>
    <row r="21" ht="12.75" customHeight="1" x14ac:dyDescent="0.2"/>
    <row r="22" ht="12.75" customHeight="1" x14ac:dyDescent="0.2"/>
  </sheetData>
  <sheetProtection algorithmName="SHA-512" hashValue="odBn9P5rXJCVKMmJwP7+q5muh1YOXifBFm++cPpXSdfP1VTC6PH4Tttg3mRdLJT/I/HcklO2ZiG8WlgosYG6IA==" saltValue="PZzF4HBf0exg/1hl3o0YKQ==" spinCount="100000" sheet="1" objects="1" scenarios="1" autoFilter="0"/>
  <customSheetViews>
    <customSheetView guid="{885128CB-C7E7-4F99-B059-3D33F9918444}" scale="110" showPageBreaks="1" printArea="1" hiddenRows="1" view="pageLayout">
      <pageMargins left="0.7" right="0.7" top="1.6866666666666668" bottom="0.75" header="0.3" footer="0.3"/>
      <pageSetup scale="88" orientation="portrait" r:id="rId1"/>
      <headerFooter>
        <oddHeader>&amp;L&amp;G&amp;9
Fecha 02/07/2012&amp;CADMINISTRACIÓN GENERAL DE COMUNICACIONES 
Y TECNOLOGÍAS  DE LA INFORMACIÓN
&amp;F&amp;R&amp;G
&amp;9
Versión: 1.0</oddHeader>
        <oddFooter>&amp;RPágina &amp;P</oddFooter>
      </headerFooter>
    </customSheetView>
    <customSheetView guid="{41B348E9-DE08-4F64-948D-855D8EF9DC1D}" topLeftCell="A19">
      <selection activeCell="L19" sqref="L19"/>
      <pageMargins left="0.7" right="0.7" top="1.6866666666666668" bottom="0.75" header="0.3" footer="0.3"/>
      <pageSetup scale="88" orientation="portrait" r:id="rId2"/>
      <headerFooter>
        <oddHeader>&amp;L&amp;G&amp;9
Fecha 06/05/2013&amp;CADMINISTRACIÓN GENERAL DE COMUNICACIONES Y TECNOLOGÍAS  DE 
LA INFORMACIÓN
&amp;F
&amp;"-,Bold"&amp;A&amp;"-,Regular"
&amp;R
&amp;G
&amp;9
Versión: 3.1</oddHeader>
        <oddFooter>&amp;RPágina &amp;P</oddFooter>
      </headerFooter>
    </customSheetView>
  </customSheetViews>
  <mergeCells count="12">
    <mergeCell ref="E16:K16"/>
    <mergeCell ref="C2:J6"/>
    <mergeCell ref="F14:J14"/>
    <mergeCell ref="D12:E12"/>
    <mergeCell ref="D13:E13"/>
    <mergeCell ref="D14:E14"/>
    <mergeCell ref="F12:J12"/>
    <mergeCell ref="F13:J13"/>
    <mergeCell ref="D10:E11"/>
    <mergeCell ref="F10:J11"/>
    <mergeCell ref="D9:E9"/>
    <mergeCell ref="F9:J9"/>
  </mergeCells>
  <pageMargins left="0.7" right="0.7" top="1.6866666666666668" bottom="0.75" header="0.3" footer="0.3"/>
  <pageSetup scale="88" orientation="portrait" r:id="rId3"/>
  <headerFooter>
    <oddHeader>&amp;L&amp;G&amp;9
Fecha 06/05/2013&amp;CADMINISTRACIÓN GENERAL DE COMUNICACIONES Y TECNOLOGÍAS  DE 
LA INFORMACIÓN
&amp;F
&amp;"-,Bold"&amp;A&amp;"-,Regular"
&amp;R
&amp;G
&amp;9
Versión: 3.1</oddHeader>
    <oddFooter>&amp;RPágina &amp;P</oddFooter>
  </headerFooter>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H649"/>
  <sheetViews>
    <sheetView showGridLines="0" tabSelected="1" zoomScale="85" zoomScaleNormal="85" workbookViewId="0">
      <selection activeCell="G3" sqref="G3"/>
    </sheetView>
  </sheetViews>
  <sheetFormatPr baseColWidth="10" defaultColWidth="9.140625" defaultRowHeight="15" x14ac:dyDescent="0.25"/>
  <cols>
    <col min="1" max="1" width="24.85546875" style="493" customWidth="1"/>
    <col min="2" max="2" width="74.28515625" style="493" customWidth="1"/>
    <col min="3" max="3" width="52.140625" style="493" customWidth="1"/>
    <col min="4" max="4" width="32.7109375" style="507" customWidth="1"/>
    <col min="5" max="16384" width="9.140625" style="493"/>
  </cols>
  <sheetData>
    <row r="1" spans="1:8" ht="15" customHeight="1" x14ac:dyDescent="0.25">
      <c r="A1" s="601" t="s">
        <v>519</v>
      </c>
      <c r="B1" s="597" t="s">
        <v>355</v>
      </c>
      <c r="C1" s="598"/>
      <c r="D1" s="493"/>
    </row>
    <row r="2" spans="1:8" ht="15.75" customHeight="1" thickBot="1" x14ac:dyDescent="0.3">
      <c r="A2" s="602"/>
      <c r="B2" s="599"/>
      <c r="C2" s="600"/>
      <c r="D2" s="493"/>
    </row>
    <row r="3" spans="1:8" ht="41.25" customHeight="1" thickBot="1" x14ac:dyDescent="0.3">
      <c r="A3" s="494" t="s">
        <v>1174</v>
      </c>
      <c r="B3" s="58" t="s">
        <v>123</v>
      </c>
      <c r="C3" s="542" t="s">
        <v>1593</v>
      </c>
      <c r="D3" s="493"/>
    </row>
    <row r="4" spans="1:8" ht="35.25" customHeight="1" thickBot="1" x14ac:dyDescent="0.3">
      <c r="A4" s="495" t="s">
        <v>1220</v>
      </c>
      <c r="B4" s="58" t="s">
        <v>282</v>
      </c>
      <c r="C4" s="543"/>
      <c r="D4" s="493"/>
    </row>
    <row r="5" spans="1:8" ht="38.25" customHeight="1" thickBot="1" x14ac:dyDescent="0.3">
      <c r="A5" s="496" t="s">
        <v>1175</v>
      </c>
      <c r="B5" s="58" t="s">
        <v>99</v>
      </c>
      <c r="C5" s="542" t="s">
        <v>1823</v>
      </c>
      <c r="D5" s="493"/>
      <c r="F5" s="497"/>
    </row>
    <row r="6" spans="1:8" ht="27.75" customHeight="1" thickBot="1" x14ac:dyDescent="0.3">
      <c r="A6" s="606" t="s">
        <v>518</v>
      </c>
      <c r="B6" s="58" t="s">
        <v>110</v>
      </c>
      <c r="C6" s="542" t="s">
        <v>1824</v>
      </c>
      <c r="D6" s="493"/>
      <c r="F6" s="497"/>
    </row>
    <row r="7" spans="1:8" ht="24" customHeight="1" thickBot="1" x14ac:dyDescent="0.3">
      <c r="A7" s="607"/>
      <c r="B7" s="58" t="s">
        <v>314</v>
      </c>
      <c r="C7" s="542" t="s">
        <v>155</v>
      </c>
      <c r="D7" s="493"/>
      <c r="G7" s="498"/>
      <c r="H7" s="498"/>
    </row>
    <row r="8" spans="1:8" ht="24" customHeight="1" thickBot="1" x14ac:dyDescent="0.3">
      <c r="A8" s="607"/>
      <c r="B8" s="58" t="s">
        <v>1755</v>
      </c>
      <c r="C8" s="542">
        <v>363</v>
      </c>
      <c r="D8" s="493"/>
      <c r="G8" s="498"/>
      <c r="H8" s="498"/>
    </row>
    <row r="9" spans="1:8" ht="24" customHeight="1" thickBot="1" x14ac:dyDescent="0.3">
      <c r="A9" s="606" t="s">
        <v>122</v>
      </c>
      <c r="B9" s="58" t="s">
        <v>400</v>
      </c>
      <c r="C9" s="542">
        <v>302</v>
      </c>
      <c r="D9" s="493"/>
      <c r="G9" s="498"/>
      <c r="H9" s="498"/>
    </row>
    <row r="10" spans="1:8" ht="24" customHeight="1" thickBot="1" x14ac:dyDescent="0.3">
      <c r="A10" s="608"/>
      <c r="B10" s="58" t="s">
        <v>558</v>
      </c>
      <c r="C10" s="542"/>
      <c r="D10" s="493"/>
      <c r="G10" s="498"/>
      <c r="H10" s="498"/>
    </row>
    <row r="11" spans="1:8" ht="80.25" customHeight="1" thickBot="1" x14ac:dyDescent="0.3">
      <c r="A11" s="499" t="s">
        <v>518</v>
      </c>
      <c r="B11" s="58" t="s">
        <v>1197</v>
      </c>
      <c r="C11" s="544" t="s">
        <v>1825</v>
      </c>
      <c r="D11" s="493"/>
      <c r="G11" s="498"/>
      <c r="H11" s="498"/>
    </row>
    <row r="12" spans="1:8" ht="59.25" customHeight="1" thickBot="1" x14ac:dyDescent="0.3">
      <c r="A12" s="500" t="s">
        <v>1176</v>
      </c>
      <c r="B12" s="58" t="s">
        <v>356</v>
      </c>
      <c r="C12" s="545">
        <v>20181203</v>
      </c>
      <c r="D12" s="501">
        <f>DATE(LEFT(C12,4),MID(C12,5,2),RIGHT(C12,2))</f>
        <v>43437</v>
      </c>
      <c r="G12" s="498"/>
      <c r="H12" s="498"/>
    </row>
    <row r="13" spans="1:8" ht="19.5" thickBot="1" x14ac:dyDescent="0.3">
      <c r="A13" s="603" t="s">
        <v>107</v>
      </c>
      <c r="B13" s="58" t="s">
        <v>163</v>
      </c>
      <c r="C13" s="542" t="s">
        <v>277</v>
      </c>
      <c r="D13" s="502"/>
    </row>
    <row r="14" spans="1:8" ht="19.5" thickBot="1" x14ac:dyDescent="0.3">
      <c r="A14" s="604"/>
      <c r="B14" s="58" t="s">
        <v>152</v>
      </c>
      <c r="C14" s="542" t="s">
        <v>158</v>
      </c>
      <c r="D14" s="493"/>
    </row>
    <row r="15" spans="1:8" ht="19.5" thickBot="1" x14ac:dyDescent="0.3">
      <c r="A15" s="604"/>
      <c r="B15" s="58" t="s">
        <v>1592</v>
      </c>
      <c r="C15" s="542" t="s">
        <v>1826</v>
      </c>
      <c r="D15" s="493"/>
    </row>
    <row r="16" spans="1:8" ht="19.5" thickBot="1" x14ac:dyDescent="0.3">
      <c r="A16" s="605"/>
      <c r="B16" s="58" t="s">
        <v>489</v>
      </c>
      <c r="C16" s="542">
        <v>1</v>
      </c>
      <c r="D16" s="493"/>
    </row>
    <row r="17" spans="1:8" ht="19.5" thickBot="1" x14ac:dyDescent="0.3">
      <c r="A17" s="503"/>
      <c r="B17" s="58" t="s">
        <v>1763</v>
      </c>
      <c r="C17" s="542" t="s">
        <v>389</v>
      </c>
      <c r="D17" s="493"/>
    </row>
    <row r="18" spans="1:8" ht="19.5" thickBot="1" x14ac:dyDescent="0.3">
      <c r="A18" s="504"/>
      <c r="B18" s="58" t="s">
        <v>1623</v>
      </c>
      <c r="C18" s="542"/>
      <c r="D18" s="497" t="str">
        <f>CONCATENATE("*",C18,"*")</f>
        <v>**</v>
      </c>
    </row>
    <row r="19" spans="1:8" x14ac:dyDescent="0.25">
      <c r="D19" s="493"/>
    </row>
    <row r="20" spans="1:8" ht="18.75" x14ac:dyDescent="0.25">
      <c r="B20" s="505" t="s">
        <v>538</v>
      </c>
      <c r="C20" s="505" t="s">
        <v>290</v>
      </c>
      <c r="D20" s="505" t="s">
        <v>1884</v>
      </c>
    </row>
    <row r="21" spans="1:8" x14ac:dyDescent="0.25">
      <c r="B21" s="493" t="s">
        <v>1752</v>
      </c>
      <c r="C21" s="493" t="s">
        <v>1885</v>
      </c>
      <c r="D21" s="306">
        <v>3</v>
      </c>
      <c r="E21" s="506"/>
      <c r="F21" s="506"/>
      <c r="G21" s="506"/>
      <c r="H21" s="506"/>
    </row>
    <row r="22" spans="1:8" x14ac:dyDescent="0.25">
      <c r="B22" s="493" t="s">
        <v>467</v>
      </c>
      <c r="C22" s="493" t="s">
        <v>1886</v>
      </c>
      <c r="D22" s="306">
        <v>3</v>
      </c>
      <c r="E22" s="506"/>
      <c r="F22" s="506"/>
      <c r="G22" s="506"/>
      <c r="H22" s="506"/>
    </row>
    <row r="23" spans="1:8" x14ac:dyDescent="0.25">
      <c r="B23" s="493" t="s">
        <v>7</v>
      </c>
      <c r="C23" s="493" t="s">
        <v>1887</v>
      </c>
      <c r="D23" s="306">
        <v>3</v>
      </c>
      <c r="E23" s="506"/>
      <c r="F23" s="506"/>
      <c r="G23" s="506"/>
      <c r="H23" s="506"/>
    </row>
    <row r="24" spans="1:8" x14ac:dyDescent="0.25">
      <c r="B24" s="493" t="s">
        <v>10</v>
      </c>
      <c r="C24" s="493" t="s">
        <v>1888</v>
      </c>
      <c r="D24" s="306">
        <v>3</v>
      </c>
      <c r="E24" s="506"/>
      <c r="F24" s="506"/>
      <c r="G24" s="506"/>
      <c r="H24" s="506"/>
    </row>
    <row r="25" spans="1:8" x14ac:dyDescent="0.25">
      <c r="B25" s="493" t="s">
        <v>468</v>
      </c>
      <c r="C25" s="493" t="s">
        <v>1889</v>
      </c>
      <c r="D25" s="306">
        <v>3</v>
      </c>
      <c r="E25" s="506"/>
      <c r="F25" s="506"/>
      <c r="G25" s="506"/>
      <c r="H25" s="506"/>
    </row>
    <row r="26" spans="1:8" x14ac:dyDescent="0.25">
      <c r="B26" s="493" t="s">
        <v>1232</v>
      </c>
      <c r="C26" s="493" t="s">
        <v>1890</v>
      </c>
      <c r="D26" s="306">
        <v>3</v>
      </c>
      <c r="E26" s="506"/>
      <c r="F26" s="506"/>
      <c r="G26" s="506"/>
      <c r="H26" s="506"/>
    </row>
    <row r="27" spans="1:8" x14ac:dyDescent="0.25">
      <c r="B27" s="493" t="s">
        <v>469</v>
      </c>
      <c r="C27" s="493" t="s">
        <v>1891</v>
      </c>
      <c r="D27" s="306">
        <v>3</v>
      </c>
      <c r="E27" s="506"/>
      <c r="F27" s="506"/>
      <c r="G27" s="506"/>
      <c r="H27" s="506"/>
    </row>
    <row r="28" spans="1:8" x14ac:dyDescent="0.25">
      <c r="B28" s="493" t="s">
        <v>1698</v>
      </c>
      <c r="C28" s="493" t="s">
        <v>1892</v>
      </c>
      <c r="D28" s="306">
        <v>3</v>
      </c>
      <c r="E28" s="506"/>
      <c r="F28" s="506"/>
      <c r="G28" s="506"/>
      <c r="H28" s="506"/>
    </row>
    <row r="29" spans="1:8" x14ac:dyDescent="0.25">
      <c r="B29" s="493" t="s">
        <v>1786</v>
      </c>
      <c r="C29" s="493" t="s">
        <v>1893</v>
      </c>
      <c r="D29" s="306">
        <v>3</v>
      </c>
      <c r="E29" s="506"/>
      <c r="F29" s="506"/>
      <c r="G29" s="506"/>
      <c r="H29" s="506"/>
    </row>
    <row r="30" spans="1:8" x14ac:dyDescent="0.25">
      <c r="B30" s="493" t="s">
        <v>13</v>
      </c>
      <c r="C30" s="493" t="s">
        <v>1796</v>
      </c>
      <c r="D30" s="306">
        <v>3</v>
      </c>
      <c r="E30" s="506"/>
      <c r="F30" s="506"/>
      <c r="G30" s="506"/>
      <c r="H30" s="506"/>
    </row>
    <row r="31" spans="1:8" x14ac:dyDescent="0.25">
      <c r="B31" s="493" t="s">
        <v>303</v>
      </c>
      <c r="C31" s="493" t="s">
        <v>1894</v>
      </c>
      <c r="D31" s="306">
        <v>3</v>
      </c>
      <c r="E31" s="506"/>
      <c r="F31" s="506"/>
      <c r="G31" s="506"/>
      <c r="H31" s="506"/>
    </row>
    <row r="32" spans="1:8" x14ac:dyDescent="0.25">
      <c r="B32" s="493" t="s">
        <v>1749</v>
      </c>
      <c r="C32" s="493" t="s">
        <v>1895</v>
      </c>
      <c r="D32" s="306">
        <v>3</v>
      </c>
      <c r="E32" s="506"/>
      <c r="F32" s="506"/>
      <c r="G32" s="506"/>
      <c r="H32" s="506"/>
    </row>
    <row r="33" spans="2:8" x14ac:dyDescent="0.25">
      <c r="B33" s="493" t="s">
        <v>236</v>
      </c>
      <c r="C33" s="493" t="s">
        <v>1796</v>
      </c>
      <c r="D33" s="306">
        <v>3</v>
      </c>
      <c r="E33" s="506"/>
      <c r="F33" s="506"/>
      <c r="G33" s="506"/>
      <c r="H33" s="506"/>
    </row>
    <row r="34" spans="2:8" x14ac:dyDescent="0.25">
      <c r="B34" s="493" t="s">
        <v>1705</v>
      </c>
      <c r="C34" s="493" t="s">
        <v>1896</v>
      </c>
      <c r="D34" s="306">
        <v>4</v>
      </c>
      <c r="E34" s="506"/>
      <c r="F34" s="506"/>
      <c r="G34" s="506"/>
      <c r="H34" s="506"/>
    </row>
    <row r="35" spans="2:8" x14ac:dyDescent="0.25">
      <c r="B35" s="493" t="s">
        <v>1702</v>
      </c>
      <c r="C35" s="493" t="s">
        <v>1828</v>
      </c>
      <c r="D35" s="306">
        <v>5</v>
      </c>
      <c r="E35" s="506"/>
      <c r="F35" s="506"/>
      <c r="G35" s="506"/>
      <c r="H35" s="506"/>
    </row>
    <row r="36" spans="2:8" x14ac:dyDescent="0.25">
      <c r="B36" s="493" t="s">
        <v>16</v>
      </c>
      <c r="C36" s="493" t="s">
        <v>1829</v>
      </c>
      <c r="D36" s="306">
        <v>3</v>
      </c>
      <c r="E36" s="506"/>
      <c r="F36" s="506"/>
      <c r="G36" s="506"/>
      <c r="H36" s="506"/>
    </row>
    <row r="37" spans="2:8" x14ac:dyDescent="0.25">
      <c r="B37" s="493" t="s">
        <v>19</v>
      </c>
      <c r="C37" s="493" t="s">
        <v>1830</v>
      </c>
      <c r="D37" s="306">
        <v>3</v>
      </c>
      <c r="E37" s="506"/>
      <c r="F37" s="506"/>
      <c r="G37" s="506"/>
      <c r="H37" s="506"/>
    </row>
    <row r="38" spans="2:8" x14ac:dyDescent="0.25">
      <c r="B38" s="493" t="s">
        <v>22</v>
      </c>
      <c r="C38" s="493" t="s">
        <v>1831</v>
      </c>
      <c r="D38" s="306">
        <v>3</v>
      </c>
      <c r="E38" s="506"/>
      <c r="F38" s="506"/>
      <c r="G38" s="506"/>
      <c r="H38" s="506"/>
    </row>
    <row r="39" spans="2:8" x14ac:dyDescent="0.25">
      <c r="B39" s="493" t="s">
        <v>25</v>
      </c>
      <c r="C39" s="493" t="s">
        <v>1832</v>
      </c>
      <c r="D39" s="306">
        <v>3</v>
      </c>
      <c r="E39" s="506"/>
      <c r="F39" s="506"/>
      <c r="G39" s="506"/>
      <c r="H39" s="506"/>
    </row>
    <row r="40" spans="2:8" x14ac:dyDescent="0.25">
      <c r="B40" s="493" t="s">
        <v>1710</v>
      </c>
      <c r="C40" s="493" t="s">
        <v>1897</v>
      </c>
      <c r="D40" s="306">
        <v>4</v>
      </c>
      <c r="E40" s="506"/>
      <c r="F40" s="506"/>
      <c r="G40" s="506"/>
      <c r="H40" s="506"/>
    </row>
    <row r="41" spans="2:8" x14ac:dyDescent="0.25">
      <c r="B41" s="493" t="s">
        <v>485</v>
      </c>
      <c r="C41" s="493" t="s">
        <v>1796</v>
      </c>
      <c r="D41" s="306">
        <v>3</v>
      </c>
      <c r="E41" s="506"/>
      <c r="F41" s="506"/>
      <c r="G41" s="506"/>
      <c r="H41" s="506"/>
    </row>
    <row r="42" spans="2:8" x14ac:dyDescent="0.25">
      <c r="B42" s="493" t="s">
        <v>376</v>
      </c>
      <c r="C42" s="493" t="s">
        <v>1833</v>
      </c>
      <c r="D42" s="306">
        <v>3</v>
      </c>
      <c r="E42" s="506"/>
      <c r="F42" s="506"/>
      <c r="G42" s="506"/>
      <c r="H42" s="506"/>
    </row>
    <row r="43" spans="2:8" x14ac:dyDescent="0.25">
      <c r="B43" s="493" t="s">
        <v>29</v>
      </c>
      <c r="C43" s="493" t="s">
        <v>1834</v>
      </c>
      <c r="D43" s="306">
        <v>3</v>
      </c>
      <c r="E43" s="506"/>
      <c r="F43" s="506"/>
      <c r="G43" s="506"/>
      <c r="H43" s="506"/>
    </row>
    <row r="44" spans="2:8" x14ac:dyDescent="0.25">
      <c r="B44" s="493" t="s">
        <v>386</v>
      </c>
      <c r="C44" s="493" t="s">
        <v>1835</v>
      </c>
      <c r="D44" s="306">
        <v>3</v>
      </c>
      <c r="E44" s="506"/>
      <c r="F44" s="506"/>
      <c r="G44" s="506"/>
      <c r="H44" s="506"/>
    </row>
    <row r="45" spans="2:8" x14ac:dyDescent="0.25">
      <c r="B45" s="493" t="s">
        <v>1797</v>
      </c>
      <c r="C45" s="493" t="s">
        <v>1898</v>
      </c>
      <c r="D45" s="306">
        <v>3</v>
      </c>
      <c r="E45" s="506"/>
      <c r="F45" s="506"/>
      <c r="G45" s="506"/>
      <c r="H45" s="506"/>
    </row>
    <row r="46" spans="2:8" x14ac:dyDescent="0.25">
      <c r="B46" s="493" t="s">
        <v>308</v>
      </c>
      <c r="C46" s="493" t="s">
        <v>1836</v>
      </c>
      <c r="D46" s="306">
        <v>3</v>
      </c>
      <c r="E46" s="506"/>
      <c r="F46" s="506"/>
      <c r="G46" s="506"/>
      <c r="H46" s="506"/>
    </row>
    <row r="47" spans="2:8" x14ac:dyDescent="0.25">
      <c r="B47" s="493" t="s">
        <v>32</v>
      </c>
      <c r="C47" s="493" t="s">
        <v>1837</v>
      </c>
      <c r="D47" s="306">
        <v>3</v>
      </c>
      <c r="E47" s="506"/>
      <c r="F47" s="506"/>
      <c r="G47" s="506"/>
      <c r="H47" s="506"/>
    </row>
    <row r="48" spans="2:8" x14ac:dyDescent="0.25">
      <c r="B48" s="493" t="s">
        <v>35</v>
      </c>
      <c r="C48" s="493" t="s">
        <v>1838</v>
      </c>
      <c r="D48" s="306">
        <v>3</v>
      </c>
      <c r="E48" s="506"/>
      <c r="F48" s="506"/>
      <c r="G48" s="506"/>
      <c r="H48" s="506"/>
    </row>
    <row r="49" spans="2:8" x14ac:dyDescent="0.25">
      <c r="B49" s="493" t="s">
        <v>38</v>
      </c>
      <c r="C49" s="493" t="s">
        <v>1839</v>
      </c>
      <c r="D49" s="306">
        <v>3</v>
      </c>
      <c r="E49" s="506"/>
      <c r="F49" s="506"/>
      <c r="G49" s="506"/>
      <c r="H49" s="506"/>
    </row>
    <row r="50" spans="2:8" x14ac:dyDescent="0.25">
      <c r="B50" s="493" t="s">
        <v>310</v>
      </c>
      <c r="C50" s="493" t="s">
        <v>1840</v>
      </c>
      <c r="D50" s="306">
        <v>3</v>
      </c>
      <c r="E50" s="506"/>
      <c r="F50" s="506"/>
      <c r="G50" s="506"/>
      <c r="H50" s="506"/>
    </row>
    <row r="51" spans="2:8" x14ac:dyDescent="0.25">
      <c r="B51" s="493" t="s">
        <v>41</v>
      </c>
      <c r="C51" s="493" t="s">
        <v>1899</v>
      </c>
      <c r="D51" s="306">
        <v>3</v>
      </c>
      <c r="E51" s="506"/>
      <c r="F51" s="506"/>
      <c r="G51" s="506"/>
      <c r="H51" s="506"/>
    </row>
    <row r="52" spans="2:8" x14ac:dyDescent="0.25">
      <c r="B52" s="493" t="s">
        <v>43</v>
      </c>
      <c r="C52" s="493" t="s">
        <v>1841</v>
      </c>
      <c r="D52" s="306">
        <v>3</v>
      </c>
      <c r="E52" s="506"/>
      <c r="F52" s="506"/>
      <c r="G52" s="506"/>
      <c r="H52" s="506"/>
    </row>
    <row r="53" spans="2:8" x14ac:dyDescent="0.25">
      <c r="B53" s="493" t="s">
        <v>237</v>
      </c>
      <c r="C53" s="493" t="s">
        <v>1842</v>
      </c>
      <c r="D53" s="306">
        <v>3</v>
      </c>
      <c r="E53" s="506"/>
      <c r="F53" s="506"/>
      <c r="G53" s="506"/>
      <c r="H53" s="506"/>
    </row>
    <row r="54" spans="2:8" x14ac:dyDescent="0.25">
      <c r="B54" s="493" t="s">
        <v>48</v>
      </c>
      <c r="C54" s="493" t="s">
        <v>1843</v>
      </c>
      <c r="D54" s="306">
        <v>3</v>
      </c>
      <c r="E54" s="506"/>
      <c r="F54" s="506"/>
      <c r="G54" s="506"/>
      <c r="H54" s="506"/>
    </row>
    <row r="55" spans="2:8" x14ac:dyDescent="0.25">
      <c r="B55" s="493" t="s">
        <v>189</v>
      </c>
      <c r="C55" s="493" t="s">
        <v>1844</v>
      </c>
      <c r="D55" s="306">
        <v>3</v>
      </c>
      <c r="E55" s="506"/>
      <c r="F55" s="506"/>
      <c r="G55" s="506"/>
      <c r="H55" s="506"/>
    </row>
    <row r="56" spans="2:8" x14ac:dyDescent="0.25">
      <c r="B56" s="493" t="s">
        <v>1713</v>
      </c>
      <c r="C56" s="493" t="s">
        <v>1845</v>
      </c>
      <c r="D56" s="306">
        <v>5</v>
      </c>
      <c r="E56" s="506"/>
      <c r="F56" s="506"/>
      <c r="G56" s="506"/>
      <c r="H56" s="506"/>
    </row>
    <row r="57" spans="2:8" x14ac:dyDescent="0.25">
      <c r="B57" s="493" t="s">
        <v>306</v>
      </c>
      <c r="C57" s="493" t="s">
        <v>1846</v>
      </c>
      <c r="D57" s="306">
        <v>3</v>
      </c>
      <c r="E57" s="506"/>
      <c r="F57" s="506"/>
      <c r="G57" s="506"/>
      <c r="H57" s="506"/>
    </row>
    <row r="58" spans="2:8" x14ac:dyDescent="0.25">
      <c r="B58" s="493" t="s">
        <v>52</v>
      </c>
      <c r="C58" s="493" t="s">
        <v>1847</v>
      </c>
      <c r="D58" s="306">
        <v>3</v>
      </c>
      <c r="E58" s="506"/>
      <c r="F58" s="506"/>
      <c r="G58" s="506"/>
      <c r="H58" s="506"/>
    </row>
    <row r="59" spans="2:8" x14ac:dyDescent="0.25">
      <c r="B59" s="493" t="s">
        <v>55</v>
      </c>
      <c r="C59" s="493" t="s">
        <v>1848</v>
      </c>
      <c r="D59" s="306">
        <v>3</v>
      </c>
      <c r="E59" s="506"/>
      <c r="F59" s="506"/>
      <c r="G59" s="506"/>
      <c r="H59" s="506"/>
    </row>
    <row r="60" spans="2:8" x14ac:dyDescent="0.25">
      <c r="B60" s="493" t="s">
        <v>1716</v>
      </c>
      <c r="C60" s="493" t="s">
        <v>1849</v>
      </c>
      <c r="D60" s="306">
        <v>5</v>
      </c>
      <c r="E60" s="506"/>
      <c r="F60" s="506"/>
      <c r="G60" s="506"/>
      <c r="H60" s="506"/>
    </row>
    <row r="61" spans="2:8" x14ac:dyDescent="0.25">
      <c r="B61" s="493" t="s">
        <v>1717</v>
      </c>
      <c r="C61" s="493" t="s">
        <v>1850</v>
      </c>
      <c r="D61" s="306">
        <v>5</v>
      </c>
      <c r="E61" s="506"/>
      <c r="F61" s="506"/>
      <c r="G61" s="506"/>
      <c r="H61" s="506"/>
    </row>
    <row r="62" spans="2:8" x14ac:dyDescent="0.25">
      <c r="B62" s="493" t="s">
        <v>1718</v>
      </c>
      <c r="C62" s="493" t="s">
        <v>1851</v>
      </c>
      <c r="D62" s="306">
        <v>5</v>
      </c>
      <c r="E62" s="506"/>
      <c r="F62" s="506"/>
      <c r="G62" s="506"/>
      <c r="H62" s="506"/>
    </row>
    <row r="63" spans="2:8" x14ac:dyDescent="0.25">
      <c r="B63" s="493" t="s">
        <v>57</v>
      </c>
      <c r="C63" s="493" t="s">
        <v>1852</v>
      </c>
      <c r="D63" s="306">
        <v>3</v>
      </c>
      <c r="E63" s="506"/>
      <c r="F63" s="506"/>
      <c r="G63" s="506"/>
      <c r="H63" s="506"/>
    </row>
    <row r="64" spans="2:8" x14ac:dyDescent="0.25">
      <c r="B64" s="493" t="s">
        <v>58</v>
      </c>
      <c r="C64" s="493" t="s">
        <v>1853</v>
      </c>
      <c r="D64" s="306">
        <v>3</v>
      </c>
      <c r="E64" s="506"/>
      <c r="F64" s="506"/>
      <c r="G64" s="506"/>
      <c r="H64" s="506"/>
    </row>
    <row r="65" spans="2:8" x14ac:dyDescent="0.25">
      <c r="B65" s="493" t="s">
        <v>61</v>
      </c>
      <c r="C65" s="493" t="s">
        <v>1854</v>
      </c>
      <c r="D65" s="306">
        <v>3</v>
      </c>
      <c r="E65" s="506"/>
      <c r="F65" s="506"/>
      <c r="G65" s="506"/>
      <c r="H65" s="506"/>
    </row>
    <row r="66" spans="2:8" x14ac:dyDescent="0.25">
      <c r="B66" s="493" t="s">
        <v>64</v>
      </c>
      <c r="C66" s="493" t="s">
        <v>1855</v>
      </c>
      <c r="D66" s="306">
        <v>3</v>
      </c>
      <c r="E66" s="506"/>
      <c r="F66" s="506"/>
      <c r="G66" s="506"/>
      <c r="H66" s="506"/>
    </row>
    <row r="67" spans="2:8" x14ac:dyDescent="0.25">
      <c r="B67" s="493" t="s">
        <v>67</v>
      </c>
      <c r="C67" s="493" t="s">
        <v>1856</v>
      </c>
      <c r="D67" s="306">
        <v>3</v>
      </c>
      <c r="E67" s="506"/>
      <c r="F67" s="506"/>
      <c r="G67" s="506"/>
      <c r="H67" s="506"/>
    </row>
    <row r="68" spans="2:8" x14ac:dyDescent="0.25">
      <c r="B68" s="493" t="s">
        <v>295</v>
      </c>
      <c r="C68" s="493" t="s">
        <v>1857</v>
      </c>
      <c r="D68" s="306">
        <v>3</v>
      </c>
      <c r="E68" s="506"/>
      <c r="F68" s="506"/>
      <c r="G68" s="506"/>
      <c r="H68" s="506"/>
    </row>
    <row r="69" spans="2:8" x14ac:dyDescent="0.25">
      <c r="B69" s="493" t="s">
        <v>1827</v>
      </c>
      <c r="C69" s="493" t="s">
        <v>1858</v>
      </c>
      <c r="D69" s="306">
        <v>3</v>
      </c>
      <c r="E69" s="506"/>
      <c r="F69" s="506"/>
      <c r="G69" s="506"/>
      <c r="H69" s="506"/>
    </row>
    <row r="70" spans="2:8" x14ac:dyDescent="0.25">
      <c r="B70" s="493" t="s">
        <v>183</v>
      </c>
      <c r="C70" s="493" t="s">
        <v>1859</v>
      </c>
      <c r="D70" s="306">
        <v>3</v>
      </c>
      <c r="E70" s="506"/>
      <c r="F70" s="506"/>
      <c r="G70" s="506"/>
      <c r="H70" s="506"/>
    </row>
    <row r="71" spans="2:8" x14ac:dyDescent="0.25">
      <c r="B71" s="493" t="s">
        <v>70</v>
      </c>
      <c r="C71" s="493" t="s">
        <v>1860</v>
      </c>
      <c r="D71" s="306">
        <v>3</v>
      </c>
      <c r="E71" s="506"/>
      <c r="F71" s="506"/>
      <c r="G71" s="506"/>
      <c r="H71" s="506"/>
    </row>
    <row r="72" spans="2:8" x14ac:dyDescent="0.25">
      <c r="B72" s="493" t="s">
        <v>1725</v>
      </c>
      <c r="C72" s="493" t="s">
        <v>1861</v>
      </c>
      <c r="D72" s="306">
        <v>5</v>
      </c>
      <c r="E72" s="506"/>
      <c r="F72" s="506"/>
      <c r="G72" s="506"/>
      <c r="H72" s="506"/>
    </row>
    <row r="73" spans="2:8" x14ac:dyDescent="0.25">
      <c r="B73" s="493" t="s">
        <v>1726</v>
      </c>
      <c r="C73" s="493" t="s">
        <v>1862</v>
      </c>
      <c r="D73" s="306">
        <v>5</v>
      </c>
      <c r="E73" s="506"/>
      <c r="F73" s="506"/>
      <c r="G73" s="506"/>
      <c r="H73" s="506"/>
    </row>
    <row r="74" spans="2:8" x14ac:dyDescent="0.25">
      <c r="B74" s="493" t="s">
        <v>1731</v>
      </c>
      <c r="C74" s="493" t="s">
        <v>1863</v>
      </c>
      <c r="D74" s="306">
        <v>5</v>
      </c>
      <c r="E74" s="506"/>
      <c r="F74" s="506"/>
      <c r="G74" s="506"/>
      <c r="H74" s="506"/>
    </row>
    <row r="75" spans="2:8" x14ac:dyDescent="0.25">
      <c r="B75" s="493" t="s">
        <v>1742</v>
      </c>
      <c r="C75" s="493" t="s">
        <v>1864</v>
      </c>
      <c r="D75" s="306">
        <v>5</v>
      </c>
      <c r="E75" s="506"/>
      <c r="F75" s="506"/>
      <c r="G75" s="506"/>
      <c r="H75" s="506"/>
    </row>
    <row r="76" spans="2:8" x14ac:dyDescent="0.25">
      <c r="B76" s="493" t="s">
        <v>73</v>
      </c>
      <c r="C76" s="493" t="s">
        <v>1865</v>
      </c>
      <c r="D76" s="306">
        <v>3</v>
      </c>
      <c r="E76" s="506"/>
      <c r="F76" s="506"/>
      <c r="G76" s="506"/>
      <c r="H76" s="506"/>
    </row>
    <row r="77" spans="2:8" x14ac:dyDescent="0.25">
      <c r="B77" s="493" t="s">
        <v>76</v>
      </c>
      <c r="C77" s="493" t="s">
        <v>1866</v>
      </c>
      <c r="D77" s="306">
        <v>3</v>
      </c>
      <c r="E77" s="506"/>
      <c r="F77" s="506"/>
      <c r="G77" s="506"/>
      <c r="H77" s="506"/>
    </row>
    <row r="78" spans="2:8" x14ac:dyDescent="0.25">
      <c r="B78" s="493" t="s">
        <v>79</v>
      </c>
      <c r="C78" s="493" t="s">
        <v>1867</v>
      </c>
      <c r="D78" s="306">
        <v>3</v>
      </c>
      <c r="E78" s="506"/>
      <c r="F78" s="506"/>
      <c r="G78" s="506"/>
      <c r="H78" s="506"/>
    </row>
    <row r="79" spans="2:8" x14ac:dyDescent="0.25">
      <c r="B79" s="493" t="s">
        <v>112</v>
      </c>
      <c r="C79" s="493" t="s">
        <v>1868</v>
      </c>
      <c r="D79" s="306">
        <v>3</v>
      </c>
      <c r="E79" s="506"/>
      <c r="F79" s="506"/>
      <c r="G79" s="506"/>
      <c r="H79" s="506"/>
    </row>
    <row r="80" spans="2:8" x14ac:dyDescent="0.25">
      <c r="B80" s="493" t="s">
        <v>296</v>
      </c>
      <c r="C80" s="493" t="s">
        <v>1869</v>
      </c>
      <c r="D80" s="306">
        <v>3</v>
      </c>
      <c r="E80" s="506"/>
      <c r="F80" s="506"/>
      <c r="G80" s="506"/>
      <c r="H80" s="506"/>
    </row>
    <row r="81" spans="2:8" x14ac:dyDescent="0.25">
      <c r="B81" s="493" t="s">
        <v>84</v>
      </c>
      <c r="C81" s="493" t="s">
        <v>1870</v>
      </c>
      <c r="D81" s="306">
        <v>3</v>
      </c>
      <c r="E81" s="506"/>
      <c r="F81" s="506"/>
      <c r="G81" s="506"/>
      <c r="H81" s="506"/>
    </row>
    <row r="82" spans="2:8" x14ac:dyDescent="0.25">
      <c r="B82" s="493" t="s">
        <v>87</v>
      </c>
      <c r="C82" s="493" t="s">
        <v>1871</v>
      </c>
      <c r="D82" s="306">
        <v>3</v>
      </c>
      <c r="E82" s="506"/>
      <c r="F82" s="506"/>
      <c r="G82" s="506"/>
      <c r="H82" s="506"/>
    </row>
    <row r="83" spans="2:8" x14ac:dyDescent="0.25">
      <c r="B83" s="493" t="s">
        <v>1736</v>
      </c>
      <c r="C83" s="493" t="s">
        <v>1872</v>
      </c>
      <c r="D83" s="306">
        <v>3</v>
      </c>
      <c r="E83" s="506"/>
      <c r="F83" s="506"/>
      <c r="G83" s="506"/>
      <c r="H83" s="506"/>
    </row>
    <row r="84" spans="2:8" x14ac:dyDescent="0.25">
      <c r="B84" s="493" t="s">
        <v>297</v>
      </c>
      <c r="C84" s="493" t="s">
        <v>1873</v>
      </c>
      <c r="D84" s="306">
        <v>3</v>
      </c>
      <c r="E84" s="506"/>
      <c r="F84" s="506"/>
      <c r="G84" s="506"/>
      <c r="H84" s="506"/>
    </row>
    <row r="85" spans="2:8" x14ac:dyDescent="0.25">
      <c r="B85" s="493" t="s">
        <v>298</v>
      </c>
      <c r="C85" s="493" t="s">
        <v>1874</v>
      </c>
      <c r="D85" s="306">
        <v>3</v>
      </c>
      <c r="E85" s="506"/>
      <c r="F85" s="506"/>
      <c r="G85" s="506"/>
      <c r="H85" s="506"/>
    </row>
    <row r="86" spans="2:8" x14ac:dyDescent="0.25">
      <c r="B86" s="493" t="s">
        <v>476</v>
      </c>
      <c r="C86" s="493" t="s">
        <v>1900</v>
      </c>
      <c r="D86" s="306">
        <v>3</v>
      </c>
      <c r="E86" s="506"/>
      <c r="F86" s="506"/>
      <c r="G86" s="506"/>
      <c r="H86" s="506"/>
    </row>
    <row r="87" spans="2:8" x14ac:dyDescent="0.25">
      <c r="B87" s="493" t="s">
        <v>299</v>
      </c>
      <c r="C87" s="493" t="s">
        <v>1875</v>
      </c>
      <c r="D87" s="306">
        <v>3</v>
      </c>
      <c r="E87" s="506"/>
      <c r="F87" s="506"/>
      <c r="G87" s="506"/>
      <c r="H87" s="506"/>
    </row>
    <row r="88" spans="2:8" x14ac:dyDescent="0.25">
      <c r="B88" s="493" t="s">
        <v>1746</v>
      </c>
      <c r="C88" s="493" t="s">
        <v>1796</v>
      </c>
      <c r="D88" s="306">
        <v>3</v>
      </c>
      <c r="E88" s="506"/>
      <c r="F88" s="506"/>
      <c r="G88" s="506"/>
      <c r="H88" s="506"/>
    </row>
    <row r="89" spans="2:8" x14ac:dyDescent="0.25">
      <c r="B89" s="493" t="s">
        <v>190</v>
      </c>
      <c r="C89" s="493" t="s">
        <v>1876</v>
      </c>
      <c r="D89" s="306">
        <v>3</v>
      </c>
      <c r="E89" s="506"/>
      <c r="F89" s="506"/>
      <c r="G89" s="506"/>
      <c r="H89" s="506"/>
    </row>
    <row r="90" spans="2:8" x14ac:dyDescent="0.25">
      <c r="B90" s="493" t="s">
        <v>300</v>
      </c>
      <c r="C90" s="493" t="s">
        <v>1877</v>
      </c>
      <c r="D90" s="306">
        <v>3</v>
      </c>
      <c r="E90" s="506"/>
      <c r="F90" s="506"/>
      <c r="G90" s="506"/>
      <c r="H90" s="506"/>
    </row>
    <row r="91" spans="2:8" x14ac:dyDescent="0.25">
      <c r="B91" s="493" t="s">
        <v>90</v>
      </c>
      <c r="C91" s="493" t="s">
        <v>1878</v>
      </c>
      <c r="D91" s="306">
        <v>3</v>
      </c>
      <c r="E91" s="506"/>
      <c r="F91" s="506"/>
      <c r="G91" s="506"/>
      <c r="H91" s="506"/>
    </row>
    <row r="92" spans="2:8" x14ac:dyDescent="0.25">
      <c r="B92" s="493" t="s">
        <v>214</v>
      </c>
      <c r="C92" s="493" t="s">
        <v>1879</v>
      </c>
      <c r="D92" s="306">
        <v>3</v>
      </c>
      <c r="E92" s="506"/>
      <c r="F92" s="506"/>
      <c r="G92" s="506"/>
      <c r="H92" s="506"/>
    </row>
    <row r="93" spans="2:8" x14ac:dyDescent="0.25">
      <c r="B93" s="493" t="s">
        <v>93</v>
      </c>
      <c r="C93" s="493" t="s">
        <v>1880</v>
      </c>
      <c r="D93" s="306">
        <v>3</v>
      </c>
      <c r="E93" s="506"/>
      <c r="F93" s="506"/>
      <c r="G93" s="506"/>
      <c r="H93" s="506"/>
    </row>
    <row r="94" spans="2:8" x14ac:dyDescent="0.25">
      <c r="B94" s="493" t="s">
        <v>1700</v>
      </c>
      <c r="C94" s="493" t="s">
        <v>1881</v>
      </c>
      <c r="D94" s="306">
        <v>3</v>
      </c>
      <c r="E94" s="506"/>
      <c r="F94" s="506"/>
      <c r="G94" s="506"/>
      <c r="H94" s="506"/>
    </row>
    <row r="95" spans="2:8" x14ac:dyDescent="0.25">
      <c r="B95" s="493" t="s">
        <v>1738</v>
      </c>
      <c r="C95" s="493" t="s">
        <v>1882</v>
      </c>
      <c r="D95" s="306">
        <v>3</v>
      </c>
      <c r="E95" s="506"/>
      <c r="F95" s="506"/>
      <c r="G95" s="506"/>
      <c r="H95" s="506"/>
    </row>
    <row r="96" spans="2:8" x14ac:dyDescent="0.25">
      <c r="B96" s="493" t="s">
        <v>1739</v>
      </c>
      <c r="C96" s="493" t="s">
        <v>1883</v>
      </c>
      <c r="D96" s="306">
        <v>3</v>
      </c>
      <c r="E96" s="506"/>
      <c r="F96" s="506"/>
      <c r="G96" s="506"/>
      <c r="H96" s="506"/>
    </row>
    <row r="97" spans="4:8" x14ac:dyDescent="0.25">
      <c r="D97" s="506"/>
      <c r="E97" s="506"/>
      <c r="F97" s="506"/>
      <c r="G97" s="506"/>
      <c r="H97" s="506"/>
    </row>
    <row r="98" spans="4:8" x14ac:dyDescent="0.25">
      <c r="D98" s="506"/>
      <c r="E98" s="506"/>
      <c r="F98" s="506"/>
      <c r="G98" s="506"/>
      <c r="H98" s="506"/>
    </row>
    <row r="99" spans="4:8" x14ac:dyDescent="0.25">
      <c r="D99" s="506"/>
      <c r="E99" s="506"/>
      <c r="F99" s="506"/>
      <c r="G99" s="506"/>
      <c r="H99" s="506"/>
    </row>
    <row r="100" spans="4:8" x14ac:dyDescent="0.25">
      <c r="D100" s="506"/>
      <c r="E100" s="506"/>
      <c r="F100" s="506"/>
      <c r="G100" s="506"/>
      <c r="H100" s="506"/>
    </row>
    <row r="101" spans="4:8" x14ac:dyDescent="0.25">
      <c r="D101" s="506"/>
      <c r="E101" s="506"/>
      <c r="F101" s="506"/>
      <c r="G101" s="506"/>
      <c r="H101" s="506"/>
    </row>
    <row r="102" spans="4:8" x14ac:dyDescent="0.25">
      <c r="D102" s="506"/>
      <c r="E102" s="506"/>
      <c r="F102" s="506"/>
      <c r="G102" s="506"/>
      <c r="H102" s="506"/>
    </row>
    <row r="103" spans="4:8" x14ac:dyDescent="0.25">
      <c r="D103" s="506"/>
      <c r="E103" s="506"/>
      <c r="F103" s="506"/>
      <c r="G103" s="506"/>
      <c r="H103" s="506"/>
    </row>
    <row r="104" spans="4:8" x14ac:dyDescent="0.25">
      <c r="D104" s="506"/>
      <c r="E104" s="506"/>
      <c r="F104" s="506"/>
      <c r="G104" s="506"/>
      <c r="H104" s="506"/>
    </row>
    <row r="105" spans="4:8" x14ac:dyDescent="0.25">
      <c r="D105" s="506"/>
      <c r="E105" s="506"/>
      <c r="F105" s="506"/>
      <c r="G105" s="506"/>
      <c r="H105" s="506"/>
    </row>
    <row r="106" spans="4:8" x14ac:dyDescent="0.25">
      <c r="D106" s="506"/>
      <c r="E106" s="506"/>
      <c r="F106" s="506"/>
      <c r="G106" s="506"/>
      <c r="H106" s="506"/>
    </row>
    <row r="107" spans="4:8" x14ac:dyDescent="0.25">
      <c r="D107" s="506"/>
      <c r="E107" s="506"/>
      <c r="F107" s="506"/>
      <c r="G107" s="506"/>
      <c r="H107" s="506"/>
    </row>
    <row r="108" spans="4:8" x14ac:dyDescent="0.25">
      <c r="D108" s="506"/>
      <c r="E108" s="506"/>
      <c r="F108" s="506"/>
      <c r="G108" s="506"/>
      <c r="H108" s="506"/>
    </row>
    <row r="109" spans="4:8" x14ac:dyDescent="0.25">
      <c r="D109" s="506"/>
      <c r="E109" s="506"/>
      <c r="F109" s="506"/>
      <c r="G109" s="506"/>
      <c r="H109" s="506"/>
    </row>
    <row r="110" spans="4:8" x14ac:dyDescent="0.25">
      <c r="D110" s="506"/>
      <c r="E110" s="506"/>
      <c r="F110" s="506"/>
      <c r="G110" s="506"/>
      <c r="H110" s="506"/>
    </row>
    <row r="111" spans="4:8" x14ac:dyDescent="0.25">
      <c r="D111" s="506"/>
      <c r="E111" s="506"/>
      <c r="F111" s="506"/>
      <c r="G111" s="506"/>
      <c r="H111" s="506"/>
    </row>
    <row r="112" spans="4:8" x14ac:dyDescent="0.25">
      <c r="D112" s="506"/>
      <c r="E112" s="506"/>
      <c r="F112" s="506"/>
      <c r="G112" s="506"/>
      <c r="H112" s="506"/>
    </row>
    <row r="113" spans="4:8" x14ac:dyDescent="0.25">
      <c r="D113" s="506"/>
      <c r="E113" s="506"/>
      <c r="F113" s="506"/>
      <c r="G113" s="506"/>
      <c r="H113" s="506"/>
    </row>
    <row r="114" spans="4:8" x14ac:dyDescent="0.25">
      <c r="D114" s="506"/>
      <c r="E114" s="506"/>
      <c r="F114" s="506"/>
      <c r="G114" s="506"/>
      <c r="H114" s="506"/>
    </row>
    <row r="115" spans="4:8" x14ac:dyDescent="0.25">
      <c r="D115" s="506"/>
      <c r="E115" s="506"/>
      <c r="F115" s="506"/>
      <c r="G115" s="506"/>
      <c r="H115" s="506"/>
    </row>
    <row r="116" spans="4:8" x14ac:dyDescent="0.25">
      <c r="D116" s="506"/>
      <c r="E116" s="506"/>
      <c r="F116" s="506"/>
      <c r="G116" s="506"/>
      <c r="H116" s="506"/>
    </row>
    <row r="117" spans="4:8" x14ac:dyDescent="0.25">
      <c r="D117" s="506"/>
      <c r="E117" s="506"/>
      <c r="F117" s="506"/>
      <c r="G117" s="506"/>
      <c r="H117" s="506"/>
    </row>
    <row r="118" spans="4:8" x14ac:dyDescent="0.25">
      <c r="D118" s="506"/>
      <c r="E118" s="506"/>
      <c r="F118" s="506"/>
      <c r="G118" s="506"/>
      <c r="H118" s="506"/>
    </row>
    <row r="119" spans="4:8" x14ac:dyDescent="0.25">
      <c r="D119" s="506"/>
      <c r="E119" s="506"/>
      <c r="F119" s="506"/>
      <c r="G119" s="506"/>
      <c r="H119" s="506"/>
    </row>
    <row r="120" spans="4:8" x14ac:dyDescent="0.25">
      <c r="D120" s="506"/>
      <c r="E120" s="506"/>
      <c r="F120" s="506"/>
      <c r="G120" s="506"/>
      <c r="H120" s="506"/>
    </row>
    <row r="121" spans="4:8" x14ac:dyDescent="0.25">
      <c r="D121" s="506"/>
      <c r="E121" s="506"/>
      <c r="F121" s="506"/>
      <c r="G121" s="506"/>
      <c r="H121" s="506"/>
    </row>
    <row r="122" spans="4:8" x14ac:dyDescent="0.25">
      <c r="D122" s="506"/>
      <c r="E122" s="506"/>
      <c r="F122" s="506"/>
      <c r="G122" s="506"/>
      <c r="H122" s="506"/>
    </row>
    <row r="123" spans="4:8" x14ac:dyDescent="0.25">
      <c r="D123" s="506"/>
      <c r="E123" s="506"/>
      <c r="F123" s="506"/>
      <c r="G123" s="506"/>
      <c r="H123" s="506"/>
    </row>
    <row r="124" spans="4:8" x14ac:dyDescent="0.25">
      <c r="D124" s="506"/>
      <c r="E124" s="506"/>
      <c r="F124" s="506"/>
      <c r="G124" s="506"/>
      <c r="H124" s="506"/>
    </row>
    <row r="125" spans="4:8" x14ac:dyDescent="0.25">
      <c r="D125" s="506"/>
      <c r="E125" s="506"/>
      <c r="F125" s="506"/>
      <c r="G125" s="506"/>
      <c r="H125" s="506"/>
    </row>
    <row r="126" spans="4:8" x14ac:dyDescent="0.25">
      <c r="D126" s="506"/>
      <c r="E126" s="506"/>
      <c r="F126" s="506"/>
      <c r="G126" s="506"/>
      <c r="H126" s="506"/>
    </row>
    <row r="127" spans="4:8" x14ac:dyDescent="0.25">
      <c r="D127" s="506"/>
      <c r="E127" s="506"/>
      <c r="F127" s="506"/>
      <c r="G127" s="506"/>
      <c r="H127" s="506"/>
    </row>
    <row r="128" spans="4:8" x14ac:dyDescent="0.25">
      <c r="D128" s="506"/>
      <c r="E128" s="506"/>
      <c r="F128" s="506"/>
      <c r="G128" s="506"/>
      <c r="H128" s="506"/>
    </row>
    <row r="129" spans="4:8" x14ac:dyDescent="0.25">
      <c r="D129" s="506"/>
      <c r="E129" s="506"/>
      <c r="F129" s="506"/>
      <c r="G129" s="506"/>
      <c r="H129" s="506"/>
    </row>
    <row r="130" spans="4:8" x14ac:dyDescent="0.25">
      <c r="D130" s="506"/>
      <c r="E130" s="506"/>
      <c r="F130" s="506"/>
      <c r="G130" s="506"/>
      <c r="H130" s="506"/>
    </row>
    <row r="131" spans="4:8" x14ac:dyDescent="0.25">
      <c r="D131" s="506"/>
      <c r="E131" s="506"/>
      <c r="F131" s="506"/>
      <c r="G131" s="506"/>
      <c r="H131" s="506"/>
    </row>
    <row r="132" spans="4:8" x14ac:dyDescent="0.25">
      <c r="D132" s="506"/>
      <c r="E132" s="506"/>
      <c r="F132" s="506"/>
      <c r="G132" s="506"/>
      <c r="H132" s="506"/>
    </row>
    <row r="133" spans="4:8" x14ac:dyDescent="0.25">
      <c r="D133" s="506"/>
      <c r="E133" s="506"/>
      <c r="F133" s="506"/>
      <c r="G133" s="506"/>
      <c r="H133" s="506"/>
    </row>
    <row r="134" spans="4:8" x14ac:dyDescent="0.25">
      <c r="D134" s="506"/>
      <c r="E134" s="506"/>
      <c r="F134" s="506"/>
      <c r="G134" s="506"/>
      <c r="H134" s="506"/>
    </row>
    <row r="135" spans="4:8" x14ac:dyDescent="0.25">
      <c r="D135" s="506"/>
      <c r="E135" s="506"/>
      <c r="F135" s="506"/>
      <c r="G135" s="506"/>
      <c r="H135" s="506"/>
    </row>
    <row r="136" spans="4:8" x14ac:dyDescent="0.25">
      <c r="D136" s="506"/>
      <c r="E136" s="506"/>
      <c r="F136" s="506"/>
      <c r="G136" s="506"/>
      <c r="H136" s="506"/>
    </row>
    <row r="137" spans="4:8" x14ac:dyDescent="0.25">
      <c r="D137" s="506"/>
      <c r="E137" s="506"/>
      <c r="F137" s="506"/>
      <c r="G137" s="506"/>
      <c r="H137" s="506"/>
    </row>
    <row r="138" spans="4:8" x14ac:dyDescent="0.25">
      <c r="D138" s="506"/>
      <c r="E138" s="506"/>
      <c r="F138" s="506"/>
      <c r="G138" s="506"/>
      <c r="H138" s="506"/>
    </row>
    <row r="139" spans="4:8" x14ac:dyDescent="0.25">
      <c r="D139" s="506"/>
      <c r="E139" s="506"/>
      <c r="F139" s="506"/>
      <c r="G139" s="506"/>
      <c r="H139" s="506"/>
    </row>
    <row r="140" spans="4:8" x14ac:dyDescent="0.25">
      <c r="D140" s="506"/>
      <c r="E140" s="506"/>
      <c r="F140" s="506"/>
      <c r="G140" s="506"/>
      <c r="H140" s="506"/>
    </row>
    <row r="141" spans="4:8" x14ac:dyDescent="0.25">
      <c r="D141" s="506"/>
      <c r="E141" s="506"/>
      <c r="F141" s="506"/>
      <c r="G141" s="506"/>
      <c r="H141" s="506"/>
    </row>
    <row r="142" spans="4:8" x14ac:dyDescent="0.25">
      <c r="D142" s="506"/>
      <c r="E142" s="506"/>
      <c r="F142" s="506"/>
      <c r="G142" s="506"/>
      <c r="H142" s="506"/>
    </row>
    <row r="143" spans="4:8" x14ac:dyDescent="0.25">
      <c r="D143" s="506"/>
      <c r="E143" s="506"/>
      <c r="F143" s="506"/>
      <c r="G143" s="506"/>
      <c r="H143" s="506"/>
    </row>
    <row r="144" spans="4:8" x14ac:dyDescent="0.25">
      <c r="D144" s="506"/>
      <c r="E144" s="506"/>
      <c r="F144" s="506"/>
      <c r="G144" s="506"/>
      <c r="H144" s="506"/>
    </row>
    <row r="145" spans="4:8" x14ac:dyDescent="0.25">
      <c r="D145" s="506"/>
      <c r="E145" s="506"/>
      <c r="F145" s="506"/>
      <c r="G145" s="506"/>
      <c r="H145" s="506"/>
    </row>
    <row r="146" spans="4:8" x14ac:dyDescent="0.25">
      <c r="D146" s="506"/>
      <c r="E146" s="506"/>
      <c r="F146" s="506"/>
      <c r="G146" s="506"/>
      <c r="H146" s="506"/>
    </row>
    <row r="147" spans="4:8" x14ac:dyDescent="0.25">
      <c r="D147" s="506"/>
      <c r="E147" s="506"/>
      <c r="F147" s="506"/>
      <c r="G147" s="506"/>
      <c r="H147" s="506"/>
    </row>
    <row r="148" spans="4:8" x14ac:dyDescent="0.25">
      <c r="D148" s="506"/>
      <c r="E148" s="506"/>
      <c r="F148" s="506"/>
      <c r="G148" s="506"/>
      <c r="H148" s="506"/>
    </row>
    <row r="149" spans="4:8" x14ac:dyDescent="0.25">
      <c r="D149" s="506"/>
      <c r="E149" s="506"/>
      <c r="F149" s="506"/>
      <c r="G149" s="506"/>
      <c r="H149" s="506"/>
    </row>
    <row r="150" spans="4:8" x14ac:dyDescent="0.25">
      <c r="D150" s="506"/>
      <c r="E150" s="506"/>
      <c r="F150" s="506"/>
      <c r="G150" s="506"/>
      <c r="H150" s="506"/>
    </row>
    <row r="151" spans="4:8" x14ac:dyDescent="0.25">
      <c r="D151" s="506"/>
      <c r="E151" s="506"/>
      <c r="F151" s="506"/>
      <c r="G151" s="506"/>
      <c r="H151" s="506"/>
    </row>
    <row r="152" spans="4:8" x14ac:dyDescent="0.25">
      <c r="D152" s="506"/>
      <c r="E152" s="506"/>
      <c r="F152" s="506"/>
      <c r="G152" s="506"/>
      <c r="H152" s="506"/>
    </row>
    <row r="153" spans="4:8" x14ac:dyDescent="0.25">
      <c r="D153" s="506"/>
      <c r="E153" s="506"/>
      <c r="F153" s="506"/>
      <c r="G153" s="506"/>
      <c r="H153" s="506"/>
    </row>
    <row r="154" spans="4:8" x14ac:dyDescent="0.25">
      <c r="D154" s="506"/>
      <c r="E154" s="506"/>
      <c r="F154" s="506"/>
      <c r="G154" s="506"/>
      <c r="H154" s="506"/>
    </row>
    <row r="155" spans="4:8" x14ac:dyDescent="0.25">
      <c r="D155" s="506"/>
      <c r="E155" s="506"/>
      <c r="F155" s="506"/>
      <c r="G155" s="506"/>
      <c r="H155" s="506"/>
    </row>
    <row r="156" spans="4:8" x14ac:dyDescent="0.25">
      <c r="D156" s="506"/>
      <c r="E156" s="506"/>
      <c r="F156" s="506"/>
      <c r="G156" s="506"/>
      <c r="H156" s="506"/>
    </row>
    <row r="157" spans="4:8" x14ac:dyDescent="0.25">
      <c r="D157" s="506"/>
      <c r="E157" s="506"/>
      <c r="F157" s="506"/>
      <c r="G157" s="506"/>
      <c r="H157" s="506"/>
    </row>
    <row r="158" spans="4:8" x14ac:dyDescent="0.25">
      <c r="D158" s="506"/>
      <c r="E158" s="506"/>
      <c r="F158" s="506"/>
      <c r="G158" s="506"/>
      <c r="H158" s="506"/>
    </row>
    <row r="159" spans="4:8" x14ac:dyDescent="0.25">
      <c r="D159" s="506"/>
      <c r="E159" s="506"/>
      <c r="F159" s="506"/>
      <c r="G159" s="506"/>
      <c r="H159" s="506"/>
    </row>
    <row r="160" spans="4:8" x14ac:dyDescent="0.25">
      <c r="D160" s="506"/>
      <c r="E160" s="506"/>
      <c r="F160" s="506"/>
      <c r="G160" s="506"/>
      <c r="H160" s="506"/>
    </row>
    <row r="161" spans="4:8" x14ac:dyDescent="0.25">
      <c r="D161" s="506"/>
      <c r="E161" s="506"/>
      <c r="F161" s="506"/>
      <c r="G161" s="506"/>
      <c r="H161" s="506"/>
    </row>
    <row r="162" spans="4:8" x14ac:dyDescent="0.25">
      <c r="D162" s="506"/>
      <c r="E162" s="506"/>
      <c r="F162" s="506"/>
      <c r="G162" s="506"/>
      <c r="H162" s="506"/>
    </row>
    <row r="163" spans="4:8" x14ac:dyDescent="0.25">
      <c r="D163" s="506"/>
      <c r="E163" s="506"/>
      <c r="F163" s="506"/>
      <c r="G163" s="506"/>
      <c r="H163" s="506"/>
    </row>
    <row r="164" spans="4:8" x14ac:dyDescent="0.25">
      <c r="D164" s="506"/>
      <c r="E164" s="506"/>
      <c r="F164" s="506"/>
      <c r="G164" s="506"/>
      <c r="H164" s="506"/>
    </row>
    <row r="165" spans="4:8" x14ac:dyDescent="0.25">
      <c r="D165" s="506"/>
      <c r="E165" s="506"/>
      <c r="F165" s="506"/>
      <c r="G165" s="506"/>
      <c r="H165" s="506"/>
    </row>
    <row r="166" spans="4:8" x14ac:dyDescent="0.25">
      <c r="D166" s="506"/>
      <c r="E166" s="506"/>
      <c r="F166" s="506"/>
      <c r="G166" s="506"/>
      <c r="H166" s="506"/>
    </row>
    <row r="167" spans="4:8" x14ac:dyDescent="0.25">
      <c r="D167" s="506"/>
      <c r="E167" s="506"/>
      <c r="F167" s="506"/>
      <c r="G167" s="506"/>
      <c r="H167" s="506"/>
    </row>
    <row r="168" spans="4:8" x14ac:dyDescent="0.25">
      <c r="D168" s="506"/>
      <c r="E168" s="506"/>
      <c r="F168" s="506"/>
      <c r="G168" s="506"/>
      <c r="H168" s="506"/>
    </row>
    <row r="169" spans="4:8" x14ac:dyDescent="0.25">
      <c r="D169" s="506"/>
      <c r="E169" s="506"/>
      <c r="F169" s="506"/>
      <c r="G169" s="506"/>
      <c r="H169" s="506"/>
    </row>
    <row r="170" spans="4:8" x14ac:dyDescent="0.25">
      <c r="D170" s="506"/>
      <c r="E170" s="506"/>
      <c r="F170" s="506"/>
      <c r="G170" s="506"/>
      <c r="H170" s="506"/>
    </row>
    <row r="171" spans="4:8" x14ac:dyDescent="0.25">
      <c r="D171" s="506"/>
      <c r="E171" s="506"/>
      <c r="F171" s="506"/>
      <c r="G171" s="506"/>
      <c r="H171" s="506"/>
    </row>
    <row r="172" spans="4:8" x14ac:dyDescent="0.25">
      <c r="D172" s="506"/>
      <c r="E172" s="506"/>
      <c r="F172" s="506"/>
      <c r="G172" s="506"/>
      <c r="H172" s="506"/>
    </row>
    <row r="173" spans="4:8" x14ac:dyDescent="0.25">
      <c r="D173" s="506"/>
      <c r="E173" s="506"/>
      <c r="F173" s="506"/>
      <c r="G173" s="506"/>
      <c r="H173" s="506"/>
    </row>
    <row r="174" spans="4:8" x14ac:dyDescent="0.25">
      <c r="D174" s="506"/>
      <c r="E174" s="506"/>
      <c r="F174" s="506"/>
      <c r="G174" s="506"/>
      <c r="H174" s="506"/>
    </row>
    <row r="175" spans="4:8" x14ac:dyDescent="0.25">
      <c r="D175" s="506"/>
      <c r="E175" s="506"/>
      <c r="F175" s="506"/>
      <c r="G175" s="506"/>
      <c r="H175" s="506"/>
    </row>
    <row r="176" spans="4:8" x14ac:dyDescent="0.25">
      <c r="D176" s="506"/>
      <c r="E176" s="506"/>
      <c r="F176" s="506"/>
      <c r="G176" s="506"/>
      <c r="H176" s="506"/>
    </row>
    <row r="177" spans="4:8" x14ac:dyDescent="0.25">
      <c r="D177" s="506"/>
      <c r="E177" s="506"/>
      <c r="F177" s="506"/>
      <c r="G177" s="506"/>
      <c r="H177" s="506"/>
    </row>
    <row r="178" spans="4:8" x14ac:dyDescent="0.25">
      <c r="D178" s="506"/>
      <c r="E178" s="506"/>
      <c r="F178" s="506"/>
      <c r="G178" s="506"/>
      <c r="H178" s="506"/>
    </row>
    <row r="179" spans="4:8" x14ac:dyDescent="0.25">
      <c r="D179" s="506"/>
      <c r="E179" s="506"/>
      <c r="F179" s="506"/>
      <c r="G179" s="506"/>
      <c r="H179" s="506"/>
    </row>
    <row r="180" spans="4:8" x14ac:dyDescent="0.25">
      <c r="D180" s="506"/>
      <c r="E180" s="506"/>
      <c r="F180" s="506"/>
      <c r="G180" s="506"/>
      <c r="H180" s="506"/>
    </row>
    <row r="181" spans="4:8" x14ac:dyDescent="0.25">
      <c r="D181" s="506"/>
      <c r="E181" s="506"/>
      <c r="F181" s="506"/>
      <c r="G181" s="506"/>
      <c r="H181" s="506"/>
    </row>
    <row r="182" spans="4:8" x14ac:dyDescent="0.25">
      <c r="D182" s="506"/>
      <c r="E182" s="506"/>
      <c r="F182" s="506"/>
      <c r="G182" s="506"/>
      <c r="H182" s="506"/>
    </row>
    <row r="183" spans="4:8" x14ac:dyDescent="0.25">
      <c r="D183" s="506"/>
      <c r="E183" s="506"/>
      <c r="F183" s="506"/>
      <c r="G183" s="506"/>
      <c r="H183" s="506"/>
    </row>
    <row r="184" spans="4:8" x14ac:dyDescent="0.25">
      <c r="D184" s="506"/>
      <c r="E184" s="506"/>
      <c r="F184" s="506"/>
      <c r="G184" s="506"/>
      <c r="H184" s="506"/>
    </row>
    <row r="185" spans="4:8" x14ac:dyDescent="0.25">
      <c r="D185" s="506"/>
      <c r="E185" s="506"/>
      <c r="F185" s="506"/>
      <c r="G185" s="506"/>
      <c r="H185" s="506"/>
    </row>
    <row r="186" spans="4:8" x14ac:dyDescent="0.25">
      <c r="D186" s="506"/>
      <c r="E186" s="506"/>
      <c r="F186" s="506"/>
      <c r="G186" s="506"/>
      <c r="H186" s="506"/>
    </row>
    <row r="187" spans="4:8" x14ac:dyDescent="0.25">
      <c r="D187" s="506"/>
      <c r="E187" s="506"/>
      <c r="F187" s="506"/>
      <c r="G187" s="506"/>
      <c r="H187" s="506"/>
    </row>
    <row r="188" spans="4:8" x14ac:dyDescent="0.25">
      <c r="D188" s="506"/>
      <c r="E188" s="506"/>
      <c r="F188" s="506"/>
      <c r="G188" s="506"/>
      <c r="H188" s="506"/>
    </row>
    <row r="189" spans="4:8" x14ac:dyDescent="0.25">
      <c r="D189" s="506"/>
      <c r="E189" s="506"/>
      <c r="F189" s="506"/>
      <c r="G189" s="506"/>
      <c r="H189" s="506"/>
    </row>
    <row r="190" spans="4:8" x14ac:dyDescent="0.25">
      <c r="D190" s="506"/>
      <c r="E190" s="506"/>
      <c r="F190" s="506"/>
      <c r="G190" s="506"/>
      <c r="H190" s="506"/>
    </row>
    <row r="191" spans="4:8" x14ac:dyDescent="0.25">
      <c r="D191" s="506"/>
      <c r="E191" s="506"/>
      <c r="F191" s="506"/>
      <c r="G191" s="506"/>
      <c r="H191" s="506"/>
    </row>
    <row r="192" spans="4:8" x14ac:dyDescent="0.25">
      <c r="D192" s="506"/>
      <c r="E192" s="506"/>
      <c r="F192" s="506"/>
      <c r="G192" s="506"/>
      <c r="H192" s="506"/>
    </row>
    <row r="193" spans="4:8" x14ac:dyDescent="0.25">
      <c r="D193" s="506"/>
      <c r="E193" s="506"/>
      <c r="F193" s="506"/>
      <c r="G193" s="506"/>
      <c r="H193" s="506"/>
    </row>
    <row r="194" spans="4:8" x14ac:dyDescent="0.25">
      <c r="D194" s="506"/>
      <c r="E194" s="506"/>
      <c r="F194" s="506"/>
      <c r="G194" s="506"/>
      <c r="H194" s="506"/>
    </row>
    <row r="195" spans="4:8" x14ac:dyDescent="0.25">
      <c r="D195" s="506"/>
      <c r="E195" s="506"/>
      <c r="F195" s="506"/>
      <c r="G195" s="506"/>
      <c r="H195" s="506"/>
    </row>
    <row r="196" spans="4:8" x14ac:dyDescent="0.25">
      <c r="D196" s="506"/>
      <c r="E196" s="506"/>
      <c r="F196" s="506"/>
      <c r="G196" s="506"/>
      <c r="H196" s="506"/>
    </row>
    <row r="197" spans="4:8" x14ac:dyDescent="0.25">
      <c r="D197" s="506"/>
      <c r="E197" s="506"/>
      <c r="F197" s="506"/>
      <c r="G197" s="506"/>
      <c r="H197" s="506"/>
    </row>
    <row r="198" spans="4:8" x14ac:dyDescent="0.25">
      <c r="D198" s="506"/>
      <c r="E198" s="506"/>
      <c r="F198" s="506"/>
      <c r="G198" s="506"/>
      <c r="H198" s="506"/>
    </row>
    <row r="199" spans="4:8" x14ac:dyDescent="0.25">
      <c r="D199" s="506"/>
      <c r="E199" s="506"/>
      <c r="F199" s="506"/>
      <c r="G199" s="506"/>
      <c r="H199" s="506"/>
    </row>
    <row r="200" spans="4:8" x14ac:dyDescent="0.25">
      <c r="D200" s="506"/>
      <c r="E200" s="506"/>
      <c r="F200" s="506"/>
      <c r="G200" s="506"/>
      <c r="H200" s="506"/>
    </row>
    <row r="201" spans="4:8" x14ac:dyDescent="0.25">
      <c r="D201" s="506"/>
      <c r="E201" s="506"/>
      <c r="F201" s="506"/>
      <c r="G201" s="506"/>
      <c r="H201" s="506"/>
    </row>
    <row r="202" spans="4:8" x14ac:dyDescent="0.25">
      <c r="D202" s="506"/>
      <c r="E202" s="506"/>
      <c r="F202" s="506"/>
      <c r="G202" s="506"/>
      <c r="H202" s="506"/>
    </row>
    <row r="203" spans="4:8" x14ac:dyDescent="0.25">
      <c r="D203" s="506"/>
      <c r="E203" s="506"/>
      <c r="F203" s="506"/>
      <c r="G203" s="506"/>
      <c r="H203" s="506"/>
    </row>
    <row r="204" spans="4:8" x14ac:dyDescent="0.25">
      <c r="D204" s="506"/>
      <c r="E204" s="506"/>
      <c r="F204" s="506"/>
      <c r="G204" s="506"/>
      <c r="H204" s="506"/>
    </row>
    <row r="205" spans="4:8" x14ac:dyDescent="0.25">
      <c r="D205" s="506"/>
      <c r="E205" s="506"/>
      <c r="F205" s="506"/>
      <c r="G205" s="506"/>
      <c r="H205" s="506"/>
    </row>
    <row r="206" spans="4:8" x14ac:dyDescent="0.25">
      <c r="D206" s="506"/>
      <c r="E206" s="506"/>
      <c r="F206" s="506"/>
      <c r="G206" s="506"/>
      <c r="H206" s="506"/>
    </row>
    <row r="207" spans="4:8" x14ac:dyDescent="0.25">
      <c r="D207" s="506"/>
      <c r="E207" s="506"/>
      <c r="F207" s="506"/>
      <c r="G207" s="506"/>
      <c r="H207" s="506"/>
    </row>
    <row r="208" spans="4:8" x14ac:dyDescent="0.25">
      <c r="D208" s="506"/>
      <c r="E208" s="506"/>
      <c r="F208" s="506"/>
      <c r="G208" s="506"/>
      <c r="H208" s="506"/>
    </row>
    <row r="209" spans="4:8" x14ac:dyDescent="0.25">
      <c r="D209" s="506"/>
      <c r="E209" s="506"/>
      <c r="F209" s="506"/>
      <c r="G209" s="506"/>
      <c r="H209" s="506"/>
    </row>
    <row r="210" spans="4:8" x14ac:dyDescent="0.25">
      <c r="D210" s="506"/>
      <c r="E210" s="506"/>
      <c r="F210" s="506"/>
      <c r="G210" s="506"/>
      <c r="H210" s="506"/>
    </row>
    <row r="211" spans="4:8" x14ac:dyDescent="0.25">
      <c r="D211" s="506"/>
      <c r="E211" s="506"/>
      <c r="F211" s="506"/>
      <c r="G211" s="506"/>
      <c r="H211" s="506"/>
    </row>
    <row r="212" spans="4:8" x14ac:dyDescent="0.25">
      <c r="D212" s="506"/>
      <c r="E212" s="506"/>
      <c r="F212" s="506"/>
      <c r="G212" s="506"/>
      <c r="H212" s="506"/>
    </row>
    <row r="213" spans="4:8" x14ac:dyDescent="0.25">
      <c r="D213" s="506"/>
      <c r="E213" s="506"/>
      <c r="F213" s="506"/>
      <c r="G213" s="506"/>
      <c r="H213" s="506"/>
    </row>
    <row r="214" spans="4:8" x14ac:dyDescent="0.25">
      <c r="D214" s="506"/>
      <c r="E214" s="506"/>
      <c r="F214" s="506"/>
      <c r="G214" s="506"/>
      <c r="H214" s="506"/>
    </row>
    <row r="215" spans="4:8" x14ac:dyDescent="0.25">
      <c r="D215" s="506"/>
      <c r="E215" s="506"/>
      <c r="F215" s="506"/>
      <c r="G215" s="506"/>
      <c r="H215" s="506"/>
    </row>
    <row r="216" spans="4:8" x14ac:dyDescent="0.25">
      <c r="D216" s="506"/>
      <c r="E216" s="506"/>
      <c r="F216" s="506"/>
      <c r="G216" s="506"/>
      <c r="H216" s="506"/>
    </row>
    <row r="217" spans="4:8" x14ac:dyDescent="0.25">
      <c r="D217" s="506"/>
      <c r="E217" s="506"/>
      <c r="F217" s="506"/>
      <c r="G217" s="506"/>
      <c r="H217" s="506"/>
    </row>
    <row r="218" spans="4:8" x14ac:dyDescent="0.25">
      <c r="D218" s="506"/>
      <c r="E218" s="506"/>
      <c r="F218" s="506"/>
      <c r="G218" s="506"/>
      <c r="H218" s="506"/>
    </row>
    <row r="219" spans="4:8" x14ac:dyDescent="0.25">
      <c r="D219" s="506"/>
      <c r="E219" s="506"/>
      <c r="F219" s="506"/>
      <c r="G219" s="506"/>
      <c r="H219" s="506"/>
    </row>
    <row r="220" spans="4:8" x14ac:dyDescent="0.25">
      <c r="D220" s="506"/>
      <c r="E220" s="506"/>
      <c r="F220" s="506"/>
      <c r="G220" s="506"/>
      <c r="H220" s="506"/>
    </row>
    <row r="221" spans="4:8" x14ac:dyDescent="0.25">
      <c r="D221" s="506"/>
      <c r="E221" s="506"/>
      <c r="F221" s="506"/>
      <c r="G221" s="506"/>
      <c r="H221" s="506"/>
    </row>
    <row r="222" spans="4:8" x14ac:dyDescent="0.25">
      <c r="D222" s="506"/>
      <c r="E222" s="506"/>
      <c r="F222" s="506"/>
      <c r="G222" s="506"/>
      <c r="H222" s="506"/>
    </row>
    <row r="223" spans="4:8" x14ac:dyDescent="0.25">
      <c r="D223" s="506"/>
      <c r="E223" s="506"/>
      <c r="F223" s="506"/>
      <c r="G223" s="506"/>
      <c r="H223" s="506"/>
    </row>
    <row r="224" spans="4:8" x14ac:dyDescent="0.25">
      <c r="D224" s="506"/>
      <c r="E224" s="506"/>
      <c r="F224" s="506"/>
      <c r="G224" s="506"/>
      <c r="H224" s="506"/>
    </row>
    <row r="225" spans="4:8" x14ac:dyDescent="0.25">
      <c r="D225" s="506"/>
      <c r="E225" s="506"/>
      <c r="F225" s="506"/>
      <c r="G225" s="506"/>
      <c r="H225" s="506"/>
    </row>
    <row r="226" spans="4:8" x14ac:dyDescent="0.25">
      <c r="D226" s="506"/>
      <c r="E226" s="506"/>
      <c r="F226" s="506"/>
      <c r="G226" s="506"/>
      <c r="H226" s="506"/>
    </row>
    <row r="227" spans="4:8" x14ac:dyDescent="0.25">
      <c r="D227" s="506"/>
      <c r="E227" s="506"/>
      <c r="F227" s="506"/>
      <c r="G227" s="506"/>
      <c r="H227" s="506"/>
    </row>
    <row r="228" spans="4:8" x14ac:dyDescent="0.25">
      <c r="D228" s="506"/>
      <c r="E228" s="506"/>
      <c r="F228" s="506"/>
      <c r="G228" s="506"/>
      <c r="H228" s="506"/>
    </row>
    <row r="229" spans="4:8" x14ac:dyDescent="0.25">
      <c r="D229" s="506"/>
      <c r="E229" s="506"/>
      <c r="F229" s="506"/>
      <c r="G229" s="506"/>
      <c r="H229" s="506"/>
    </row>
    <row r="230" spans="4:8" x14ac:dyDescent="0.25">
      <c r="D230" s="506"/>
      <c r="E230" s="506"/>
      <c r="F230" s="506"/>
      <c r="G230" s="506"/>
      <c r="H230" s="506"/>
    </row>
    <row r="231" spans="4:8" x14ac:dyDescent="0.25">
      <c r="D231" s="506"/>
      <c r="E231" s="506"/>
      <c r="F231" s="506"/>
      <c r="G231" s="506"/>
      <c r="H231" s="506"/>
    </row>
    <row r="232" spans="4:8" x14ac:dyDescent="0.25">
      <c r="D232" s="506"/>
      <c r="E232" s="506"/>
      <c r="F232" s="506"/>
      <c r="G232" s="506"/>
      <c r="H232" s="506"/>
    </row>
    <row r="233" spans="4:8" x14ac:dyDescent="0.25">
      <c r="D233" s="506"/>
      <c r="E233" s="506"/>
      <c r="F233" s="506"/>
      <c r="G233" s="506"/>
      <c r="H233" s="506"/>
    </row>
    <row r="234" spans="4:8" x14ac:dyDescent="0.25">
      <c r="D234" s="506"/>
      <c r="E234" s="506"/>
      <c r="F234" s="506"/>
      <c r="G234" s="506"/>
      <c r="H234" s="506"/>
    </row>
    <row r="235" spans="4:8" x14ac:dyDescent="0.25">
      <c r="D235" s="506"/>
      <c r="E235" s="506"/>
      <c r="F235" s="506"/>
      <c r="G235" s="506"/>
      <c r="H235" s="506"/>
    </row>
    <row r="236" spans="4:8" x14ac:dyDescent="0.25">
      <c r="D236" s="506"/>
      <c r="E236" s="506"/>
      <c r="F236" s="506"/>
      <c r="G236" s="506"/>
      <c r="H236" s="506"/>
    </row>
    <row r="237" spans="4:8" x14ac:dyDescent="0.25">
      <c r="D237" s="506"/>
      <c r="E237" s="506"/>
      <c r="F237" s="506"/>
      <c r="G237" s="506"/>
      <c r="H237" s="506"/>
    </row>
    <row r="238" spans="4:8" x14ac:dyDescent="0.25">
      <c r="D238" s="506"/>
      <c r="E238" s="506"/>
      <c r="F238" s="506"/>
      <c r="G238" s="506"/>
      <c r="H238" s="506"/>
    </row>
    <row r="239" spans="4:8" x14ac:dyDescent="0.25">
      <c r="D239" s="506"/>
      <c r="E239" s="506"/>
      <c r="F239" s="506"/>
      <c r="G239" s="506"/>
      <c r="H239" s="506"/>
    </row>
    <row r="240" spans="4:8" x14ac:dyDescent="0.25">
      <c r="D240" s="506"/>
      <c r="E240" s="506"/>
      <c r="F240" s="506"/>
      <c r="G240" s="506"/>
      <c r="H240" s="506"/>
    </row>
    <row r="241" spans="4:8" x14ac:dyDescent="0.25">
      <c r="D241" s="506"/>
      <c r="E241" s="506"/>
      <c r="F241" s="506"/>
      <c r="G241" s="506"/>
      <c r="H241" s="506"/>
    </row>
    <row r="242" spans="4:8" x14ac:dyDescent="0.25">
      <c r="D242" s="506"/>
      <c r="E242" s="506"/>
      <c r="F242" s="506"/>
      <c r="G242" s="506"/>
      <c r="H242" s="506"/>
    </row>
    <row r="243" spans="4:8" x14ac:dyDescent="0.25">
      <c r="D243" s="506"/>
      <c r="E243" s="506"/>
      <c r="F243" s="506"/>
      <c r="G243" s="506"/>
      <c r="H243" s="506"/>
    </row>
    <row r="244" spans="4:8" x14ac:dyDescent="0.25">
      <c r="D244" s="506"/>
      <c r="E244" s="506"/>
      <c r="F244" s="506"/>
      <c r="G244" s="506"/>
      <c r="H244" s="506"/>
    </row>
    <row r="245" spans="4:8" x14ac:dyDescent="0.25">
      <c r="D245" s="506"/>
      <c r="E245" s="506"/>
      <c r="F245" s="506"/>
      <c r="G245" s="506"/>
      <c r="H245" s="506"/>
    </row>
    <row r="246" spans="4:8" x14ac:dyDescent="0.25">
      <c r="D246" s="506"/>
      <c r="E246" s="506"/>
      <c r="F246" s="506"/>
      <c r="G246" s="506"/>
      <c r="H246" s="506"/>
    </row>
    <row r="247" spans="4:8" x14ac:dyDescent="0.25">
      <c r="D247" s="506"/>
      <c r="E247" s="506"/>
      <c r="F247" s="506"/>
      <c r="G247" s="506"/>
      <c r="H247" s="506"/>
    </row>
    <row r="248" spans="4:8" x14ac:dyDescent="0.25">
      <c r="D248" s="306"/>
      <c r="E248" s="506"/>
      <c r="F248" s="506"/>
      <c r="G248" s="506"/>
      <c r="H248" s="506"/>
    </row>
    <row r="249" spans="4:8" x14ac:dyDescent="0.25">
      <c r="D249" s="306"/>
      <c r="E249" s="506"/>
      <c r="F249" s="506"/>
      <c r="G249" s="506"/>
      <c r="H249" s="506"/>
    </row>
    <row r="250" spans="4:8" x14ac:dyDescent="0.25">
      <c r="D250" s="306"/>
      <c r="E250" s="506"/>
      <c r="F250" s="506"/>
      <c r="G250" s="506"/>
      <c r="H250" s="506"/>
    </row>
    <row r="251" spans="4:8" x14ac:dyDescent="0.25">
      <c r="D251" s="306"/>
      <c r="E251" s="506"/>
      <c r="F251" s="506"/>
      <c r="G251" s="506"/>
      <c r="H251" s="506"/>
    </row>
    <row r="252" spans="4:8" x14ac:dyDescent="0.25">
      <c r="D252" s="306"/>
      <c r="E252" s="506"/>
      <c r="F252" s="506"/>
      <c r="G252" s="506"/>
      <c r="H252" s="506"/>
    </row>
    <row r="253" spans="4:8" x14ac:dyDescent="0.25">
      <c r="D253" s="306"/>
      <c r="E253" s="506"/>
      <c r="F253" s="506"/>
      <c r="G253" s="506"/>
      <c r="H253" s="506"/>
    </row>
    <row r="254" spans="4:8" x14ac:dyDescent="0.25">
      <c r="D254" s="306"/>
      <c r="E254" s="506"/>
      <c r="F254" s="506"/>
      <c r="G254" s="506"/>
      <c r="H254" s="506"/>
    </row>
    <row r="255" spans="4:8" x14ac:dyDescent="0.25">
      <c r="D255" s="306"/>
      <c r="E255" s="506"/>
      <c r="F255" s="506"/>
      <c r="G255" s="506"/>
      <c r="H255" s="506"/>
    </row>
    <row r="256" spans="4:8" x14ac:dyDescent="0.25">
      <c r="D256" s="306"/>
      <c r="E256" s="506"/>
      <c r="F256" s="506"/>
      <c r="G256" s="506"/>
      <c r="H256" s="506"/>
    </row>
    <row r="257" spans="4:8" x14ac:dyDescent="0.25">
      <c r="D257" s="306"/>
      <c r="E257" s="506"/>
      <c r="F257" s="506"/>
      <c r="G257" s="506"/>
      <c r="H257" s="506"/>
    </row>
    <row r="258" spans="4:8" x14ac:dyDescent="0.25">
      <c r="D258" s="306"/>
      <c r="E258" s="506"/>
      <c r="F258" s="506"/>
      <c r="G258" s="506"/>
      <c r="H258" s="506"/>
    </row>
    <row r="259" spans="4:8" x14ac:dyDescent="0.25">
      <c r="D259" s="306"/>
      <c r="E259" s="506"/>
      <c r="F259" s="506"/>
      <c r="G259" s="506"/>
      <c r="H259" s="506"/>
    </row>
    <row r="260" spans="4:8" x14ac:dyDescent="0.25">
      <c r="D260" s="306"/>
      <c r="E260" s="506"/>
      <c r="F260" s="506"/>
      <c r="G260" s="506"/>
      <c r="H260" s="506"/>
    </row>
    <row r="261" spans="4:8" x14ac:dyDescent="0.25">
      <c r="D261" s="306"/>
      <c r="E261" s="506"/>
      <c r="F261" s="506"/>
      <c r="G261" s="506"/>
      <c r="H261" s="506"/>
    </row>
    <row r="262" spans="4:8" x14ac:dyDescent="0.25">
      <c r="D262" s="306"/>
      <c r="E262" s="506"/>
      <c r="F262" s="506"/>
      <c r="G262" s="506"/>
      <c r="H262" s="506"/>
    </row>
    <row r="263" spans="4:8" x14ac:dyDescent="0.25">
      <c r="D263" s="306"/>
      <c r="E263" s="506"/>
      <c r="F263" s="506"/>
      <c r="G263" s="506"/>
      <c r="H263" s="506"/>
    </row>
    <row r="264" spans="4:8" x14ac:dyDescent="0.25">
      <c r="D264" s="306"/>
      <c r="E264" s="506"/>
      <c r="F264" s="506"/>
      <c r="G264" s="506"/>
      <c r="H264" s="506"/>
    </row>
    <row r="265" spans="4:8" x14ac:dyDescent="0.25">
      <c r="D265" s="306"/>
      <c r="E265" s="506"/>
      <c r="F265" s="506"/>
      <c r="G265" s="506"/>
      <c r="H265" s="506"/>
    </row>
    <row r="266" spans="4:8" x14ac:dyDescent="0.25">
      <c r="D266" s="306"/>
      <c r="E266" s="506"/>
      <c r="F266" s="506"/>
      <c r="G266" s="506"/>
      <c r="H266" s="506"/>
    </row>
    <row r="267" spans="4:8" x14ac:dyDescent="0.25">
      <c r="D267" s="306"/>
      <c r="E267" s="506"/>
      <c r="F267" s="506"/>
      <c r="G267" s="506"/>
      <c r="H267" s="506"/>
    </row>
    <row r="268" spans="4:8" x14ac:dyDescent="0.25">
      <c r="D268" s="306"/>
      <c r="E268" s="506"/>
      <c r="F268" s="506"/>
      <c r="G268" s="506"/>
      <c r="H268" s="506"/>
    </row>
    <row r="269" spans="4:8" x14ac:dyDescent="0.25">
      <c r="D269" s="306"/>
      <c r="E269" s="506"/>
      <c r="F269" s="506"/>
      <c r="G269" s="506"/>
      <c r="H269" s="506"/>
    </row>
    <row r="270" spans="4:8" x14ac:dyDescent="0.25">
      <c r="D270" s="306"/>
      <c r="E270" s="506"/>
      <c r="F270" s="506"/>
      <c r="G270" s="506"/>
      <c r="H270" s="506"/>
    </row>
    <row r="271" spans="4:8" x14ac:dyDescent="0.25">
      <c r="D271" s="306"/>
      <c r="E271" s="506"/>
      <c r="F271" s="506"/>
      <c r="G271" s="506"/>
      <c r="H271" s="506"/>
    </row>
    <row r="272" spans="4:8" x14ac:dyDescent="0.25">
      <c r="D272" s="306"/>
      <c r="E272" s="506"/>
      <c r="F272" s="506"/>
      <c r="G272" s="506"/>
      <c r="H272" s="506"/>
    </row>
    <row r="273" spans="4:4" x14ac:dyDescent="0.25">
      <c r="D273" s="306"/>
    </row>
    <row r="274" spans="4:4" x14ac:dyDescent="0.25">
      <c r="D274" s="306"/>
    </row>
    <row r="275" spans="4:4" x14ac:dyDescent="0.25">
      <c r="D275" s="306"/>
    </row>
    <row r="276" spans="4:4" x14ac:dyDescent="0.25">
      <c r="D276" s="306"/>
    </row>
    <row r="277" spans="4:4" x14ac:dyDescent="0.25">
      <c r="D277" s="306"/>
    </row>
    <row r="278" spans="4:4" x14ac:dyDescent="0.25">
      <c r="D278" s="306"/>
    </row>
    <row r="279" spans="4:4" x14ac:dyDescent="0.25">
      <c r="D279" s="306"/>
    </row>
    <row r="280" spans="4:4" x14ac:dyDescent="0.25">
      <c r="D280" s="306"/>
    </row>
    <row r="281" spans="4:4" x14ac:dyDescent="0.25">
      <c r="D281" s="306"/>
    </row>
    <row r="282" spans="4:4" x14ac:dyDescent="0.25">
      <c r="D282" s="306"/>
    </row>
    <row r="283" spans="4:4" x14ac:dyDescent="0.25">
      <c r="D283" s="306"/>
    </row>
    <row r="284" spans="4:4" x14ac:dyDescent="0.25">
      <c r="D284" s="306"/>
    </row>
    <row r="285" spans="4:4" x14ac:dyDescent="0.25">
      <c r="D285" s="306"/>
    </row>
    <row r="286" spans="4:4" x14ac:dyDescent="0.25">
      <c r="D286" s="306"/>
    </row>
    <row r="287" spans="4:4" x14ac:dyDescent="0.25">
      <c r="D287" s="306"/>
    </row>
    <row r="288" spans="4:4" x14ac:dyDescent="0.25">
      <c r="D288" s="306"/>
    </row>
    <row r="289" spans="4:4" x14ac:dyDescent="0.25">
      <c r="D289" s="306"/>
    </row>
    <row r="290" spans="4:4" x14ac:dyDescent="0.25">
      <c r="D290" s="306"/>
    </row>
    <row r="291" spans="4:4" x14ac:dyDescent="0.25">
      <c r="D291" s="306"/>
    </row>
    <row r="292" spans="4:4" x14ac:dyDescent="0.25">
      <c r="D292" s="306"/>
    </row>
    <row r="293" spans="4:4" x14ac:dyDescent="0.25">
      <c r="D293" s="306"/>
    </row>
    <row r="294" spans="4:4" x14ac:dyDescent="0.25">
      <c r="D294" s="306"/>
    </row>
    <row r="295" spans="4:4" x14ac:dyDescent="0.25">
      <c r="D295" s="306"/>
    </row>
    <row r="296" spans="4:4" x14ac:dyDescent="0.25">
      <c r="D296" s="306"/>
    </row>
    <row r="297" spans="4:4" x14ac:dyDescent="0.25">
      <c r="D297" s="306"/>
    </row>
    <row r="298" spans="4:4" x14ac:dyDescent="0.25">
      <c r="D298" s="306"/>
    </row>
    <row r="299" spans="4:4" x14ac:dyDescent="0.25">
      <c r="D299" s="306"/>
    </row>
    <row r="300" spans="4:4" x14ac:dyDescent="0.25">
      <c r="D300" s="306"/>
    </row>
    <row r="301" spans="4:4" x14ac:dyDescent="0.25">
      <c r="D301" s="306"/>
    </row>
    <row r="302" spans="4:4" x14ac:dyDescent="0.25">
      <c r="D302" s="306"/>
    </row>
    <row r="303" spans="4:4" x14ac:dyDescent="0.25">
      <c r="D303" s="306"/>
    </row>
    <row r="304" spans="4:4" x14ac:dyDescent="0.25">
      <c r="D304" s="306"/>
    </row>
    <row r="305" spans="4:4" x14ac:dyDescent="0.25">
      <c r="D305" s="306"/>
    </row>
    <row r="306" spans="4:4" x14ac:dyDescent="0.25">
      <c r="D306" s="306"/>
    </row>
    <row r="307" spans="4:4" x14ac:dyDescent="0.25">
      <c r="D307" s="306"/>
    </row>
    <row r="308" spans="4:4" x14ac:dyDescent="0.25">
      <c r="D308" s="306"/>
    </row>
    <row r="309" spans="4:4" x14ac:dyDescent="0.25">
      <c r="D309" s="306"/>
    </row>
    <row r="310" spans="4:4" x14ac:dyDescent="0.25">
      <c r="D310" s="306"/>
    </row>
    <row r="311" spans="4:4" x14ac:dyDescent="0.25">
      <c r="D311" s="306"/>
    </row>
    <row r="312" spans="4:4" x14ac:dyDescent="0.25">
      <c r="D312" s="306"/>
    </row>
    <row r="313" spans="4:4" x14ac:dyDescent="0.25">
      <c r="D313" s="306"/>
    </row>
    <row r="314" spans="4:4" x14ac:dyDescent="0.25">
      <c r="D314" s="306"/>
    </row>
    <row r="315" spans="4:4" x14ac:dyDescent="0.25">
      <c r="D315" s="306"/>
    </row>
    <row r="316" spans="4:4" x14ac:dyDescent="0.25">
      <c r="D316" s="306"/>
    </row>
    <row r="317" spans="4:4" x14ac:dyDescent="0.25">
      <c r="D317" s="306"/>
    </row>
    <row r="318" spans="4:4" x14ac:dyDescent="0.25">
      <c r="D318" s="306"/>
    </row>
    <row r="319" spans="4:4" x14ac:dyDescent="0.25">
      <c r="D319" s="306"/>
    </row>
    <row r="320" spans="4:4" x14ac:dyDescent="0.25">
      <c r="D320" s="306"/>
    </row>
    <row r="321" spans="4:4" x14ac:dyDescent="0.25">
      <c r="D321" s="306"/>
    </row>
    <row r="322" spans="4:4" x14ac:dyDescent="0.25">
      <c r="D322" s="306"/>
    </row>
    <row r="323" spans="4:4" x14ac:dyDescent="0.25">
      <c r="D323" s="306"/>
    </row>
    <row r="324" spans="4:4" x14ac:dyDescent="0.25">
      <c r="D324" s="306"/>
    </row>
    <row r="325" spans="4:4" x14ac:dyDescent="0.25">
      <c r="D325" s="306"/>
    </row>
    <row r="326" spans="4:4" x14ac:dyDescent="0.25">
      <c r="D326" s="306"/>
    </row>
    <row r="327" spans="4:4" x14ac:dyDescent="0.25">
      <c r="D327" s="306"/>
    </row>
    <row r="328" spans="4:4" x14ac:dyDescent="0.25">
      <c r="D328" s="306"/>
    </row>
    <row r="329" spans="4:4" x14ac:dyDescent="0.25">
      <c r="D329" s="306"/>
    </row>
    <row r="330" spans="4:4" x14ac:dyDescent="0.25">
      <c r="D330" s="306"/>
    </row>
    <row r="331" spans="4:4" x14ac:dyDescent="0.25">
      <c r="D331" s="306"/>
    </row>
    <row r="332" spans="4:4" x14ac:dyDescent="0.25">
      <c r="D332" s="306"/>
    </row>
    <row r="333" spans="4:4" x14ac:dyDescent="0.25">
      <c r="D333" s="306"/>
    </row>
    <row r="334" spans="4:4" x14ac:dyDescent="0.25">
      <c r="D334" s="306"/>
    </row>
    <row r="335" spans="4:4" x14ac:dyDescent="0.25">
      <c r="D335" s="306"/>
    </row>
    <row r="336" spans="4:4" x14ac:dyDescent="0.25">
      <c r="D336" s="306"/>
    </row>
    <row r="337" spans="4:4" x14ac:dyDescent="0.25">
      <c r="D337" s="306"/>
    </row>
    <row r="338" spans="4:4" x14ac:dyDescent="0.25">
      <c r="D338" s="306"/>
    </row>
    <row r="339" spans="4:4" x14ac:dyDescent="0.25">
      <c r="D339" s="306"/>
    </row>
    <row r="340" spans="4:4" x14ac:dyDescent="0.25">
      <c r="D340" s="306"/>
    </row>
    <row r="341" spans="4:4" x14ac:dyDescent="0.25">
      <c r="D341" s="306"/>
    </row>
    <row r="342" spans="4:4" x14ac:dyDescent="0.25">
      <c r="D342" s="306"/>
    </row>
    <row r="343" spans="4:4" x14ac:dyDescent="0.25">
      <c r="D343" s="306"/>
    </row>
    <row r="344" spans="4:4" x14ac:dyDescent="0.25">
      <c r="D344" s="306"/>
    </row>
    <row r="345" spans="4:4" x14ac:dyDescent="0.25">
      <c r="D345" s="306"/>
    </row>
    <row r="346" spans="4:4" x14ac:dyDescent="0.25">
      <c r="D346" s="306"/>
    </row>
    <row r="347" spans="4:4" x14ac:dyDescent="0.25">
      <c r="D347" s="306"/>
    </row>
    <row r="348" spans="4:4" x14ac:dyDescent="0.25">
      <c r="D348" s="306"/>
    </row>
    <row r="349" spans="4:4" x14ac:dyDescent="0.25">
      <c r="D349" s="306"/>
    </row>
    <row r="350" spans="4:4" x14ac:dyDescent="0.25">
      <c r="D350" s="306"/>
    </row>
    <row r="351" spans="4:4" x14ac:dyDescent="0.25">
      <c r="D351" s="306"/>
    </row>
    <row r="352" spans="4:4" x14ac:dyDescent="0.25">
      <c r="D352" s="306"/>
    </row>
    <row r="353" spans="4:4" x14ac:dyDescent="0.25">
      <c r="D353" s="306"/>
    </row>
    <row r="354" spans="4:4" x14ac:dyDescent="0.25">
      <c r="D354" s="306"/>
    </row>
    <row r="355" spans="4:4" x14ac:dyDescent="0.25">
      <c r="D355" s="306"/>
    </row>
    <row r="356" spans="4:4" x14ac:dyDescent="0.25">
      <c r="D356" s="306"/>
    </row>
    <row r="357" spans="4:4" x14ac:dyDescent="0.25">
      <c r="D357" s="306"/>
    </row>
    <row r="358" spans="4:4" x14ac:dyDescent="0.25">
      <c r="D358" s="306"/>
    </row>
    <row r="359" spans="4:4" x14ac:dyDescent="0.25">
      <c r="D359" s="306"/>
    </row>
    <row r="360" spans="4:4" x14ac:dyDescent="0.25">
      <c r="D360" s="306"/>
    </row>
    <row r="361" spans="4:4" x14ac:dyDescent="0.25">
      <c r="D361" s="306"/>
    </row>
    <row r="362" spans="4:4" x14ac:dyDescent="0.25">
      <c r="D362" s="306"/>
    </row>
    <row r="363" spans="4:4" x14ac:dyDescent="0.25">
      <c r="D363" s="306"/>
    </row>
    <row r="364" spans="4:4" x14ac:dyDescent="0.25">
      <c r="D364" s="306"/>
    </row>
    <row r="365" spans="4:4" x14ac:dyDescent="0.25">
      <c r="D365" s="306"/>
    </row>
    <row r="366" spans="4:4" x14ac:dyDescent="0.25">
      <c r="D366" s="306"/>
    </row>
    <row r="367" spans="4:4" x14ac:dyDescent="0.25">
      <c r="D367" s="306"/>
    </row>
    <row r="368" spans="4:4" x14ac:dyDescent="0.25">
      <c r="D368" s="306"/>
    </row>
    <row r="369" spans="4:4" x14ac:dyDescent="0.25">
      <c r="D369" s="306"/>
    </row>
    <row r="370" spans="4:4" x14ac:dyDescent="0.25">
      <c r="D370" s="306"/>
    </row>
    <row r="371" spans="4:4" x14ac:dyDescent="0.25">
      <c r="D371" s="306"/>
    </row>
    <row r="372" spans="4:4" x14ac:dyDescent="0.25">
      <c r="D372" s="306"/>
    </row>
    <row r="373" spans="4:4" x14ac:dyDescent="0.25">
      <c r="D373" s="306"/>
    </row>
    <row r="374" spans="4:4" x14ac:dyDescent="0.25">
      <c r="D374" s="306"/>
    </row>
    <row r="375" spans="4:4" x14ac:dyDescent="0.25">
      <c r="D375" s="306"/>
    </row>
    <row r="376" spans="4:4" x14ac:dyDescent="0.25">
      <c r="D376" s="306"/>
    </row>
    <row r="377" spans="4:4" x14ac:dyDescent="0.25">
      <c r="D377" s="306"/>
    </row>
    <row r="378" spans="4:4" x14ac:dyDescent="0.25">
      <c r="D378" s="306"/>
    </row>
    <row r="379" spans="4:4" x14ac:dyDescent="0.25">
      <c r="D379" s="306"/>
    </row>
    <row r="380" spans="4:4" x14ac:dyDescent="0.25">
      <c r="D380" s="306"/>
    </row>
    <row r="381" spans="4:4" x14ac:dyDescent="0.25">
      <c r="D381" s="306"/>
    </row>
    <row r="382" spans="4:4" x14ac:dyDescent="0.25">
      <c r="D382" s="306"/>
    </row>
    <row r="383" spans="4:4" x14ac:dyDescent="0.25">
      <c r="D383" s="306"/>
    </row>
    <row r="384" spans="4:4" x14ac:dyDescent="0.25">
      <c r="D384" s="306"/>
    </row>
    <row r="385" spans="4:4" x14ac:dyDescent="0.25">
      <c r="D385" s="306"/>
    </row>
    <row r="386" spans="4:4" x14ac:dyDescent="0.25">
      <c r="D386" s="306"/>
    </row>
    <row r="387" spans="4:4" x14ac:dyDescent="0.25">
      <c r="D387" s="306"/>
    </row>
    <row r="388" spans="4:4" x14ac:dyDescent="0.25">
      <c r="D388" s="306"/>
    </row>
    <row r="389" spans="4:4" x14ac:dyDescent="0.25">
      <c r="D389" s="306"/>
    </row>
    <row r="390" spans="4:4" x14ac:dyDescent="0.25">
      <c r="D390" s="306"/>
    </row>
    <row r="391" spans="4:4" x14ac:dyDescent="0.25">
      <c r="D391" s="306"/>
    </row>
    <row r="392" spans="4:4" x14ac:dyDescent="0.25">
      <c r="D392" s="306"/>
    </row>
    <row r="393" spans="4:4" x14ac:dyDescent="0.25">
      <c r="D393" s="306"/>
    </row>
    <row r="394" spans="4:4" x14ac:dyDescent="0.25">
      <c r="D394" s="306"/>
    </row>
    <row r="395" spans="4:4" x14ac:dyDescent="0.25">
      <c r="D395" s="306"/>
    </row>
    <row r="396" spans="4:4" x14ac:dyDescent="0.25">
      <c r="D396" s="306"/>
    </row>
    <row r="397" spans="4:4" x14ac:dyDescent="0.25">
      <c r="D397" s="306"/>
    </row>
    <row r="398" spans="4:4" x14ac:dyDescent="0.25">
      <c r="D398" s="306"/>
    </row>
    <row r="399" spans="4:4" x14ac:dyDescent="0.25">
      <c r="D399" s="306"/>
    </row>
    <row r="400" spans="4:4" x14ac:dyDescent="0.25">
      <c r="D400" s="306"/>
    </row>
    <row r="401" spans="4:4" x14ac:dyDescent="0.25">
      <c r="D401" s="306"/>
    </row>
    <row r="402" spans="4:4" x14ac:dyDescent="0.25">
      <c r="D402" s="306"/>
    </row>
    <row r="403" spans="4:4" x14ac:dyDescent="0.25">
      <c r="D403" s="306"/>
    </row>
    <row r="404" spans="4:4" x14ac:dyDescent="0.25">
      <c r="D404" s="306"/>
    </row>
    <row r="405" spans="4:4" x14ac:dyDescent="0.25">
      <c r="D405" s="306"/>
    </row>
    <row r="406" spans="4:4" x14ac:dyDescent="0.25">
      <c r="D406" s="306"/>
    </row>
    <row r="407" spans="4:4" x14ac:dyDescent="0.25">
      <c r="D407" s="306"/>
    </row>
    <row r="408" spans="4:4" x14ac:dyDescent="0.25">
      <c r="D408" s="306"/>
    </row>
    <row r="409" spans="4:4" x14ac:dyDescent="0.25">
      <c r="D409" s="306"/>
    </row>
    <row r="410" spans="4:4" x14ac:dyDescent="0.25">
      <c r="D410" s="306"/>
    </row>
    <row r="411" spans="4:4" x14ac:dyDescent="0.25">
      <c r="D411" s="306"/>
    </row>
    <row r="412" spans="4:4" x14ac:dyDescent="0.25">
      <c r="D412" s="306"/>
    </row>
    <row r="413" spans="4:4" x14ac:dyDescent="0.25">
      <c r="D413" s="306"/>
    </row>
    <row r="414" spans="4:4" x14ac:dyDescent="0.25">
      <c r="D414" s="306"/>
    </row>
    <row r="415" spans="4:4" x14ac:dyDescent="0.25">
      <c r="D415" s="306"/>
    </row>
    <row r="416" spans="4:4" x14ac:dyDescent="0.25">
      <c r="D416" s="306"/>
    </row>
    <row r="417" spans="4:4" x14ac:dyDescent="0.25">
      <c r="D417" s="306"/>
    </row>
    <row r="418" spans="4:4" x14ac:dyDescent="0.25">
      <c r="D418" s="306"/>
    </row>
    <row r="419" spans="4:4" x14ac:dyDescent="0.25">
      <c r="D419" s="306"/>
    </row>
    <row r="420" spans="4:4" x14ac:dyDescent="0.25">
      <c r="D420" s="306"/>
    </row>
    <row r="421" spans="4:4" x14ac:dyDescent="0.25">
      <c r="D421" s="306"/>
    </row>
    <row r="422" spans="4:4" x14ac:dyDescent="0.25">
      <c r="D422" s="306"/>
    </row>
    <row r="423" spans="4:4" x14ac:dyDescent="0.25">
      <c r="D423" s="306"/>
    </row>
    <row r="424" spans="4:4" x14ac:dyDescent="0.25">
      <c r="D424" s="306"/>
    </row>
    <row r="425" spans="4:4" x14ac:dyDescent="0.25">
      <c r="D425" s="306"/>
    </row>
    <row r="426" spans="4:4" x14ac:dyDescent="0.25">
      <c r="D426" s="306"/>
    </row>
    <row r="427" spans="4:4" x14ac:dyDescent="0.25">
      <c r="D427" s="306"/>
    </row>
    <row r="428" spans="4:4" x14ac:dyDescent="0.25">
      <c r="D428" s="306"/>
    </row>
    <row r="429" spans="4:4" x14ac:dyDescent="0.25">
      <c r="D429" s="306"/>
    </row>
    <row r="430" spans="4:4" x14ac:dyDescent="0.25">
      <c r="D430" s="306"/>
    </row>
    <row r="431" spans="4:4" x14ac:dyDescent="0.25">
      <c r="D431" s="306"/>
    </row>
    <row r="432" spans="4:4" x14ac:dyDescent="0.25">
      <c r="D432" s="306"/>
    </row>
    <row r="433" spans="4:4" x14ac:dyDescent="0.25">
      <c r="D433" s="306"/>
    </row>
    <row r="434" spans="4:4" x14ac:dyDescent="0.25">
      <c r="D434" s="306"/>
    </row>
    <row r="435" spans="4:4" x14ac:dyDescent="0.25">
      <c r="D435" s="306"/>
    </row>
    <row r="436" spans="4:4" x14ac:dyDescent="0.25">
      <c r="D436" s="306"/>
    </row>
    <row r="437" spans="4:4" x14ac:dyDescent="0.25">
      <c r="D437" s="306"/>
    </row>
    <row r="438" spans="4:4" x14ac:dyDescent="0.25">
      <c r="D438" s="306"/>
    </row>
    <row r="439" spans="4:4" x14ac:dyDescent="0.25">
      <c r="D439" s="306"/>
    </row>
    <row r="440" spans="4:4" x14ac:dyDescent="0.25">
      <c r="D440" s="306"/>
    </row>
    <row r="441" spans="4:4" x14ac:dyDescent="0.25">
      <c r="D441" s="306"/>
    </row>
    <row r="442" spans="4:4" x14ac:dyDescent="0.25">
      <c r="D442" s="306"/>
    </row>
    <row r="443" spans="4:4" x14ac:dyDescent="0.25">
      <c r="D443" s="306"/>
    </row>
    <row r="444" spans="4:4" x14ac:dyDescent="0.25">
      <c r="D444" s="306"/>
    </row>
    <row r="445" spans="4:4" x14ac:dyDescent="0.25">
      <c r="D445" s="306"/>
    </row>
    <row r="446" spans="4:4" x14ac:dyDescent="0.25">
      <c r="D446" s="306"/>
    </row>
    <row r="447" spans="4:4" x14ac:dyDescent="0.25">
      <c r="D447" s="306"/>
    </row>
    <row r="448" spans="4:4" x14ac:dyDescent="0.25">
      <c r="D448" s="306"/>
    </row>
    <row r="449" spans="4:4" x14ac:dyDescent="0.25">
      <c r="D449" s="306"/>
    </row>
    <row r="450" spans="4:4" x14ac:dyDescent="0.25">
      <c r="D450" s="306"/>
    </row>
    <row r="451" spans="4:4" x14ac:dyDescent="0.25">
      <c r="D451" s="306"/>
    </row>
    <row r="452" spans="4:4" x14ac:dyDescent="0.25">
      <c r="D452" s="306"/>
    </row>
    <row r="453" spans="4:4" x14ac:dyDescent="0.25">
      <c r="D453" s="306"/>
    </row>
    <row r="454" spans="4:4" x14ac:dyDescent="0.25">
      <c r="D454" s="306"/>
    </row>
    <row r="455" spans="4:4" x14ac:dyDescent="0.25">
      <c r="D455" s="306"/>
    </row>
    <row r="456" spans="4:4" x14ac:dyDescent="0.25">
      <c r="D456" s="306"/>
    </row>
    <row r="457" spans="4:4" x14ac:dyDescent="0.25">
      <c r="D457" s="306"/>
    </row>
    <row r="458" spans="4:4" x14ac:dyDescent="0.25">
      <c r="D458" s="306"/>
    </row>
    <row r="459" spans="4:4" x14ac:dyDescent="0.25">
      <c r="D459" s="306"/>
    </row>
    <row r="460" spans="4:4" x14ac:dyDescent="0.25">
      <c r="D460" s="306"/>
    </row>
    <row r="461" spans="4:4" x14ac:dyDescent="0.25">
      <c r="D461" s="306"/>
    </row>
    <row r="462" spans="4:4" x14ac:dyDescent="0.25">
      <c r="D462" s="306"/>
    </row>
    <row r="463" spans="4:4" x14ac:dyDescent="0.25">
      <c r="D463" s="306"/>
    </row>
    <row r="464" spans="4:4" x14ac:dyDescent="0.25">
      <c r="D464" s="306"/>
    </row>
    <row r="465" spans="4:4" x14ac:dyDescent="0.25">
      <c r="D465" s="306"/>
    </row>
    <row r="466" spans="4:4" x14ac:dyDescent="0.25">
      <c r="D466" s="306"/>
    </row>
    <row r="467" spans="4:4" x14ac:dyDescent="0.25">
      <c r="D467" s="306"/>
    </row>
    <row r="468" spans="4:4" x14ac:dyDescent="0.25">
      <c r="D468" s="306"/>
    </row>
    <row r="469" spans="4:4" x14ac:dyDescent="0.25">
      <c r="D469" s="306"/>
    </row>
    <row r="470" spans="4:4" x14ac:dyDescent="0.25">
      <c r="D470" s="306"/>
    </row>
    <row r="471" spans="4:4" x14ac:dyDescent="0.25">
      <c r="D471" s="306"/>
    </row>
    <row r="472" spans="4:4" x14ac:dyDescent="0.25">
      <c r="D472" s="306"/>
    </row>
    <row r="473" spans="4:4" x14ac:dyDescent="0.25">
      <c r="D473" s="306"/>
    </row>
    <row r="474" spans="4:4" x14ac:dyDescent="0.25">
      <c r="D474" s="306"/>
    </row>
    <row r="475" spans="4:4" x14ac:dyDescent="0.25">
      <c r="D475" s="306"/>
    </row>
    <row r="476" spans="4:4" x14ac:dyDescent="0.25">
      <c r="D476" s="306"/>
    </row>
    <row r="477" spans="4:4" x14ac:dyDescent="0.25">
      <c r="D477" s="306"/>
    </row>
    <row r="478" spans="4:4" x14ac:dyDescent="0.25">
      <c r="D478" s="306"/>
    </row>
    <row r="479" spans="4:4" x14ac:dyDescent="0.25">
      <c r="D479" s="306"/>
    </row>
    <row r="480" spans="4:4" x14ac:dyDescent="0.25">
      <c r="D480" s="306"/>
    </row>
    <row r="481" spans="4:4" x14ac:dyDescent="0.25">
      <c r="D481" s="306"/>
    </row>
    <row r="482" spans="4:4" x14ac:dyDescent="0.25">
      <c r="D482" s="306"/>
    </row>
    <row r="483" spans="4:4" x14ac:dyDescent="0.25">
      <c r="D483" s="306"/>
    </row>
    <row r="484" spans="4:4" x14ac:dyDescent="0.25">
      <c r="D484" s="306"/>
    </row>
    <row r="485" spans="4:4" x14ac:dyDescent="0.25">
      <c r="D485" s="306"/>
    </row>
    <row r="486" spans="4:4" x14ac:dyDescent="0.25">
      <c r="D486" s="306"/>
    </row>
    <row r="487" spans="4:4" x14ac:dyDescent="0.25">
      <c r="D487" s="306"/>
    </row>
    <row r="488" spans="4:4" x14ac:dyDescent="0.25">
      <c r="D488" s="306"/>
    </row>
    <row r="489" spans="4:4" x14ac:dyDescent="0.25">
      <c r="D489" s="306"/>
    </row>
    <row r="490" spans="4:4" x14ac:dyDescent="0.25">
      <c r="D490" s="306"/>
    </row>
    <row r="491" spans="4:4" x14ac:dyDescent="0.25">
      <c r="D491" s="306"/>
    </row>
    <row r="492" spans="4:4" x14ac:dyDescent="0.25">
      <c r="D492" s="306"/>
    </row>
    <row r="493" spans="4:4" x14ac:dyDescent="0.25">
      <c r="D493" s="306"/>
    </row>
    <row r="494" spans="4:4" x14ac:dyDescent="0.25">
      <c r="D494" s="306"/>
    </row>
    <row r="495" spans="4:4" x14ac:dyDescent="0.25">
      <c r="D495" s="306"/>
    </row>
    <row r="496" spans="4:4" x14ac:dyDescent="0.25">
      <c r="D496" s="306"/>
    </row>
    <row r="497" spans="4:4" x14ac:dyDescent="0.25">
      <c r="D497" s="306"/>
    </row>
    <row r="498" spans="4:4" x14ac:dyDescent="0.25">
      <c r="D498" s="306"/>
    </row>
    <row r="499" spans="4:4" x14ac:dyDescent="0.25">
      <c r="D499" s="306"/>
    </row>
    <row r="500" spans="4:4" x14ac:dyDescent="0.25">
      <c r="D500" s="306"/>
    </row>
    <row r="501" spans="4:4" x14ac:dyDescent="0.25">
      <c r="D501" s="306"/>
    </row>
    <row r="502" spans="4:4" x14ac:dyDescent="0.25">
      <c r="D502" s="306"/>
    </row>
    <row r="503" spans="4:4" x14ac:dyDescent="0.25">
      <c r="D503" s="306"/>
    </row>
    <row r="504" spans="4:4" x14ac:dyDescent="0.25">
      <c r="D504" s="306"/>
    </row>
    <row r="505" spans="4:4" x14ac:dyDescent="0.25">
      <c r="D505" s="306"/>
    </row>
    <row r="506" spans="4:4" x14ac:dyDescent="0.25">
      <c r="D506" s="306"/>
    </row>
    <row r="507" spans="4:4" x14ac:dyDescent="0.25">
      <c r="D507" s="306"/>
    </row>
    <row r="508" spans="4:4" x14ac:dyDescent="0.25">
      <c r="D508" s="306"/>
    </row>
    <row r="509" spans="4:4" x14ac:dyDescent="0.25">
      <c r="D509" s="306"/>
    </row>
    <row r="510" spans="4:4" x14ac:dyDescent="0.25">
      <c r="D510" s="306"/>
    </row>
    <row r="511" spans="4:4" x14ac:dyDescent="0.25">
      <c r="D511" s="306"/>
    </row>
    <row r="512" spans="4:4" x14ac:dyDescent="0.25">
      <c r="D512" s="306"/>
    </row>
    <row r="513" spans="4:4" x14ac:dyDescent="0.25">
      <c r="D513" s="306"/>
    </row>
    <row r="514" spans="4:4" x14ac:dyDescent="0.25">
      <c r="D514" s="306"/>
    </row>
    <row r="515" spans="4:4" x14ac:dyDescent="0.25">
      <c r="D515" s="306"/>
    </row>
    <row r="516" spans="4:4" x14ac:dyDescent="0.25">
      <c r="D516" s="306"/>
    </row>
    <row r="517" spans="4:4" x14ac:dyDescent="0.25">
      <c r="D517" s="306"/>
    </row>
    <row r="518" spans="4:4" x14ac:dyDescent="0.25">
      <c r="D518" s="306"/>
    </row>
    <row r="519" spans="4:4" x14ac:dyDescent="0.25">
      <c r="D519" s="306"/>
    </row>
    <row r="520" spans="4:4" x14ac:dyDescent="0.25">
      <c r="D520" s="306"/>
    </row>
    <row r="521" spans="4:4" x14ac:dyDescent="0.25">
      <c r="D521" s="306"/>
    </row>
    <row r="522" spans="4:4" x14ac:dyDescent="0.25">
      <c r="D522" s="306"/>
    </row>
    <row r="523" spans="4:4" x14ac:dyDescent="0.25">
      <c r="D523" s="306"/>
    </row>
    <row r="524" spans="4:4" x14ac:dyDescent="0.25">
      <c r="D524" s="306"/>
    </row>
    <row r="525" spans="4:4" x14ac:dyDescent="0.25">
      <c r="D525" s="306"/>
    </row>
    <row r="526" spans="4:4" x14ac:dyDescent="0.25">
      <c r="D526" s="306"/>
    </row>
    <row r="527" spans="4:4" x14ac:dyDescent="0.25">
      <c r="D527" s="306"/>
    </row>
    <row r="528" spans="4:4" x14ac:dyDescent="0.25">
      <c r="D528" s="306"/>
    </row>
    <row r="529" spans="4:4" x14ac:dyDescent="0.25">
      <c r="D529" s="306"/>
    </row>
    <row r="530" spans="4:4" x14ac:dyDescent="0.25">
      <c r="D530" s="306"/>
    </row>
    <row r="531" spans="4:4" x14ac:dyDescent="0.25">
      <c r="D531" s="306"/>
    </row>
    <row r="532" spans="4:4" x14ac:dyDescent="0.25">
      <c r="D532" s="306"/>
    </row>
    <row r="533" spans="4:4" x14ac:dyDescent="0.25">
      <c r="D533" s="306"/>
    </row>
    <row r="534" spans="4:4" x14ac:dyDescent="0.25">
      <c r="D534" s="306"/>
    </row>
    <row r="535" spans="4:4" x14ac:dyDescent="0.25">
      <c r="D535" s="306"/>
    </row>
    <row r="536" spans="4:4" x14ac:dyDescent="0.25">
      <c r="D536" s="306"/>
    </row>
    <row r="537" spans="4:4" x14ac:dyDescent="0.25">
      <c r="D537" s="306"/>
    </row>
    <row r="538" spans="4:4" x14ac:dyDescent="0.25">
      <c r="D538" s="306"/>
    </row>
    <row r="539" spans="4:4" x14ac:dyDescent="0.25">
      <c r="D539" s="306"/>
    </row>
    <row r="540" spans="4:4" x14ac:dyDescent="0.25">
      <c r="D540" s="306"/>
    </row>
    <row r="541" spans="4:4" x14ac:dyDescent="0.25">
      <c r="D541" s="306"/>
    </row>
    <row r="542" spans="4:4" x14ac:dyDescent="0.25">
      <c r="D542" s="306"/>
    </row>
    <row r="543" spans="4:4" x14ac:dyDescent="0.25">
      <c r="D543" s="306"/>
    </row>
    <row r="544" spans="4:4" x14ac:dyDescent="0.25">
      <c r="D544" s="306"/>
    </row>
    <row r="545" spans="4:4" x14ac:dyDescent="0.25">
      <c r="D545" s="306"/>
    </row>
    <row r="546" spans="4:4" x14ac:dyDescent="0.25">
      <c r="D546" s="306"/>
    </row>
    <row r="547" spans="4:4" x14ac:dyDescent="0.25">
      <c r="D547" s="306"/>
    </row>
    <row r="548" spans="4:4" x14ac:dyDescent="0.25">
      <c r="D548" s="306"/>
    </row>
    <row r="549" spans="4:4" x14ac:dyDescent="0.25">
      <c r="D549" s="306"/>
    </row>
    <row r="550" spans="4:4" x14ac:dyDescent="0.25">
      <c r="D550" s="306"/>
    </row>
    <row r="551" spans="4:4" x14ac:dyDescent="0.25">
      <c r="D551" s="306"/>
    </row>
    <row r="552" spans="4:4" x14ac:dyDescent="0.25">
      <c r="D552" s="306"/>
    </row>
    <row r="553" spans="4:4" x14ac:dyDescent="0.25">
      <c r="D553" s="306"/>
    </row>
    <row r="554" spans="4:4" x14ac:dyDescent="0.25">
      <c r="D554" s="306"/>
    </row>
    <row r="555" spans="4:4" x14ac:dyDescent="0.25">
      <c r="D555" s="306"/>
    </row>
    <row r="556" spans="4:4" x14ac:dyDescent="0.25">
      <c r="D556" s="306"/>
    </row>
    <row r="557" spans="4:4" x14ac:dyDescent="0.25">
      <c r="D557" s="306"/>
    </row>
    <row r="558" spans="4:4" x14ac:dyDescent="0.25">
      <c r="D558" s="306"/>
    </row>
    <row r="559" spans="4:4" x14ac:dyDescent="0.25">
      <c r="D559" s="306"/>
    </row>
    <row r="560" spans="4:4" x14ac:dyDescent="0.25">
      <c r="D560" s="306"/>
    </row>
    <row r="561" spans="4:4" x14ac:dyDescent="0.25">
      <c r="D561" s="306"/>
    </row>
    <row r="562" spans="4:4" x14ac:dyDescent="0.25">
      <c r="D562" s="306"/>
    </row>
    <row r="563" spans="4:4" x14ac:dyDescent="0.25">
      <c r="D563" s="306"/>
    </row>
    <row r="564" spans="4:4" x14ac:dyDescent="0.25">
      <c r="D564" s="306"/>
    </row>
    <row r="565" spans="4:4" x14ac:dyDescent="0.25">
      <c r="D565" s="306"/>
    </row>
    <row r="566" spans="4:4" x14ac:dyDescent="0.25">
      <c r="D566" s="306"/>
    </row>
    <row r="567" spans="4:4" x14ac:dyDescent="0.25">
      <c r="D567" s="306"/>
    </row>
    <row r="568" spans="4:4" x14ac:dyDescent="0.25">
      <c r="D568" s="306"/>
    </row>
    <row r="569" spans="4:4" x14ac:dyDescent="0.25">
      <c r="D569" s="306"/>
    </row>
    <row r="570" spans="4:4" x14ac:dyDescent="0.25">
      <c r="D570" s="306"/>
    </row>
    <row r="571" spans="4:4" x14ac:dyDescent="0.25">
      <c r="D571" s="306"/>
    </row>
    <row r="572" spans="4:4" x14ac:dyDescent="0.25">
      <c r="D572" s="306"/>
    </row>
    <row r="573" spans="4:4" x14ac:dyDescent="0.25">
      <c r="D573" s="306"/>
    </row>
    <row r="574" spans="4:4" x14ac:dyDescent="0.25">
      <c r="D574" s="306"/>
    </row>
    <row r="575" spans="4:4" x14ac:dyDescent="0.25">
      <c r="D575" s="306"/>
    </row>
    <row r="576" spans="4:4" x14ac:dyDescent="0.25">
      <c r="D576" s="306"/>
    </row>
    <row r="577" spans="4:4" x14ac:dyDescent="0.25">
      <c r="D577" s="306"/>
    </row>
    <row r="578" spans="4:4" x14ac:dyDescent="0.25">
      <c r="D578" s="306"/>
    </row>
    <row r="579" spans="4:4" x14ac:dyDescent="0.25">
      <c r="D579" s="306"/>
    </row>
    <row r="580" spans="4:4" x14ac:dyDescent="0.25">
      <c r="D580" s="306"/>
    </row>
    <row r="581" spans="4:4" x14ac:dyDescent="0.25">
      <c r="D581" s="306"/>
    </row>
    <row r="582" spans="4:4" x14ac:dyDescent="0.25">
      <c r="D582" s="306"/>
    </row>
    <row r="583" spans="4:4" x14ac:dyDescent="0.25">
      <c r="D583" s="306"/>
    </row>
    <row r="584" spans="4:4" x14ac:dyDescent="0.25">
      <c r="D584" s="306"/>
    </row>
    <row r="585" spans="4:4" x14ac:dyDescent="0.25">
      <c r="D585" s="306"/>
    </row>
    <row r="586" spans="4:4" x14ac:dyDescent="0.25">
      <c r="D586" s="306"/>
    </row>
    <row r="587" spans="4:4" x14ac:dyDescent="0.25">
      <c r="D587" s="306"/>
    </row>
    <row r="588" spans="4:4" x14ac:dyDescent="0.25">
      <c r="D588" s="306"/>
    </row>
    <row r="589" spans="4:4" x14ac:dyDescent="0.25">
      <c r="D589" s="306"/>
    </row>
    <row r="590" spans="4:4" x14ac:dyDescent="0.25">
      <c r="D590" s="306"/>
    </row>
    <row r="591" spans="4:4" x14ac:dyDescent="0.25">
      <c r="D591" s="306"/>
    </row>
    <row r="592" spans="4:4" x14ac:dyDescent="0.25">
      <c r="D592" s="306"/>
    </row>
    <row r="593" spans="4:4" x14ac:dyDescent="0.25">
      <c r="D593" s="306"/>
    </row>
    <row r="594" spans="4:4" x14ac:dyDescent="0.25">
      <c r="D594" s="306"/>
    </row>
    <row r="595" spans="4:4" x14ac:dyDescent="0.25">
      <c r="D595" s="306"/>
    </row>
    <row r="596" spans="4:4" x14ac:dyDescent="0.25">
      <c r="D596" s="306"/>
    </row>
    <row r="597" spans="4:4" x14ac:dyDescent="0.25">
      <c r="D597" s="306"/>
    </row>
    <row r="598" spans="4:4" x14ac:dyDescent="0.25">
      <c r="D598" s="306"/>
    </row>
    <row r="599" spans="4:4" x14ac:dyDescent="0.25">
      <c r="D599" s="306"/>
    </row>
    <row r="600" spans="4:4" x14ac:dyDescent="0.25">
      <c r="D600" s="306"/>
    </row>
    <row r="601" spans="4:4" x14ac:dyDescent="0.25">
      <c r="D601" s="306"/>
    </row>
    <row r="602" spans="4:4" x14ac:dyDescent="0.25">
      <c r="D602" s="306"/>
    </row>
    <row r="603" spans="4:4" x14ac:dyDescent="0.25">
      <c r="D603" s="306"/>
    </row>
    <row r="604" spans="4:4" x14ac:dyDescent="0.25">
      <c r="D604" s="306"/>
    </row>
    <row r="605" spans="4:4" x14ac:dyDescent="0.25">
      <c r="D605" s="306"/>
    </row>
    <row r="606" spans="4:4" x14ac:dyDescent="0.25">
      <c r="D606" s="306"/>
    </row>
    <row r="607" spans="4:4" x14ac:dyDescent="0.25">
      <c r="D607" s="306"/>
    </row>
    <row r="608" spans="4:4" x14ac:dyDescent="0.25">
      <c r="D608" s="306"/>
    </row>
    <row r="609" spans="4:4" x14ac:dyDescent="0.25">
      <c r="D609" s="306"/>
    </row>
    <row r="610" spans="4:4" x14ac:dyDescent="0.25">
      <c r="D610" s="306"/>
    </row>
    <row r="611" spans="4:4" x14ac:dyDescent="0.25">
      <c r="D611" s="306"/>
    </row>
    <row r="612" spans="4:4" x14ac:dyDescent="0.25">
      <c r="D612" s="306"/>
    </row>
    <row r="613" spans="4:4" x14ac:dyDescent="0.25">
      <c r="D613" s="306"/>
    </row>
    <row r="614" spans="4:4" x14ac:dyDescent="0.25">
      <c r="D614" s="306"/>
    </row>
    <row r="615" spans="4:4" x14ac:dyDescent="0.25">
      <c r="D615" s="306"/>
    </row>
    <row r="616" spans="4:4" x14ac:dyDescent="0.25">
      <c r="D616" s="306"/>
    </row>
    <row r="617" spans="4:4" x14ac:dyDescent="0.25">
      <c r="D617" s="306"/>
    </row>
    <row r="618" spans="4:4" x14ac:dyDescent="0.25">
      <c r="D618" s="306"/>
    </row>
    <row r="619" spans="4:4" x14ac:dyDescent="0.25">
      <c r="D619" s="306"/>
    </row>
    <row r="620" spans="4:4" x14ac:dyDescent="0.25">
      <c r="D620" s="306"/>
    </row>
    <row r="621" spans="4:4" x14ac:dyDescent="0.25">
      <c r="D621" s="306"/>
    </row>
    <row r="622" spans="4:4" x14ac:dyDescent="0.25">
      <c r="D622" s="306"/>
    </row>
    <row r="623" spans="4:4" x14ac:dyDescent="0.25">
      <c r="D623" s="306"/>
    </row>
    <row r="624" spans="4:4" x14ac:dyDescent="0.25">
      <c r="D624" s="306"/>
    </row>
    <row r="625" spans="4:4" x14ac:dyDescent="0.25">
      <c r="D625" s="306"/>
    </row>
    <row r="626" spans="4:4" x14ac:dyDescent="0.25">
      <c r="D626" s="306"/>
    </row>
    <row r="627" spans="4:4" x14ac:dyDescent="0.25">
      <c r="D627" s="306"/>
    </row>
    <row r="628" spans="4:4" x14ac:dyDescent="0.25">
      <c r="D628" s="306"/>
    </row>
    <row r="629" spans="4:4" x14ac:dyDescent="0.25">
      <c r="D629" s="306"/>
    </row>
    <row r="630" spans="4:4" x14ac:dyDescent="0.25">
      <c r="D630" s="306"/>
    </row>
    <row r="631" spans="4:4" x14ac:dyDescent="0.25">
      <c r="D631" s="306"/>
    </row>
    <row r="632" spans="4:4" x14ac:dyDescent="0.25">
      <c r="D632" s="306"/>
    </row>
    <row r="633" spans="4:4" x14ac:dyDescent="0.25">
      <c r="D633" s="306"/>
    </row>
    <row r="634" spans="4:4" x14ac:dyDescent="0.25">
      <c r="D634" s="306"/>
    </row>
    <row r="635" spans="4:4" x14ac:dyDescent="0.25">
      <c r="D635" s="306"/>
    </row>
    <row r="636" spans="4:4" x14ac:dyDescent="0.25">
      <c r="D636" s="306"/>
    </row>
    <row r="637" spans="4:4" x14ac:dyDescent="0.25">
      <c r="D637" s="306"/>
    </row>
    <row r="638" spans="4:4" x14ac:dyDescent="0.25">
      <c r="D638" s="306"/>
    </row>
    <row r="639" spans="4:4" x14ac:dyDescent="0.25">
      <c r="D639" s="306"/>
    </row>
    <row r="640" spans="4:4" x14ac:dyDescent="0.25">
      <c r="D640" s="306"/>
    </row>
    <row r="641" spans="4:4" x14ac:dyDescent="0.25">
      <c r="D641" s="306"/>
    </row>
    <row r="642" spans="4:4" x14ac:dyDescent="0.25">
      <c r="D642" s="306"/>
    </row>
    <row r="643" spans="4:4" x14ac:dyDescent="0.25">
      <c r="D643" s="306"/>
    </row>
    <row r="644" spans="4:4" x14ac:dyDescent="0.25">
      <c r="D644" s="306"/>
    </row>
    <row r="645" spans="4:4" x14ac:dyDescent="0.25">
      <c r="D645" s="306"/>
    </row>
    <row r="646" spans="4:4" x14ac:dyDescent="0.25">
      <c r="D646" s="306"/>
    </row>
    <row r="647" spans="4:4" x14ac:dyDescent="0.25">
      <c r="D647" s="306"/>
    </row>
    <row r="648" spans="4:4" x14ac:dyDescent="0.25">
      <c r="D648" s="306"/>
    </row>
    <row r="649" spans="4:4" x14ac:dyDescent="0.25">
      <c r="D649" s="306"/>
    </row>
  </sheetData>
  <sheetProtection algorithmName="SHA-512" hashValue="mIlfBfL8W0MYnFM0rU3L7DvGzv62hyJG+R2sjvygV10zMrQYYPSEU9UlJ+n/kf3G5tpm51XxxYK2jFjeykrU+A==" saltValue="zjoHrrEaDdvrMsebc/7uEw==" spinCount="100000" sheet="1" objects="1" scenarios="1"/>
  <dataConsolidate/>
  <mergeCells count="5">
    <mergeCell ref="B1:C2"/>
    <mergeCell ref="A1:A2"/>
    <mergeCell ref="A13:A16"/>
    <mergeCell ref="A6:A8"/>
    <mergeCell ref="A9:A10"/>
  </mergeCells>
  <conditionalFormatting sqref="D248:D649">
    <cfRule type="iconSet" priority="1752">
      <iconSet iconSet="3Symbols2" showValue="0">
        <cfvo type="percent" val="0"/>
        <cfvo type="num" val="2"/>
        <cfvo type="num" val="3"/>
      </iconSet>
    </cfRule>
  </conditionalFormatting>
  <conditionalFormatting sqref="D28">
    <cfRule type="iconSet" priority="14">
      <iconSet iconSet="3Symbols2" showValue="0">
        <cfvo type="percent" val="0"/>
        <cfvo type="num" val="2"/>
        <cfvo type="num" val="3"/>
      </iconSet>
    </cfRule>
  </conditionalFormatting>
  <conditionalFormatting sqref="D22">
    <cfRule type="iconSet" priority="16">
      <iconSet iconSet="3Symbols2" showValue="0">
        <cfvo type="percent" val="0"/>
        <cfvo type="num" val="2"/>
        <cfvo type="num" val="3"/>
      </iconSet>
    </cfRule>
  </conditionalFormatting>
  <conditionalFormatting sqref="D26">
    <cfRule type="iconSet" priority="13">
      <iconSet iconSet="3Symbols2" showValue="0">
        <cfvo type="percent" val="0"/>
        <cfvo type="num" val="2"/>
        <cfvo type="num" val="3"/>
      </iconSet>
    </cfRule>
  </conditionalFormatting>
  <conditionalFormatting sqref="D23:D24">
    <cfRule type="iconSet" priority="17">
      <iconSet iconSet="3Symbols2" showValue="0">
        <cfvo type="percent" val="0"/>
        <cfvo type="num" val="2"/>
        <cfvo type="num" val="3"/>
      </iconSet>
    </cfRule>
  </conditionalFormatting>
  <conditionalFormatting sqref="D40">
    <cfRule type="iconSet" priority="12">
      <iconSet iconSet="3Symbols2" showValue="0">
        <cfvo type="percent" val="0"/>
        <cfvo type="num" val="2"/>
        <cfvo type="num" val="3"/>
      </iconSet>
    </cfRule>
  </conditionalFormatting>
  <conditionalFormatting sqref="D56">
    <cfRule type="iconSet" priority="11">
      <iconSet iconSet="3Symbols2" showValue="0">
        <cfvo type="percent" val="0"/>
        <cfvo type="num" val="2"/>
        <cfvo type="num" val="3"/>
      </iconSet>
    </cfRule>
  </conditionalFormatting>
  <conditionalFormatting sqref="D60:D62">
    <cfRule type="iconSet" priority="10">
      <iconSet iconSet="3Symbols2" showValue="0">
        <cfvo type="percent" val="0"/>
        <cfvo type="num" val="2"/>
        <cfvo type="num" val="3"/>
      </iconSet>
    </cfRule>
  </conditionalFormatting>
  <conditionalFormatting sqref="D72:D73">
    <cfRule type="iconSet" priority="9">
      <iconSet iconSet="3Symbols2" showValue="0">
        <cfvo type="percent" val="0"/>
        <cfvo type="num" val="2"/>
        <cfvo type="num" val="3"/>
      </iconSet>
    </cfRule>
  </conditionalFormatting>
  <conditionalFormatting sqref="D74">
    <cfRule type="iconSet" priority="8">
      <iconSet iconSet="3Symbols2" showValue="0">
        <cfvo type="percent" val="0"/>
        <cfvo type="num" val="2"/>
        <cfvo type="num" val="3"/>
      </iconSet>
    </cfRule>
  </conditionalFormatting>
  <conditionalFormatting sqref="D83">
    <cfRule type="iconSet" priority="7">
      <iconSet iconSet="3Symbols2" showValue="0">
        <cfvo type="percent" val="0"/>
        <cfvo type="num" val="2"/>
        <cfvo type="num" val="3"/>
      </iconSet>
    </cfRule>
  </conditionalFormatting>
  <conditionalFormatting sqref="D95:D96">
    <cfRule type="iconSet" priority="6">
      <iconSet iconSet="3Symbols2" showValue="0">
        <cfvo type="percent" val="0"/>
        <cfvo type="num" val="2"/>
        <cfvo type="num" val="3"/>
      </iconSet>
    </cfRule>
  </conditionalFormatting>
  <conditionalFormatting sqref="D75">
    <cfRule type="iconSet" priority="5">
      <iconSet iconSet="3Symbols2" showValue="0">
        <cfvo type="percent" val="0"/>
        <cfvo type="num" val="2"/>
        <cfvo type="num" val="3"/>
      </iconSet>
    </cfRule>
  </conditionalFormatting>
  <conditionalFormatting sqref="D32">
    <cfRule type="iconSet" priority="4">
      <iconSet iconSet="3Symbols2" showValue="0">
        <cfvo type="percent" val="0"/>
        <cfvo type="num" val="2"/>
        <cfvo type="num" val="3"/>
      </iconSet>
    </cfRule>
  </conditionalFormatting>
  <conditionalFormatting sqref="D42:D55 D27 D25 D30:D31 D57:D59 D63:D71 D76:D82 D84:D85 D33:D39 D21 D87:D94">
    <cfRule type="iconSet" priority="18">
      <iconSet iconSet="3Symbols2" showValue="0">
        <cfvo type="percent" val="0"/>
        <cfvo type="num" val="2"/>
        <cfvo type="num" val="3"/>
      </iconSet>
    </cfRule>
  </conditionalFormatting>
  <conditionalFormatting sqref="D29">
    <cfRule type="iconSet" priority="3">
      <iconSet iconSet="3Symbols2" showValue="0">
        <cfvo type="percent" val="0"/>
        <cfvo type="num" val="2"/>
        <cfvo type="num" val="3"/>
      </iconSet>
    </cfRule>
  </conditionalFormatting>
  <conditionalFormatting sqref="D41">
    <cfRule type="iconSet" priority="2">
      <iconSet iconSet="3Symbols2" showValue="0">
        <cfvo type="percent" val="0"/>
        <cfvo type="num" val="2"/>
        <cfvo type="num" val="3"/>
      </iconSet>
    </cfRule>
  </conditionalFormatting>
  <conditionalFormatting sqref="D86">
    <cfRule type="iconSet" priority="1">
      <iconSet iconSet="3Symbols2" showValue="0">
        <cfvo type="percent" val="0"/>
        <cfvo type="num" val="2"/>
        <cfvo type="num" val="3"/>
      </iconSet>
    </cfRule>
  </conditionalFormatting>
  <dataValidations count="8">
    <dataValidation type="list" allowBlank="1" showInputMessage="1" showErrorMessage="1" sqref="C7" xr:uid="{00000000-0002-0000-0200-000000000000}">
      <formula1>"P,R"</formula1>
    </dataValidation>
    <dataValidation type="list" allowBlank="1" showInputMessage="1" showErrorMessage="1" sqref="C4" xr:uid="{00000000-0002-0000-0200-000001000000}">
      <formula1>INDIRECT($C$3)</formula1>
    </dataValidation>
    <dataValidation type="list" allowBlank="1" showInputMessage="1" showErrorMessage="1" sqref="C5" xr:uid="{00000000-0002-0000-0200-000002000000}">
      <formula1>Servicios</formula1>
    </dataValidation>
    <dataValidation type="list" allowBlank="1" showInputMessage="1" showErrorMessage="1" sqref="C6" xr:uid="{00000000-0002-0000-0200-000003000000}">
      <formula1>INDIRECT($C$5)</formula1>
    </dataValidation>
    <dataValidation type="textLength" allowBlank="1" showInputMessage="1" showErrorMessage="1" error="Solo se pueden ingresar un máximo de 40 caracteres" sqref="C11" xr:uid="{00000000-0002-0000-0200-000004000000}">
      <formula1>0</formula1>
      <formula2>40</formula2>
    </dataValidation>
    <dataValidation type="textLength" operator="equal" allowBlank="1" showInputMessage="1" showErrorMessage="1" error="Este campo solo permite se proporcionen 8 caracteres" sqref="C12" xr:uid="{00000000-0002-0000-0200-000005000000}">
      <formula1>8</formula1>
    </dataValidation>
    <dataValidation type="textLength" operator="equal" allowBlank="1" showInputMessage="1" showErrorMessage="1" sqref="C16" xr:uid="{00000000-0002-0000-0200-000006000000}">
      <formula1>1</formula1>
    </dataValidation>
    <dataValidation type="whole" allowBlank="1" showInputMessage="1" showErrorMessage="1" errorTitle="Id de Estimación" error="Únicamente ingresar número enteros" sqref="C9" xr:uid="{00000000-0002-0000-0200-000007000000}">
      <formula1>0</formula1>
      <formula2>9999999999</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8000000}">
          <x14:formula1>
            <xm:f>Catalogos!$N$14:$N$18</xm:f>
          </x14:formula1>
          <xm:sqref>C14</xm:sqref>
        </x14:dataValidation>
        <x14:dataValidation type="list" allowBlank="1" showInputMessage="1" showErrorMessage="1" xr:uid="{00000000-0002-0000-0200-000009000000}">
          <x14:formula1>
            <xm:f>Catalogos!$I$14:$I$16</xm:f>
          </x14:formula1>
          <xm:sqref>C17</xm:sqref>
        </x14:dataValidation>
        <x14:dataValidation type="list" allowBlank="1" showInputMessage="1" showErrorMessage="1" xr:uid="{00000000-0002-0000-0200-00000A000000}">
          <x14:formula1>
            <xm:f>Catalogos!$N$4:$N$10</xm:f>
          </x14:formula1>
          <xm:sqref>C13</xm:sqref>
        </x14:dataValidation>
        <x14:dataValidation type="list" showInputMessage="1" showErrorMessage="1" xr:uid="{00000000-0002-0000-0200-00000B000000}">
          <x14:formula1>
            <xm:f>Catalogos!$I$3:$I$4</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79646"/>
    <outlinePr summaryBelow="0"/>
  </sheetPr>
  <dimension ref="A1:I53"/>
  <sheetViews>
    <sheetView showGridLines="0" topLeftCell="A4" zoomScale="110" zoomScaleNormal="110" zoomScaleSheetLayoutView="100" workbookViewId="0">
      <selection activeCell="A5" sqref="A5:XFD5"/>
    </sheetView>
  </sheetViews>
  <sheetFormatPr baseColWidth="10" defaultColWidth="9.140625" defaultRowHeight="12.75" x14ac:dyDescent="0.25"/>
  <cols>
    <col min="1" max="1" width="5.5703125" style="11" customWidth="1"/>
    <col min="2" max="2" width="43.7109375" style="17" customWidth="1"/>
    <col min="3" max="3" width="25.7109375" style="17" customWidth="1"/>
    <col min="4" max="4" width="28.28515625" style="62" customWidth="1"/>
    <col min="5" max="5" width="28.42578125" style="17" customWidth="1"/>
    <col min="6" max="6" width="39.140625" style="17" customWidth="1"/>
    <col min="7" max="7" width="31.85546875" style="17" hidden="1" customWidth="1"/>
    <col min="8" max="8" width="23.28515625" style="17" customWidth="1"/>
    <col min="9" max="9" width="22.140625" style="17" customWidth="1"/>
    <col min="10" max="16384" width="9.140625" style="17"/>
  </cols>
  <sheetData>
    <row r="1" spans="1:9" ht="13.5" hidden="1" thickBot="1" x14ac:dyDescent="0.3">
      <c r="A1" s="122"/>
      <c r="B1" s="168" t="s">
        <v>526</v>
      </c>
      <c r="C1" s="115" t="s">
        <v>491</v>
      </c>
      <c r="D1" s="115" t="s">
        <v>123</v>
      </c>
      <c r="E1" s="115" t="s">
        <v>492</v>
      </c>
      <c r="F1" s="115" t="s">
        <v>528</v>
      </c>
      <c r="G1" s="115" t="s">
        <v>520</v>
      </c>
      <c r="H1" s="115" t="s">
        <v>282</v>
      </c>
      <c r="I1" s="115" t="s">
        <v>500</v>
      </c>
    </row>
    <row r="2" spans="1:9" s="15" customFormat="1" ht="13.5" hidden="1" thickBot="1" x14ac:dyDescent="0.3">
      <c r="B2" s="168" t="s">
        <v>527</v>
      </c>
      <c r="C2" s="123" t="str">
        <f>IF(D2&gt;0,VLOOKUP(D2,Catalogos!I3:L5,4,0))</f>
        <v>CDS1,2y3</v>
      </c>
      <c r="D2" s="123" t="str">
        <f>'Hoja Captura'!C3</f>
        <v>El Consorcio - CDS</v>
      </c>
      <c r="E2" s="123">
        <f>'Hoja Captura'!C12</f>
        <v>20181203</v>
      </c>
      <c r="F2" s="169">
        <f>'Hoja Captura'!D12</f>
        <v>43437</v>
      </c>
      <c r="G2" s="169" t="str">
        <f>CONCATENATE(TEXT(F2,"mm"),TEXT(F2,"aaaa"))</f>
        <v>122018</v>
      </c>
      <c r="H2" s="170">
        <f>'Hoja Captura'!C4</f>
        <v>0</v>
      </c>
      <c r="I2" s="169" t="str">
        <f>IF(D2&gt;0,VLOOKUP(D2,Catalogos!I3:J5,2,0))</f>
        <v>CON</v>
      </c>
    </row>
    <row r="3" spans="1:9" s="15" customFormat="1" ht="15" hidden="1" x14ac:dyDescent="0.25">
      <c r="A3" s="193"/>
      <c r="B3" s="121"/>
      <c r="C3" s="121"/>
      <c r="D3" s="166"/>
      <c r="E3" s="167"/>
      <c r="G3" s="149"/>
    </row>
    <row r="5" spans="1:9" s="65" customFormat="1" ht="15" customHeight="1" x14ac:dyDescent="0.25">
      <c r="A5" s="556" t="s">
        <v>537</v>
      </c>
      <c r="B5" s="556" t="s">
        <v>538</v>
      </c>
      <c r="C5" s="557" t="s">
        <v>2</v>
      </c>
      <c r="D5" s="558" t="s">
        <v>539</v>
      </c>
      <c r="E5" s="559" t="s">
        <v>540</v>
      </c>
      <c r="F5" s="559" t="s">
        <v>290</v>
      </c>
      <c r="G5" s="66" t="s">
        <v>534</v>
      </c>
    </row>
    <row r="6" spans="1:9" s="16" customFormat="1" ht="25.5" x14ac:dyDescent="0.25">
      <c r="A6" s="73">
        <v>1</v>
      </c>
      <c r="B6" s="546" t="s">
        <v>1687</v>
      </c>
      <c r="C6" s="551" t="s">
        <v>496</v>
      </c>
      <c r="D6" s="546" t="s">
        <v>130</v>
      </c>
      <c r="E6" s="546" t="s">
        <v>1597</v>
      </c>
      <c r="F6" s="546" t="str">
        <f>CONCATENATE(C6,"_",$C$2,"_",$E$2)</f>
        <v>RepConsolidadoServ_CDS1,2y3_20181203</v>
      </c>
      <c r="G6" s="26"/>
    </row>
    <row r="7" spans="1:9" ht="89.25" x14ac:dyDescent="0.25">
      <c r="A7" s="73">
        <v>2</v>
      </c>
      <c r="B7" s="546" t="s">
        <v>1686</v>
      </c>
      <c r="C7" s="551" t="s">
        <v>1624</v>
      </c>
      <c r="D7" s="546" t="s">
        <v>130</v>
      </c>
      <c r="E7" s="546" t="s">
        <v>374</v>
      </c>
      <c r="F7" s="551" t="str">
        <f t="shared" ref="F7:F53" si="0">CONCATENATE(C7,"_",$C$2,"_",$E$2)</f>
        <v>RepAdmonConfSDS_CDS1,2y3_20181203</v>
      </c>
      <c r="G7" s="67" t="s">
        <v>417</v>
      </c>
      <c r="H7" s="16"/>
    </row>
    <row r="8" spans="1:9" ht="76.5" x14ac:dyDescent="0.25">
      <c r="A8" s="73">
        <v>3</v>
      </c>
      <c r="B8" s="546" t="s">
        <v>1685</v>
      </c>
      <c r="C8" s="551" t="s">
        <v>1625</v>
      </c>
      <c r="D8" s="548" t="s">
        <v>130</v>
      </c>
      <c r="E8" s="546" t="s">
        <v>374</v>
      </c>
      <c r="F8" s="551" t="str">
        <f t="shared" si="0"/>
        <v>RepAdmonConfSCO
_CDS1,2y3_20181203</v>
      </c>
      <c r="G8" s="67"/>
      <c r="H8" s="16"/>
    </row>
    <row r="9" spans="1:9" ht="25.5" x14ac:dyDescent="0.25">
      <c r="A9" s="73">
        <v>4</v>
      </c>
      <c r="B9" s="546" t="s">
        <v>1684</v>
      </c>
      <c r="C9" s="551" t="s">
        <v>357</v>
      </c>
      <c r="D9" s="546" t="s">
        <v>130</v>
      </c>
      <c r="E9" s="546" t="s">
        <v>1590</v>
      </c>
      <c r="F9" s="551" t="str">
        <f t="shared" si="0"/>
        <v>CRIMED_CDS1,2y3_20181203</v>
      </c>
      <c r="G9" s="67" t="s">
        <v>427</v>
      </c>
      <c r="H9" s="16"/>
    </row>
    <row r="10" spans="1:9" ht="25.5" x14ac:dyDescent="0.25">
      <c r="A10" s="73">
        <v>5</v>
      </c>
      <c r="B10" s="546" t="s">
        <v>1612</v>
      </c>
      <c r="C10" s="551" t="s">
        <v>1613</v>
      </c>
      <c r="D10" s="546" t="s">
        <v>130</v>
      </c>
      <c r="E10" s="546" t="s">
        <v>1590</v>
      </c>
      <c r="F10" s="551" t="str">
        <f t="shared" si="0"/>
        <v>RepEF_CDS1,2y3_20181203</v>
      </c>
      <c r="G10" s="67"/>
      <c r="H10" s="16"/>
    </row>
    <row r="11" spans="1:9" ht="38.25" x14ac:dyDescent="0.25">
      <c r="A11" s="73">
        <v>6</v>
      </c>
      <c r="B11" s="546" t="s">
        <v>1614</v>
      </c>
      <c r="C11" s="551" t="s">
        <v>1626</v>
      </c>
      <c r="D11" s="546" t="s">
        <v>130</v>
      </c>
      <c r="E11" s="546" t="s">
        <v>1590</v>
      </c>
      <c r="F11" s="551" t="str">
        <f t="shared" si="0"/>
        <v>RepLinArqApp_CDS1,2y3_20181203</v>
      </c>
      <c r="G11" s="67" t="s">
        <v>418</v>
      </c>
      <c r="H11" s="16"/>
    </row>
    <row r="12" spans="1:9" ht="25.5" x14ac:dyDescent="0.25">
      <c r="A12" s="73">
        <v>7</v>
      </c>
      <c r="B12" s="546" t="s">
        <v>1627</v>
      </c>
      <c r="C12" s="551" t="s">
        <v>1628</v>
      </c>
      <c r="D12" s="546" t="s">
        <v>130</v>
      </c>
      <c r="E12" s="546" t="s">
        <v>1590</v>
      </c>
      <c r="F12" s="551" t="str">
        <f t="shared" si="0"/>
        <v>RepDocProcApp_CDS1,2y3_20181203</v>
      </c>
      <c r="G12" s="67" t="s">
        <v>419</v>
      </c>
      <c r="H12" s="16"/>
    </row>
    <row r="13" spans="1:9" ht="38.25" x14ac:dyDescent="0.25">
      <c r="A13" s="73">
        <v>8</v>
      </c>
      <c r="B13" s="546" t="s">
        <v>1629</v>
      </c>
      <c r="C13" s="551" t="s">
        <v>1630</v>
      </c>
      <c r="D13" s="546" t="s">
        <v>1631</v>
      </c>
      <c r="E13" s="546" t="s">
        <v>374</v>
      </c>
      <c r="F13" s="551" t="str">
        <f t="shared" si="0"/>
        <v>EstimaciónEsfuerzo_CDS1,2y3_20181203</v>
      </c>
      <c r="G13" s="67" t="s">
        <v>427</v>
      </c>
      <c r="H13" s="16"/>
    </row>
    <row r="14" spans="1:9" ht="25.5" x14ac:dyDescent="0.25">
      <c r="A14" s="73">
        <v>9</v>
      </c>
      <c r="B14" s="546" t="s">
        <v>1608</v>
      </c>
      <c r="C14" s="551" t="s">
        <v>1609</v>
      </c>
      <c r="D14" s="546" t="s">
        <v>130</v>
      </c>
      <c r="E14" s="546" t="s">
        <v>1590</v>
      </c>
      <c r="F14" s="551" t="str">
        <f t="shared" si="0"/>
        <v>RepDobEst_CDS1,2y3_20181203</v>
      </c>
      <c r="G14" s="26"/>
      <c r="H14" s="16"/>
    </row>
    <row r="15" spans="1:9" ht="25.5" x14ac:dyDescent="0.25">
      <c r="A15" s="73">
        <v>10</v>
      </c>
      <c r="B15" s="546" t="s">
        <v>1603</v>
      </c>
      <c r="C15" s="551" t="s">
        <v>1604</v>
      </c>
      <c r="D15" s="546" t="s">
        <v>130</v>
      </c>
      <c r="E15" s="546" t="s">
        <v>1590</v>
      </c>
      <c r="F15" s="551" t="str">
        <f t="shared" si="0"/>
        <v>IndDesPor_CDS1,2y3_20181203</v>
      </c>
      <c r="G15" s="67" t="s">
        <v>418</v>
      </c>
      <c r="H15" s="16"/>
    </row>
    <row r="16" spans="1:9" ht="25.5" x14ac:dyDescent="0.25">
      <c r="A16" s="73">
        <v>11</v>
      </c>
      <c r="B16" s="546" t="s">
        <v>1683</v>
      </c>
      <c r="C16" s="551" t="s">
        <v>443</v>
      </c>
      <c r="D16" s="546" t="s">
        <v>130</v>
      </c>
      <c r="E16" s="546" t="s">
        <v>1590</v>
      </c>
      <c r="F16" s="551" t="str">
        <f t="shared" si="0"/>
        <v>IRAC_CDS1,2y3_20181203</v>
      </c>
      <c r="G16" s="67" t="s">
        <v>418</v>
      </c>
      <c r="H16" s="16"/>
    </row>
    <row r="17" spans="1:8" ht="38.25" x14ac:dyDescent="0.25">
      <c r="A17" s="73">
        <v>12</v>
      </c>
      <c r="B17" s="546" t="s">
        <v>1682</v>
      </c>
      <c r="C17" s="551" t="s">
        <v>1632</v>
      </c>
      <c r="D17" s="549" t="s">
        <v>1631</v>
      </c>
      <c r="E17" s="546" t="s">
        <v>374</v>
      </c>
      <c r="F17" s="551" t="str">
        <f t="shared" si="0"/>
        <v>ListadoPersonal_CDS1,2y3_20181203</v>
      </c>
      <c r="G17" s="67" t="s">
        <v>419</v>
      </c>
      <c r="H17" s="16"/>
    </row>
    <row r="18" spans="1:8" ht="38.25" x14ac:dyDescent="0.25">
      <c r="A18" s="73">
        <v>13</v>
      </c>
      <c r="B18" s="546" t="s">
        <v>1633</v>
      </c>
      <c r="C18" s="551" t="s">
        <v>1694</v>
      </c>
      <c r="D18" s="548" t="s">
        <v>1631</v>
      </c>
      <c r="E18" s="546" t="s">
        <v>374</v>
      </c>
      <c r="F18" s="551" t="str">
        <f t="shared" si="0"/>
        <v>ListProdConect_CDS1,2y3_20181203</v>
      </c>
      <c r="G18" s="67" t="s">
        <v>427</v>
      </c>
      <c r="H18" s="16"/>
    </row>
    <row r="19" spans="1:8" ht="25.5" x14ac:dyDescent="0.25">
      <c r="A19" s="73">
        <v>14</v>
      </c>
      <c r="B19" s="546" t="s">
        <v>1600</v>
      </c>
      <c r="C19" s="551" t="s">
        <v>1634</v>
      </c>
      <c r="D19" s="546" t="s">
        <v>130</v>
      </c>
      <c r="E19" s="546" t="s">
        <v>374</v>
      </c>
      <c r="F19" s="551" t="str">
        <f t="shared" si="0"/>
        <v>RepManttos_CDS1,2y3_20181203</v>
      </c>
      <c r="G19" s="67" t="s">
        <v>435</v>
      </c>
      <c r="H19" s="16"/>
    </row>
    <row r="20" spans="1:8" ht="38.25" x14ac:dyDescent="0.25">
      <c r="A20" s="73">
        <v>15</v>
      </c>
      <c r="B20" s="546" t="s">
        <v>1635</v>
      </c>
      <c r="C20" s="551" t="s">
        <v>1636</v>
      </c>
      <c r="D20" s="546" t="s">
        <v>1631</v>
      </c>
      <c r="E20" s="546" t="s">
        <v>374</v>
      </c>
      <c r="F20" s="551" t="str">
        <f t="shared" si="0"/>
        <v>MinutasPersonalClave_CDS1,2y3_20181203</v>
      </c>
      <c r="G20" s="67" t="s">
        <v>418</v>
      </c>
      <c r="H20" s="16"/>
    </row>
    <row r="21" spans="1:8" x14ac:dyDescent="0.25">
      <c r="A21" s="73">
        <v>16</v>
      </c>
      <c r="B21" s="546" t="s">
        <v>1681</v>
      </c>
      <c r="C21" s="551" t="s">
        <v>494</v>
      </c>
      <c r="D21" s="546" t="s">
        <v>1637</v>
      </c>
      <c r="E21" s="546" t="s">
        <v>1597</v>
      </c>
      <c r="F21" s="551" t="str">
        <f t="shared" si="0"/>
        <v>PlanMejoraAplicativo_CDS1,2y3_20181203</v>
      </c>
      <c r="G21" s="67"/>
      <c r="H21" s="16"/>
    </row>
    <row r="22" spans="1:8" x14ac:dyDescent="0.25">
      <c r="A22" s="73">
        <v>17</v>
      </c>
      <c r="B22" s="546" t="s">
        <v>1680</v>
      </c>
      <c r="C22" s="551" t="s">
        <v>495</v>
      </c>
      <c r="D22" s="546" t="s">
        <v>130</v>
      </c>
      <c r="E22" s="546" t="s">
        <v>1597</v>
      </c>
      <c r="F22" s="551" t="str">
        <f t="shared" si="0"/>
        <v>PlanAccionCumplirNS_CDS1,2y3_20181203</v>
      </c>
      <c r="G22" s="67"/>
      <c r="H22" s="16"/>
    </row>
    <row r="23" spans="1:8" ht="25.5" x14ac:dyDescent="0.25">
      <c r="A23" s="73">
        <v>18</v>
      </c>
      <c r="B23" s="546" t="s">
        <v>1679</v>
      </c>
      <c r="C23" s="551" t="s">
        <v>399</v>
      </c>
      <c r="D23" s="546" t="s">
        <v>130</v>
      </c>
      <c r="E23" s="546" t="s">
        <v>1590</v>
      </c>
      <c r="F23" s="551" t="str">
        <f t="shared" si="0"/>
        <v>PCAL_CDS1,2y3_20181203</v>
      </c>
      <c r="G23" s="67" t="s">
        <v>418</v>
      </c>
      <c r="H23" s="16"/>
    </row>
    <row r="24" spans="1:8" ht="25.5" x14ac:dyDescent="0.25">
      <c r="A24" s="73">
        <v>19</v>
      </c>
      <c r="B24" s="546" t="s">
        <v>1638</v>
      </c>
      <c r="C24" s="551" t="s">
        <v>1639</v>
      </c>
      <c r="D24" s="546" t="s">
        <v>1640</v>
      </c>
      <c r="E24" s="546" t="s">
        <v>1590</v>
      </c>
      <c r="F24" s="551" t="str">
        <f t="shared" si="0"/>
        <v>PlanDespMej_CDS1,2y3_20181203</v>
      </c>
      <c r="G24" s="67" t="s">
        <v>418</v>
      </c>
      <c r="H24" s="16"/>
    </row>
    <row r="25" spans="1:8" ht="25.5" x14ac:dyDescent="0.25">
      <c r="A25" s="73">
        <v>20</v>
      </c>
      <c r="B25" s="546" t="s">
        <v>1641</v>
      </c>
      <c r="C25" s="551" t="s">
        <v>1642</v>
      </c>
      <c r="D25" s="546" t="s">
        <v>130</v>
      </c>
      <c r="E25" s="546" t="s">
        <v>1590</v>
      </c>
      <c r="F25" s="551" t="str">
        <f t="shared" si="0"/>
        <v>PlanMejDesCAM_CDS1,2y3_20181203</v>
      </c>
      <c r="G25" s="67" t="s">
        <v>418</v>
      </c>
      <c r="H25" s="16"/>
    </row>
    <row r="26" spans="1:8" x14ac:dyDescent="0.25">
      <c r="A26" s="73">
        <v>21</v>
      </c>
      <c r="B26" s="546" t="s">
        <v>1678</v>
      </c>
      <c r="C26" s="551" t="s">
        <v>1643</v>
      </c>
      <c r="D26" s="546" t="s">
        <v>130</v>
      </c>
      <c r="E26" s="546" t="s">
        <v>1590</v>
      </c>
      <c r="F26" s="551" t="str">
        <f t="shared" si="0"/>
        <v>PlanMejDesCDS_CDS1,2y3_20181203</v>
      </c>
      <c r="G26" s="67"/>
      <c r="H26" s="16"/>
    </row>
    <row r="27" spans="1:8" ht="25.5" x14ac:dyDescent="0.25">
      <c r="A27" s="73">
        <v>22</v>
      </c>
      <c r="B27" s="546" t="s">
        <v>1677</v>
      </c>
      <c r="C27" s="551" t="s">
        <v>1644</v>
      </c>
      <c r="D27" s="546" t="s">
        <v>1640</v>
      </c>
      <c r="E27" s="546" t="s">
        <v>1590</v>
      </c>
      <c r="F27" s="551" t="str">
        <f t="shared" si="0"/>
        <v>PlanMejProc_CDS1,2y3_20181203</v>
      </c>
      <c r="G27" s="67" t="s">
        <v>418</v>
      </c>
      <c r="H27" s="16"/>
    </row>
    <row r="28" spans="1:8" ht="38.25" x14ac:dyDescent="0.25">
      <c r="A28" s="73">
        <v>23</v>
      </c>
      <c r="B28" s="546" t="s">
        <v>1645</v>
      </c>
      <c r="C28" s="551" t="s">
        <v>1688</v>
      </c>
      <c r="D28" s="546" t="s">
        <v>1631</v>
      </c>
      <c r="E28" s="546" t="s">
        <v>374</v>
      </c>
      <c r="F28" s="551" t="str">
        <f t="shared" si="0"/>
        <v>PlanTransfConoc_CDS1,2y3_20181203</v>
      </c>
      <c r="G28" s="67" t="s">
        <v>418</v>
      </c>
      <c r="H28" s="16"/>
    </row>
    <row r="29" spans="1:8" ht="25.5" x14ac:dyDescent="0.25">
      <c r="A29" s="73">
        <v>24</v>
      </c>
      <c r="B29" s="546" t="s">
        <v>1676</v>
      </c>
      <c r="C29" s="551" t="s">
        <v>414</v>
      </c>
      <c r="D29" s="546" t="s">
        <v>130</v>
      </c>
      <c r="E29" s="546" t="s">
        <v>1590</v>
      </c>
      <c r="F29" s="551" t="str">
        <f t="shared" si="0"/>
        <v>PlanIntegral_CDS1,2y3_20181203</v>
      </c>
      <c r="G29" s="67" t="s">
        <v>418</v>
      </c>
      <c r="H29" s="16"/>
    </row>
    <row r="30" spans="1:8" ht="25.5" x14ac:dyDescent="0.25">
      <c r="A30" s="73">
        <v>25</v>
      </c>
      <c r="B30" s="546" t="s">
        <v>1675</v>
      </c>
      <c r="C30" s="551" t="s">
        <v>1646</v>
      </c>
      <c r="D30" s="546" t="s">
        <v>1640</v>
      </c>
      <c r="E30" s="546" t="s">
        <v>1590</v>
      </c>
      <c r="F30" s="551" t="str">
        <f t="shared" si="0"/>
        <v>PlanCumpOLA-SLA_CDS1,2y3_20181203</v>
      </c>
      <c r="G30" s="67" t="s">
        <v>418</v>
      </c>
      <c r="H30" s="16"/>
    </row>
    <row r="31" spans="1:8" ht="38.25" x14ac:dyDescent="0.25">
      <c r="A31" s="73">
        <v>26</v>
      </c>
      <c r="B31" s="546" t="s">
        <v>1647</v>
      </c>
      <c r="C31" s="551" t="s">
        <v>1648</v>
      </c>
      <c r="D31" s="546" t="s">
        <v>1631</v>
      </c>
      <c r="E31" s="546" t="s">
        <v>374</v>
      </c>
      <c r="F31" s="551" t="str">
        <f t="shared" si="0"/>
        <v>PlanTrabajo_CDS1,2y3_20181203</v>
      </c>
      <c r="G31" s="67" t="s">
        <v>418</v>
      </c>
      <c r="H31" s="16"/>
    </row>
    <row r="32" spans="1:8" ht="25.5" x14ac:dyDescent="0.25">
      <c r="A32" s="73">
        <v>27</v>
      </c>
      <c r="B32" s="546" t="s">
        <v>1674</v>
      </c>
      <c r="C32" s="551" t="s">
        <v>1689</v>
      </c>
      <c r="D32" s="546" t="s">
        <v>130</v>
      </c>
      <c r="E32" s="546" t="s">
        <v>1597</v>
      </c>
      <c r="F32" s="551" t="str">
        <f t="shared" si="0"/>
        <v>ProyecPresup_CDS1,2y3_20181203</v>
      </c>
      <c r="G32" s="67" t="s">
        <v>418</v>
      </c>
      <c r="H32" s="16"/>
    </row>
    <row r="33" spans="1:8" ht="25.5" x14ac:dyDescent="0.25">
      <c r="A33" s="73">
        <v>28</v>
      </c>
      <c r="B33" s="546" t="s">
        <v>1673</v>
      </c>
      <c r="C33" s="551" t="s">
        <v>1690</v>
      </c>
      <c r="D33" s="546" t="s">
        <v>130</v>
      </c>
      <c r="E33" s="546" t="s">
        <v>1597</v>
      </c>
      <c r="F33" s="551" t="str">
        <f t="shared" si="0"/>
        <v>RepAvanPresup_CDS1,2y3_20181203</v>
      </c>
      <c r="G33" s="67" t="s">
        <v>418</v>
      </c>
      <c r="H33" s="16"/>
    </row>
    <row r="34" spans="1:8" x14ac:dyDescent="0.25">
      <c r="A34" s="73">
        <v>29</v>
      </c>
      <c r="B34" s="546" t="s">
        <v>1672</v>
      </c>
      <c r="C34" s="551" t="s">
        <v>1691</v>
      </c>
      <c r="D34" s="546" t="s">
        <v>130</v>
      </c>
      <c r="E34" s="546" t="s">
        <v>1597</v>
      </c>
      <c r="F34" s="551" t="str">
        <f t="shared" si="0"/>
        <v>DeducPenaliz_CDS1,2y3_20181203</v>
      </c>
      <c r="G34" s="67"/>
      <c r="H34" s="16"/>
    </row>
    <row r="35" spans="1:8" ht="25.5" x14ac:dyDescent="0.25">
      <c r="A35" s="73">
        <v>30</v>
      </c>
      <c r="B35" s="546" t="s">
        <v>1671</v>
      </c>
      <c r="C35" s="551" t="s">
        <v>1649</v>
      </c>
      <c r="D35" s="546" t="s">
        <v>130</v>
      </c>
      <c r="E35" s="546" t="s">
        <v>1590</v>
      </c>
      <c r="F35" s="551" t="str">
        <f t="shared" si="0"/>
        <v>RepEdoDef_CDS1,2y3_20181203</v>
      </c>
      <c r="G35" s="67" t="s">
        <v>418</v>
      </c>
      <c r="H35" s="16"/>
    </row>
    <row r="36" spans="1:8" x14ac:dyDescent="0.25">
      <c r="A36" s="73">
        <v>31</v>
      </c>
      <c r="B36" s="551" t="s">
        <v>1670</v>
      </c>
      <c r="C36" s="551" t="s">
        <v>1212</v>
      </c>
      <c r="D36" s="551" t="s">
        <v>130</v>
      </c>
      <c r="E36" s="551" t="s">
        <v>374</v>
      </c>
      <c r="F36" s="551" t="str">
        <f t="shared" si="0"/>
        <v>Garantías_CDS1,2y3_20181203</v>
      </c>
    </row>
    <row r="37" spans="1:8" x14ac:dyDescent="0.25">
      <c r="A37" s="73">
        <v>32</v>
      </c>
      <c r="B37" s="551" t="s">
        <v>1669</v>
      </c>
      <c r="C37" s="551" t="s">
        <v>498</v>
      </c>
      <c r="D37" s="551" t="s">
        <v>130</v>
      </c>
      <c r="E37" s="551" t="s">
        <v>1597</v>
      </c>
      <c r="F37" s="551" t="str">
        <f t="shared" si="0"/>
        <v>RepMetMed_CDS1,2y3_20181203</v>
      </c>
    </row>
    <row r="38" spans="1:8" x14ac:dyDescent="0.25">
      <c r="A38" s="73">
        <v>33</v>
      </c>
      <c r="B38" s="551" t="s">
        <v>1668</v>
      </c>
      <c r="C38" s="551" t="s">
        <v>1650</v>
      </c>
      <c r="D38" s="551" t="s">
        <v>130</v>
      </c>
      <c r="E38" s="551" t="s">
        <v>1590</v>
      </c>
      <c r="F38" s="551" t="str">
        <f t="shared" si="0"/>
        <v>RepAcdMejDesCDS_CDS1,2y3_20181203</v>
      </c>
    </row>
    <row r="39" spans="1:8" ht="25.5" x14ac:dyDescent="0.25">
      <c r="A39" s="73">
        <v>34</v>
      </c>
      <c r="B39" s="551" t="s">
        <v>1651</v>
      </c>
      <c r="C39" s="551" t="s">
        <v>1652</v>
      </c>
      <c r="D39" s="551" t="s">
        <v>130</v>
      </c>
      <c r="E39" s="551" t="s">
        <v>1590</v>
      </c>
      <c r="F39" s="551" t="str">
        <f t="shared" si="0"/>
        <v>RepSaludManttoDesa_CDS1,2y3_20181203</v>
      </c>
    </row>
    <row r="40" spans="1:8" ht="25.5" x14ac:dyDescent="0.25">
      <c r="A40" s="73">
        <v>35</v>
      </c>
      <c r="B40" s="551" t="s">
        <v>1653</v>
      </c>
      <c r="C40" s="551" t="s">
        <v>1654</v>
      </c>
      <c r="D40" s="551" t="s">
        <v>130</v>
      </c>
      <c r="E40" s="551" t="s">
        <v>374</v>
      </c>
      <c r="F40" s="551" t="str">
        <f t="shared" si="0"/>
        <v>RepServAtend_CDS1,2y3_20181203</v>
      </c>
    </row>
    <row r="41" spans="1:8" ht="38.25" x14ac:dyDescent="0.25">
      <c r="A41" s="73">
        <v>36</v>
      </c>
      <c r="B41" s="551" t="s">
        <v>1655</v>
      </c>
      <c r="C41" s="551" t="s">
        <v>1693</v>
      </c>
      <c r="D41" s="551" t="s">
        <v>130</v>
      </c>
      <c r="E41" s="551" t="s">
        <v>1590</v>
      </c>
      <c r="F41" s="551" t="str">
        <f t="shared" si="0"/>
        <v>RepCumpEntregCDS_CDS1,2y3_20181203</v>
      </c>
    </row>
    <row r="42" spans="1:8" ht="51" x14ac:dyDescent="0.25">
      <c r="A42" s="73">
        <v>37</v>
      </c>
      <c r="B42" s="551" t="s">
        <v>1656</v>
      </c>
      <c r="C42" s="551" t="s">
        <v>1657</v>
      </c>
      <c r="D42" s="551" t="s">
        <v>130</v>
      </c>
      <c r="E42" s="551" t="s">
        <v>374</v>
      </c>
      <c r="F42" s="551" t="str">
        <f t="shared" si="0"/>
        <v>RepCerrInc_Prob_CDS1,2y3_20181203</v>
      </c>
    </row>
    <row r="43" spans="1:8" ht="25.5" x14ac:dyDescent="0.25">
      <c r="A43" s="73">
        <v>38</v>
      </c>
      <c r="B43" s="551" t="s">
        <v>1615</v>
      </c>
      <c r="C43" s="551" t="s">
        <v>1616</v>
      </c>
      <c r="D43" s="551" t="s">
        <v>130</v>
      </c>
      <c r="E43" s="551" t="s">
        <v>1590</v>
      </c>
      <c r="F43" s="551" t="str">
        <f t="shared" si="0"/>
        <v>RepDespPersonal_CDS1,2y3_20181203</v>
      </c>
    </row>
    <row r="44" spans="1:8" x14ac:dyDescent="0.25">
      <c r="A44" s="73">
        <v>39</v>
      </c>
      <c r="B44" s="551" t="s">
        <v>1658</v>
      </c>
      <c r="C44" s="551" t="s">
        <v>1692</v>
      </c>
      <c r="D44" s="551" t="s">
        <v>130</v>
      </c>
      <c r="E44" s="551" t="s">
        <v>1597</v>
      </c>
      <c r="F44" s="551" t="str">
        <f t="shared" si="0"/>
        <v>RepConServProv_CDS1,2y3_20181203</v>
      </c>
    </row>
    <row r="45" spans="1:8" ht="25.5" x14ac:dyDescent="0.25">
      <c r="A45" s="73">
        <v>40</v>
      </c>
      <c r="B45" s="551" t="s">
        <v>1667</v>
      </c>
      <c r="C45" s="551" t="s">
        <v>1659</v>
      </c>
      <c r="D45" s="551" t="s">
        <v>130</v>
      </c>
      <c r="E45" s="551" t="s">
        <v>1597</v>
      </c>
      <c r="F45" s="551" t="str">
        <f t="shared" si="0"/>
        <v>RepDesProv
_CDS1,2y3_20181203</v>
      </c>
    </row>
    <row r="46" spans="1:8" x14ac:dyDescent="0.25">
      <c r="A46" s="73">
        <v>41</v>
      </c>
      <c r="B46" s="551" t="s">
        <v>1660</v>
      </c>
      <c r="C46" s="551" t="s">
        <v>1661</v>
      </c>
      <c r="D46" s="551" t="s">
        <v>130</v>
      </c>
      <c r="E46" s="551" t="s">
        <v>1597</v>
      </c>
      <c r="F46" s="551" t="str">
        <f t="shared" si="0"/>
        <v>RepSLAProveedor_CDS1,2y3_20181203</v>
      </c>
    </row>
    <row r="47" spans="1:8" ht="38.25" x14ac:dyDescent="0.25">
      <c r="A47" s="73">
        <v>42</v>
      </c>
      <c r="B47" s="551" t="s">
        <v>1610</v>
      </c>
      <c r="C47" s="551" t="s">
        <v>1611</v>
      </c>
      <c r="D47" s="551" t="s">
        <v>130</v>
      </c>
      <c r="E47" s="551" t="s">
        <v>1590</v>
      </c>
      <c r="F47" s="551" t="str">
        <f t="shared" si="0"/>
        <v>RepEstTend_CDS1,2y3_20181203</v>
      </c>
    </row>
    <row r="48" spans="1:8" x14ac:dyDescent="0.25">
      <c r="A48" s="73">
        <v>43</v>
      </c>
      <c r="B48" s="551" t="s">
        <v>1605</v>
      </c>
      <c r="C48" s="551" t="s">
        <v>1662</v>
      </c>
      <c r="D48" s="551" t="s">
        <v>130</v>
      </c>
      <c r="E48" s="551" t="s">
        <v>1590</v>
      </c>
      <c r="F48" s="551" t="str">
        <f t="shared" si="0"/>
        <v>RepPerDesmCDS_CDS1,2y3_20181203</v>
      </c>
    </row>
    <row r="49" spans="1:6" ht="25.5" x14ac:dyDescent="0.25">
      <c r="A49" s="73">
        <v>44</v>
      </c>
      <c r="B49" s="551" t="s">
        <v>1606</v>
      </c>
      <c r="C49" s="551" t="s">
        <v>1607</v>
      </c>
      <c r="D49" s="551" t="s">
        <v>130</v>
      </c>
      <c r="E49" s="551" t="s">
        <v>1590</v>
      </c>
      <c r="F49" s="551" t="str">
        <f t="shared" si="0"/>
        <v>RepDetProb_CDS1,2y3_20181203</v>
      </c>
    </row>
    <row r="50" spans="1:6" ht="25.5" x14ac:dyDescent="0.25">
      <c r="A50" s="73">
        <v>45</v>
      </c>
      <c r="B50" s="551" t="s">
        <v>1601</v>
      </c>
      <c r="C50" s="551" t="s">
        <v>1602</v>
      </c>
      <c r="D50" s="551" t="s">
        <v>130</v>
      </c>
      <c r="E50" s="551" t="s">
        <v>1590</v>
      </c>
      <c r="F50" s="551" t="str">
        <f t="shared" si="0"/>
        <v>RepLB_CDS1,2y3_20181203</v>
      </c>
    </row>
    <row r="51" spans="1:6" ht="25.5" x14ac:dyDescent="0.25">
      <c r="A51" s="73">
        <v>46</v>
      </c>
      <c r="B51" s="551" t="s">
        <v>1666</v>
      </c>
      <c r="C51" s="551" t="s">
        <v>497</v>
      </c>
      <c r="D51" s="551" t="s">
        <v>130</v>
      </c>
      <c r="E51" s="551" t="s">
        <v>1590</v>
      </c>
      <c r="F51" s="551" t="str">
        <f t="shared" si="0"/>
        <v>RepOLA_CDS1,2y3_20181203</v>
      </c>
    </row>
    <row r="52" spans="1:6" ht="25.5" x14ac:dyDescent="0.25">
      <c r="A52" s="73">
        <v>47</v>
      </c>
      <c r="B52" s="551" t="s">
        <v>1665</v>
      </c>
      <c r="C52" s="551" t="s">
        <v>493</v>
      </c>
      <c r="D52" s="551" t="s">
        <v>130</v>
      </c>
      <c r="E52" s="551" t="s">
        <v>1590</v>
      </c>
      <c r="F52" s="551" t="str">
        <f t="shared" si="0"/>
        <v>RepNivelesServicio_CDS1,2y3_20181203</v>
      </c>
    </row>
    <row r="53" spans="1:6" x14ac:dyDescent="0.25">
      <c r="A53" s="73">
        <v>48</v>
      </c>
      <c r="B53" s="551" t="s">
        <v>1664</v>
      </c>
      <c r="C53" s="551" t="s">
        <v>1663</v>
      </c>
      <c r="D53" s="551" t="s">
        <v>130</v>
      </c>
      <c r="E53" s="551" t="s">
        <v>374</v>
      </c>
      <c r="F53" s="551" t="str">
        <f t="shared" si="0"/>
        <v>RepReutilComp_CDS1,2y3_20181203</v>
      </c>
    </row>
  </sheetData>
  <sheetProtection algorithmName="SHA-512" hashValue="5Y0a2Br3rkIEXIHbgwGo+DzBVwhIHWDK/mzX0hS+tiA+b1rn9sBhtnBMng/jTG688NVWQtfmifrr0+Yaj9lMxQ==" saltValue="Umn20vru/VZU1zHEy9yUdA==" spinCount="100000" sheet="1" objects="1" scenarios="1"/>
  <sortState ref="A6:G36">
    <sortCondition ref="B6:B36"/>
  </sortState>
  <customSheetViews>
    <customSheetView guid="{885128CB-C7E7-4F99-B059-3D33F9918444}" showPageBreaks="1" printArea="1" view="pageLayout">
      <selection activeCell="A11" sqref="A11"/>
      <pageMargins left="0.7" right="0.7" top="1.8229166666666667" bottom="0.75" header="0.3" footer="0.3"/>
      <pageSetup scale="99" orientation="landscape" r:id="rId1"/>
      <headerFooter>
        <oddHeader>&amp;L&amp;G
&amp;9Fecha 02/07/2012&amp;CADMINISTRACIÓN GENERAL DE COMUNICACIONES Y TECNOLOGÍAS DE 
LA INFORMACIÓN
&amp;10
&amp;9&amp;F&amp;11
&amp;"-,Bold"Entregables Contractuales&amp;R&amp;G
&amp;9Versión: 1.0</oddHeader>
      </headerFooter>
    </customSheetView>
    <customSheetView guid="{41B348E9-DE08-4F64-948D-855D8EF9DC1D}" scale="90" showGridLines="0" topLeftCell="A43">
      <selection activeCell="L19" sqref="L19"/>
      <pageMargins left="0.70866141732283472" right="0.70866141732283472" top="1.8110236220472442" bottom="0.74803149606299213" header="0.31496062992125984" footer="0.31496062992125984"/>
      <pageSetup scale="99" orientation="landscape" r:id="rId2"/>
      <headerFooter>
        <oddHeader>&amp;L&amp;G
&amp;9Fecha 06/05/2013&amp;CADMINISTRACIÓN GENERAL DE COMUNICACIONES Y TECNOLOGÍAS DE 
LA INFORMACIÓN
&amp;F
&amp;"-,Bold"&amp;A&amp;R&amp;G
&amp;9Versión: 3.1</oddHeader>
      </headerFooter>
    </customSheetView>
  </customSheetViews>
  <pageMargins left="0.70866141732283472" right="0.70866141732283472" top="1.8110236220472442" bottom="0.74803149606299213" header="0.31496062992125984" footer="0.31496062992125984"/>
  <pageSetup scale="99" orientation="landscape" r:id="rId3"/>
  <headerFooter>
    <oddHeader>&amp;L&amp;G
&amp;9Fecha 06/05/2013&amp;CADMINISTRACIÓN GENERAL DE COMUNICACIONES Y TECNOLOGÍAS DE 
LA INFORMACIÓN
&amp;F
&amp;"-,Bold"&amp;A&amp;R&amp;G
&amp;9Versión: 3.1</oddHeader>
  </headerFooter>
  <legacyDrawingHF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filterMode="1">
    <tabColor rgb="FF4F81BD"/>
  </sheetPr>
  <dimension ref="A1:V129"/>
  <sheetViews>
    <sheetView showGridLines="0" zoomScale="115" zoomScaleNormal="115" zoomScaleSheetLayoutView="90" zoomScalePageLayoutView="80" workbookViewId="0">
      <selection activeCell="D10" sqref="D10:D86"/>
    </sheetView>
  </sheetViews>
  <sheetFormatPr baseColWidth="10" defaultColWidth="9.140625" defaultRowHeight="12.75" x14ac:dyDescent="0.2"/>
  <cols>
    <col min="1" max="1" width="42.7109375" style="50" customWidth="1"/>
    <col min="2" max="2" width="21.140625" style="50" customWidth="1"/>
    <col min="3" max="3" width="32.140625" style="50" customWidth="1"/>
    <col min="4" max="4" width="12.28515625" style="51" customWidth="1"/>
    <col min="5" max="5" width="41.7109375" style="51" customWidth="1"/>
    <col min="6" max="6" width="62.28515625" style="51" customWidth="1"/>
    <col min="7" max="7" width="18" style="51" customWidth="1"/>
    <col min="8" max="8" width="102.140625" style="51" customWidth="1"/>
    <col min="9" max="9" width="17.5703125" style="50" hidden="1" customWidth="1"/>
    <col min="10" max="10" width="16.7109375" style="140" hidden="1" customWidth="1"/>
    <col min="11" max="11" width="15.5703125" style="140" hidden="1" customWidth="1"/>
    <col min="12" max="17" width="21.28515625" style="50" hidden="1" customWidth="1"/>
    <col min="18" max="18" width="39" style="35" hidden="1" customWidth="1"/>
    <col min="19" max="19" width="10.140625" style="35" customWidth="1"/>
    <col min="20" max="20" width="37.85546875" style="35" customWidth="1"/>
    <col min="21" max="21" width="41.42578125" style="35" customWidth="1"/>
    <col min="22" max="22" width="34.140625" style="64" customWidth="1"/>
    <col min="23" max="23" width="9.140625" style="35"/>
    <col min="24" max="24" width="43" style="35" customWidth="1"/>
    <col min="25" max="16384" width="9.140625" style="35"/>
  </cols>
  <sheetData>
    <row r="1" spans="1:22" ht="13.5" customHeight="1" x14ac:dyDescent="0.2">
      <c r="A1" s="194"/>
      <c r="R1" s="52"/>
    </row>
    <row r="2" spans="1:22" ht="13.5" hidden="1" customHeight="1" thickBot="1" x14ac:dyDescent="0.25">
      <c r="A2" s="53"/>
    </row>
    <row r="3" spans="1:22" ht="15" hidden="1" customHeight="1" thickBot="1" x14ac:dyDescent="0.25">
      <c r="A3" s="609" t="s">
        <v>258</v>
      </c>
      <c r="B3" s="46" t="s">
        <v>110</v>
      </c>
      <c r="C3" s="69" t="s">
        <v>123</v>
      </c>
      <c r="D3" s="612" t="s">
        <v>500</v>
      </c>
      <c r="E3" s="612"/>
      <c r="F3" s="197" t="s">
        <v>99</v>
      </c>
      <c r="G3" s="69" t="s">
        <v>502</v>
      </c>
      <c r="H3" s="135" t="s">
        <v>508</v>
      </c>
      <c r="I3" s="310" t="s">
        <v>197</v>
      </c>
      <c r="J3" s="310" t="s">
        <v>492</v>
      </c>
      <c r="K3" s="319" t="s">
        <v>1198</v>
      </c>
      <c r="L3" s="410"/>
      <c r="M3" s="410"/>
      <c r="N3" s="130"/>
      <c r="O3" s="130"/>
      <c r="P3" s="130"/>
      <c r="Q3" s="130"/>
      <c r="R3" s="34"/>
    </row>
    <row r="4" spans="1:22" s="30" customFormat="1" ht="18.75" hidden="1" customHeight="1" thickBot="1" x14ac:dyDescent="0.25">
      <c r="A4" s="609"/>
      <c r="B4" s="70" t="str">
        <f>IF(OR(K6="0", K6="1",K6="2",K6="3",K6="4",K6="5", K6="6", K6="7", K6="8", K6="9" ), MID(K5,1,4), MID(K5,1,3))</f>
        <v>382</v>
      </c>
      <c r="C4" s="54" t="str">
        <f>'Hoja Captura'!C3</f>
        <v>El Consorcio - CDS</v>
      </c>
      <c r="D4" s="610" t="str">
        <f>IF(C4&gt;0,VLOOKUP(C4,Catalogos!I3:J5,2,0))</f>
        <v>CON</v>
      </c>
      <c r="E4" s="610"/>
      <c r="F4" s="49" t="str">
        <f>'Hoja Captura'!C5</f>
        <v>_28_Declaraciones_y_Pagos_Informativas_y_Pagos_Provisionales</v>
      </c>
      <c r="G4" s="54" t="str">
        <f>IF(F4&gt;0,LOOKUP(F4,Catalogos!G4:G34,Catalogos!E4:E34),"")</f>
        <v>DYP_PP</v>
      </c>
      <c r="H4" s="136" t="s">
        <v>1761</v>
      </c>
      <c r="I4" s="309">
        <f>_xlfn.NUMBERVALUE(TRIM('Hoja Captura'!C10))</f>
        <v>0</v>
      </c>
      <c r="J4" s="309">
        <f>'Hoja Captura'!C12</f>
        <v>20181203</v>
      </c>
      <c r="K4" s="318" t="str">
        <f>'Hoja Captura'!C6</f>
        <v>382-DEC_IDE-Declaración Informativa Mensual y Anual del Impuesto a los Depósitos en Efectivo</v>
      </c>
      <c r="L4" s="411">
        <f>FIND("-",K4)</f>
        <v>4</v>
      </c>
      <c r="M4" s="411">
        <f>L4+1</f>
        <v>5</v>
      </c>
      <c r="N4" s="132"/>
      <c r="O4" s="132"/>
      <c r="P4" s="132"/>
      <c r="Q4" s="132"/>
      <c r="R4" s="34"/>
      <c r="V4" s="51"/>
    </row>
    <row r="5" spans="1:22" s="30" customFormat="1" ht="14.25" hidden="1" customHeight="1" thickBot="1" x14ac:dyDescent="0.25">
      <c r="A5" s="609"/>
      <c r="B5" s="46" t="s">
        <v>195</v>
      </c>
      <c r="C5" s="69" t="s">
        <v>313</v>
      </c>
      <c r="D5" s="611" t="s">
        <v>314</v>
      </c>
      <c r="E5" s="611"/>
      <c r="F5" s="198" t="s">
        <v>501</v>
      </c>
      <c r="G5" s="46" t="s">
        <v>486</v>
      </c>
      <c r="H5" s="137" t="s">
        <v>509</v>
      </c>
      <c r="I5" s="310" t="s">
        <v>316</v>
      </c>
      <c r="J5" s="314" t="s">
        <v>1196</v>
      </c>
      <c r="K5" s="318" t="str">
        <f>MID(K4,1,4)</f>
        <v>382-</v>
      </c>
      <c r="L5" s="411" t="str">
        <f>MID(K4,M4,5)</f>
        <v>DEC_I</v>
      </c>
      <c r="M5" s="411"/>
      <c r="N5" s="132"/>
      <c r="O5" s="132"/>
      <c r="P5" s="132"/>
      <c r="Q5" s="132"/>
      <c r="R5" s="34"/>
      <c r="V5" s="51"/>
    </row>
    <row r="6" spans="1:22" ht="15.75" hidden="1" customHeight="1" thickBot="1" x14ac:dyDescent="0.25">
      <c r="A6" s="609"/>
      <c r="B6" s="70">
        <f>'Hoja Captura'!C8</f>
        <v>363</v>
      </c>
      <c r="C6" s="70" t="str">
        <f>IF(C4&gt;0,VLOOKUP(C4,Catalogos!I3:K5,3,0))</f>
        <v>SYE_PLAN</v>
      </c>
      <c r="D6" s="610" t="str">
        <f>'Hoja Captura'!C7</f>
        <v>P</v>
      </c>
      <c r="E6" s="610"/>
      <c r="F6" s="49" t="str">
        <f>MID(J6,2,2)</f>
        <v>28</v>
      </c>
      <c r="G6" s="138">
        <f>'Hoja Captura'!C9</f>
        <v>302</v>
      </c>
      <c r="H6" s="136" t="s">
        <v>510</v>
      </c>
      <c r="I6" s="309" t="str">
        <f>'Hoja Captura'!C11</f>
        <v>IDEWEB</v>
      </c>
      <c r="J6" s="313" t="str">
        <f>IF(F4&gt;0,LOOKUP(F4,Catalogos!G4:G34,Catalogos!C4:C34),"")</f>
        <v>_28</v>
      </c>
      <c r="K6" s="318" t="str">
        <f>MID(K5,4,1)</f>
        <v>-</v>
      </c>
      <c r="L6" s="124"/>
      <c r="M6" s="124"/>
      <c r="N6" s="124"/>
      <c r="O6" s="124"/>
      <c r="P6" s="124"/>
      <c r="Q6" s="124"/>
      <c r="R6" s="34"/>
    </row>
    <row r="7" spans="1:22" ht="28.5" hidden="1" customHeight="1" thickBot="1" x14ac:dyDescent="0.25">
      <c r="A7" s="609"/>
      <c r="B7" s="46" t="s">
        <v>106</v>
      </c>
      <c r="C7" s="613" t="s">
        <v>1762</v>
      </c>
      <c r="D7" s="614"/>
      <c r="E7" s="614"/>
      <c r="F7" s="614"/>
      <c r="G7" s="614"/>
      <c r="H7" s="615"/>
      <c r="I7" s="134"/>
      <c r="J7" s="141"/>
      <c r="K7" s="141"/>
      <c r="L7" s="134"/>
      <c r="M7" s="134"/>
      <c r="N7" s="134"/>
      <c r="O7" s="134"/>
      <c r="P7" s="134"/>
      <c r="Q7" s="134"/>
      <c r="R7" s="55"/>
    </row>
    <row r="8" spans="1:22" s="129" customFormat="1" ht="28.5" hidden="1" customHeight="1" x14ac:dyDescent="0.2">
      <c r="A8" s="322"/>
      <c r="B8" s="321"/>
      <c r="C8" s="323"/>
      <c r="D8" s="131"/>
      <c r="E8" s="131"/>
      <c r="F8" s="125"/>
      <c r="G8" s="124"/>
      <c r="H8" s="131"/>
      <c r="I8" s="132"/>
      <c r="J8" s="141"/>
      <c r="K8" s="141"/>
      <c r="L8" s="132"/>
      <c r="M8" s="132"/>
      <c r="N8" s="132"/>
      <c r="O8" s="132"/>
      <c r="P8" s="132"/>
      <c r="Q8" s="132"/>
      <c r="R8" s="133"/>
      <c r="V8" s="127"/>
    </row>
    <row r="9" spans="1:22" s="129" customFormat="1" x14ac:dyDescent="0.2">
      <c r="A9" s="124"/>
      <c r="B9" s="124"/>
      <c r="C9" s="320"/>
      <c r="D9" s="306"/>
      <c r="E9" s="306"/>
      <c r="F9" s="306"/>
      <c r="G9" s="306"/>
      <c r="H9" s="306"/>
      <c r="I9" s="126"/>
      <c r="J9" s="141"/>
      <c r="K9" s="141"/>
      <c r="L9" s="126"/>
      <c r="M9" s="126"/>
      <c r="N9" s="126"/>
      <c r="O9" s="126"/>
      <c r="P9" s="126"/>
      <c r="Q9" s="126"/>
      <c r="R9" s="128"/>
      <c r="V9" s="127"/>
    </row>
    <row r="10" spans="1:22" s="64" customFormat="1" ht="38.25" customHeight="1" x14ac:dyDescent="0.25">
      <c r="A10" s="59" t="s">
        <v>404</v>
      </c>
      <c r="B10" s="60" t="s">
        <v>235</v>
      </c>
      <c r="C10" s="60" t="s">
        <v>2</v>
      </c>
      <c r="D10" s="61" t="s">
        <v>1696</v>
      </c>
      <c r="E10" s="74" t="s">
        <v>290</v>
      </c>
      <c r="F10" s="74" t="str">
        <f>UPPER("Comentarios")</f>
        <v>COMENTARIOS</v>
      </c>
      <c r="G10" s="74" t="str">
        <f>UPPER("Longitud Nomenclatura")</f>
        <v>LONGITUD NOMENCLATURA</v>
      </c>
      <c r="H10" s="74" t="s">
        <v>529</v>
      </c>
      <c r="I10" s="74" t="str">
        <f>UPPER("Longitud
Ruta")</f>
        <v>LONGITUD
RUTA</v>
      </c>
      <c r="J10" s="142" t="s">
        <v>530</v>
      </c>
      <c r="K10" s="142" t="s">
        <v>531</v>
      </c>
      <c r="L10" s="139" t="s">
        <v>532</v>
      </c>
      <c r="M10" s="139" t="s">
        <v>559</v>
      </c>
      <c r="N10" s="139" t="s">
        <v>533</v>
      </c>
      <c r="O10" s="139" t="s">
        <v>560</v>
      </c>
      <c r="P10" s="139" t="s">
        <v>492</v>
      </c>
      <c r="Q10" s="139" t="s">
        <v>1199</v>
      </c>
      <c r="R10" s="60" t="s">
        <v>534</v>
      </c>
    </row>
    <row r="11" spans="1:22" s="45" customFormat="1" ht="38.25" customHeight="1" x14ac:dyDescent="0.25">
      <c r="A11" s="492" t="s">
        <v>1752</v>
      </c>
      <c r="B11" s="71" t="s">
        <v>1753</v>
      </c>
      <c r="C11" s="47" t="s">
        <v>216</v>
      </c>
      <c r="D11" s="72">
        <v>3</v>
      </c>
      <c r="E11" s="492" t="str">
        <f>IF(AND($C$4="CAM",L11=1,M11=0,N11=0,P11=0),CONCATENATE($F$6,"_",B11,"_",$D$4,"_",$D$6,$B$6),IF(AND(L11=1,$C$4="CAM",M11=1,N11&lt;&gt;1,P11&lt;&gt;1),CONCATENATE($F$6,"_",B11,"_",$D$4,"_",$D$6,$B$6,"_E",$G$6),IF(AND(L11=1,$C$4="CAM",N11=1,M11&lt;&gt;1,P11&lt;&gt;1),CONCATENATE($F$6,"_",B11,"_",$D$4,"_",$D$6,$B$6,"_C",$I$4),IF(AND($C$4="CAM",L11=1,M11=0,N11=0,P11=1),CONCATENATE($F$6,"_",B11,"_",$D$4,"_",$D$6,$B$6,"_",$J$4),IF(AND(L11=0,$C$4="CAM",O11=0),CONCATENATE($F$6,"_",B11),IF(AND(L11=0,$C$4="CAM",O11=1,Q11=1),CONCATENATE($F$6,"_",B11,"_",$I$6),IF(AND(L11=0,$C$4="CAM",O11=1,Q11=0),CONCATENATE($F$6,"_",B11),IF(AND(L11=1,$C$4&lt;&gt;"CAM",M11&lt;&gt;1,N11&lt;&gt;1,P11&lt;&gt;1),CONCATENATE($F$6,"_",$B$4,"_",B11,"_",$D$4,"_",$D$6,$B$6),IF(AND(L11=1,$C$4&lt;&gt;"CAM",M11=1,N11&lt;&gt;1,P11&lt;&gt;1),CONCATENATE($F$6,"_",$B$4,"_",B11,"_",$D$4,"_",$D$6,$B$6,"_E",$G$6),IF(AND(L11=1,$C$4&lt;&gt;"CAM",N11=1,M11&lt;&gt;1,P11&lt;&gt;1),CONCATENATE($F$6,"_",$B$4,"_",B11,"_",$D$4,"_",$D$6,$B$6,"_C",$I$4),IF(AND($C$4&lt;&gt;"CAM",L11=1,M11=0,N11=0,P11=1),CONCATENATE($F$6,"_",$B$4,"_",B11,"_",$D$4,"_",$D$6,$B$6,"_",$J$4),IF(AND(L11=0,$C$4&lt;&gt;"CAM",O11=0),CONCATENATE($F$6,"_",$B$4,"_",B11),IF(AND(L11=0,$C$4&lt;&gt;"CAM",O11=1,Q11=1),CONCATENATE($F$6,"_",$B$4,"_",B11,"_",$I$6),IF(AND(L11=0,$C$4&lt;&gt;"CAM",O11=1,Q11=0),CONCATENATE($F$6,"_",$B$4,"_",B11),CONCATENATE("Sin nomenclatura")))))))))))))))</f>
        <v>28_382_ABC_CON_P363</v>
      </c>
      <c r="F11" s="220" t="s">
        <v>1213</v>
      </c>
      <c r="G11" s="71">
        <f>LEN(E11)</f>
        <v>19</v>
      </c>
      <c r="H11" s="492" t="str">
        <f t="shared" ref="H11:H32" si="0">IF(K11=$H$4,CONCATENATE("…/",K11,"/",$G$4,"/",$H$6,"/..."),CONCATENATE("…/",K11,"/",$G$4,"/",$H$6,"/",$B$6,,"/..."))</f>
        <v>…/PROYECTOS/DYP_PP/Acrónimo de la Aplicación/363/...</v>
      </c>
      <c r="I11" s="71">
        <f>LEN(H11)</f>
        <v>52</v>
      </c>
      <c r="J11" s="71" t="s">
        <v>504</v>
      </c>
      <c r="K11" s="71" t="str">
        <f>VLOOKUP(J11,Catalogos!$Q$4:$R$15,2,0)</f>
        <v>PROYECTOS</v>
      </c>
      <c r="L11" s="312">
        <v>1</v>
      </c>
      <c r="M11" s="312">
        <v>0</v>
      </c>
      <c r="N11" s="312">
        <v>0</v>
      </c>
      <c r="O11" s="312">
        <v>0</v>
      </c>
      <c r="P11" s="312">
        <v>0</v>
      </c>
      <c r="Q11" s="312">
        <f t="shared" ref="Q11:Q85" si="1">IF($I$6=0, 0,1)</f>
        <v>1</v>
      </c>
      <c r="R11" s="13"/>
    </row>
    <row r="12" spans="1:22" s="45" customFormat="1" x14ac:dyDescent="0.25">
      <c r="A12" s="492" t="s">
        <v>467</v>
      </c>
      <c r="B12" s="71" t="s">
        <v>3</v>
      </c>
      <c r="C12" s="47" t="s">
        <v>4</v>
      </c>
      <c r="D12" s="72">
        <v>3</v>
      </c>
      <c r="E12" s="47" t="str">
        <f>IF(AND($C$4="CAM",L12=1,M12=0,N12=0,P12=0),CONCATENATE($F$6,"_",B12,"_",$D$4,"_",$D$6,$B$6),IF(AND(L12=1,$C$4="CAM",M12=1,N12&lt;&gt;1,P12&lt;&gt;1),CONCATENATE($F$6,"_",B12,"_",$D$4,"_",$D$6,$B$6,"_E",$G$6),IF(AND(L12=1,$C$4="CAM",N12=1,M12&lt;&gt;1,P12&lt;&gt;1),CONCATENATE($F$6,"_",B12,"_",$D$4,"_",$D$6,$B$6,"_C",$I$4),IF(AND($C$4="CAM",L12=1,M12=0,N12=0,P12=1),CONCATENATE($F$6,"_",B12,"_",$D$4,"_",$D$6,$B$6,"_",$J$4),IF(AND(L12=0,$C$4="CAM",O12=0),CONCATENATE($F$6,"_",B12),IF(AND(L12=0,$C$4="CAM",O12=1,Q12=1),CONCATENATE($F$6,"_",B12,"_",$I$6),IF(AND(L12=0,$C$4="CAM",O12=1,Q12=0),CONCATENATE($F$6,"_",B12),IF(AND(L12=1,$C$4&lt;&gt;"CAM",M12&lt;&gt;1,N12&lt;&gt;1,P12&lt;&gt;1),CONCATENATE($F$6,"_",$B$4,"_",B12,"_",$D$4,"_",$D$6,$B$6),IF(AND(L12=1,$C$4&lt;&gt;"CAM",M12=1,N12&lt;&gt;1,P12&lt;&gt;1),CONCATENATE($F$6,"_",$B$4,"_",B12,"_",$D$4,"_",$D$6,$B$6,"_E",$G$6),IF(AND(L12=1,$C$4&lt;&gt;"CAM",N12=1,M12&lt;&gt;1,P12&lt;&gt;1),CONCATENATE($F$6,"_",$B$4,"_",B12,"_",$D$4,"_",$D$6,$B$6,"_C",$I$4),IF(AND($C$4&lt;&gt;"CAM",L12=1,M12=0,N12=0,P12=1),CONCATENATE($F$6,"_",$B$4,"_",B12,"_",$D$4,"_",$D$6,$B$6,"_",$J$4),IF(AND(L12=0,$C$4&lt;&gt;"CAM",O12=0),CONCATENATE($F$6,"_",$B$4,"_",B12),IF(AND(L12=0,$C$4&lt;&gt;"CAM",O12=1,Q12=1),CONCATENATE($F$6,"_",$B$4,"_",B12,"_",$I$6),IF(AND(L12=0,$C$4&lt;&gt;"CAM",O12=1,Q12=0),CONCATENATE($F$6,"_",$B$4,"_",B12),CONCATENATE("Sin nomenclatura")))))))))))))))</f>
        <v>28_382_ANSL_CON_P363</v>
      </c>
      <c r="F12" s="492" t="s">
        <v>1802</v>
      </c>
      <c r="G12" s="71">
        <f t="shared" ref="G12:G37" si="2">LEN(E12)</f>
        <v>20</v>
      </c>
      <c r="H12" s="492" t="str">
        <f t="shared" si="0"/>
        <v>…/PROYECTOS/DYP_PP/Acrónimo de la Aplicación/363/...</v>
      </c>
      <c r="I12" s="71">
        <f t="shared" ref="I12:I37" si="3">LEN(H12)</f>
        <v>52</v>
      </c>
      <c r="J12" s="71" t="s">
        <v>1599</v>
      </c>
      <c r="K12" s="71" t="str">
        <f>VLOOKUP(J12,Catalogos!$Q$4:$R$15,2,0)</f>
        <v>PROYECTOS</v>
      </c>
      <c r="L12" s="312">
        <v>1</v>
      </c>
      <c r="M12" s="312">
        <v>0</v>
      </c>
      <c r="N12" s="312">
        <v>0</v>
      </c>
      <c r="O12" s="312">
        <v>0</v>
      </c>
      <c r="P12" s="312">
        <v>0</v>
      </c>
      <c r="Q12" s="312">
        <f>IF($I$6=0, 0,1)</f>
        <v>1</v>
      </c>
      <c r="R12" s="13" t="s">
        <v>442</v>
      </c>
    </row>
    <row r="13" spans="1:22" s="45" customFormat="1" ht="25.5" x14ac:dyDescent="0.25">
      <c r="A13" s="492" t="s">
        <v>7</v>
      </c>
      <c r="B13" s="71" t="s">
        <v>8</v>
      </c>
      <c r="C13" s="47" t="s">
        <v>9</v>
      </c>
      <c r="D13" s="72">
        <v>3</v>
      </c>
      <c r="E13" s="492" t="str">
        <f>IF(AND($C$4="CAM",L13=1,M13=0,N13=0,P13=0),CONCATENATE($F$6,"_",B13,"_",$D$4,"_",$D$6,$B$6),IF(AND(L13=1,$C$4="CAM",M13=1,N13&lt;&gt;1,P13&lt;&gt;1),CONCATENATE($F$6,"_",B13,"_",$D$4,"_",$D$6,$B$6,"_E",$G$6),IF(AND(L13=1,$C$4="CAM",N13=1,M13&lt;&gt;1,P13&lt;&gt;1),CONCATENATE($F$6,"_",B13,"_",$D$4,"_",$D$6,$B$6,"_C",$I$4),IF(AND($C$4="CAM",L13=1,M13=0,N13=0,P13=1),CONCATENATE($F$6,"_",B13,"_",$D$4,"_",$D$6,$B$6,"_",$J$4),IF(AND(L13=0,$C$4="CAM",O13=0),CONCATENATE($F$6,"_",B13),IF(AND(L13=0,$C$4="CAM",O13=1,Q13=1),CONCATENATE($F$6,"_",B13,"_",$I$6),IF(AND(L13=0,$C$4="CAM",O13=1,Q13=0),CONCATENATE($F$6,"_",B13),IF(AND(L13=1,$C$4&lt;&gt;"CAM",M13&lt;&gt;1,N13&lt;&gt;1,P13&lt;&gt;1),CONCATENATE($F$6,"_",$B$4,"_",B13,"_",$D$4,"_",$D$6,$B$6),IF(AND(L13=1,$C$4&lt;&gt;"CAM",M13=1,N13&lt;&gt;1,P13&lt;&gt;1),CONCATENATE($F$6,"_",$B$4,"_",B13,"_",$D$4,"_",$D$6,$B$6,"_E",$G$6),IF(AND(L13=1,$C$4&lt;&gt;"CAM",N13=1,M13&lt;&gt;1,P13&lt;&gt;1),CONCATENATE($F$6,"_",$B$4,"_",B13,"_",$D$4,"_",$D$6,$B$6,"_C",$I$4),IF(AND($C$4&lt;&gt;"CAM",L13=1,M13=0,N13=0,P13=1),CONCATENATE($F$6,"_",$B$4,"_",B13,"_",$D$4,"_",$D$6,$B$6,"_",$J$4),IF(AND(L13=0,$C$4&lt;&gt;"CAM",O13=0),CONCATENATE($F$6,"_",$B$4,"_",B13),IF(AND(L13=0,$C$4&lt;&gt;"CAM",O13=1,Q13=1),CONCATENATE($F$6,"_",$B$4,"_",B13,"_",$I$6),IF(AND(L13=0,$C$4&lt;&gt;"CAM",O13=1,Q13=0),CONCATENATE($F$6,"_",$B$4,"_",B13),CONCATENATE("Sin nomenclatura")))))))))))))))</f>
        <v>28_382_CAES_CON_P363</v>
      </c>
      <c r="F13" s="47"/>
      <c r="G13" s="71">
        <f t="shared" si="2"/>
        <v>20</v>
      </c>
      <c r="H13" s="492" t="str">
        <f t="shared" si="0"/>
        <v>…/PROYECTOS/DYP_PP/Acrónimo de la Aplicación/363/...</v>
      </c>
      <c r="I13" s="71">
        <f t="shared" si="3"/>
        <v>52</v>
      </c>
      <c r="J13" s="71" t="s">
        <v>504</v>
      </c>
      <c r="K13" s="71" t="str">
        <f>VLOOKUP(J13,Catalogos!$Q$4:$R$15,2,0)</f>
        <v>PROYECTOS</v>
      </c>
      <c r="L13" s="312">
        <v>1</v>
      </c>
      <c r="M13" s="312">
        <v>0</v>
      </c>
      <c r="N13" s="312">
        <v>0</v>
      </c>
      <c r="O13" s="312">
        <v>0</v>
      </c>
      <c r="P13" s="312">
        <v>0</v>
      </c>
      <c r="Q13" s="312">
        <f t="shared" si="1"/>
        <v>1</v>
      </c>
      <c r="R13" s="13" t="s">
        <v>421</v>
      </c>
    </row>
    <row r="14" spans="1:22" s="45" customFormat="1" x14ac:dyDescent="0.25">
      <c r="A14" s="492" t="s">
        <v>10</v>
      </c>
      <c r="B14" s="71" t="s">
        <v>238</v>
      </c>
      <c r="C14" s="47" t="s">
        <v>11</v>
      </c>
      <c r="D14" s="72">
        <v>3</v>
      </c>
      <c r="E14" s="492" t="str">
        <f>IF(AND($C$4="CAM",L14=1,M14=0,N14=0,P14=0),CONCATENATE($F$6,"_",B14,"_",$D$4,"_",$D$6,$B$6),IF(AND(L14=1,$C$4="CAM",M14=1,P14&lt;&gt;1),(IF(($I$4)&gt;0,CONCATENATE($F$6,"_",$B$4,"_",B14,"_",$D$4,"_",$D$6,$B$6,"_C",$I$4,"_E",$G$6),CONCATENATE($F$6,"_",$B$4,"_",B14,"_",$D$4,"_",$D$6,$B$6,"_E",$G$6))),IF(AND(L14=1,$C$4="CAM",N14=1,M14&lt;&gt;1,P14&lt;&gt;1),CONCATENATE($F$6,"_",B14,"_",$D$4,"_",$D$6,$B$6,"_C",$I$4),IF(AND($C$4="CAM",L14=1,M14=0,N14=0,P14=1),CONCATENATE($F$6,"_",B14,"_",$D$4,"_",$D$6,$B$6,"_",$J$4),IF(AND(L14=0,$C$4="CAM",O14=0),CONCATENATE($F$6,"_",B14),IF(AND(L14=0,$C$4="CAM",O14=1,Q14=1),CONCATENATE($F$6,"_",B14,"_",$I$6),IF(AND(L14=0,$C$4="CAM",O14=1,Q14=0),CONCATENATE($F$6,"_",B14),IF(AND(L14=1,$C$4&lt;&gt;"CAM",N14&lt;&gt;1,P14&lt;&gt;1),CONCATENATE($F$6,"_",$B$4,"_",B14,"_",$D$4,"_",$D$6,$B$6,"_C",$I$4,"_E",$G$6),IF(AND(L14=1,$C$4&lt;&gt;"CAM",M14=1,N14&lt;&gt;1,P14&lt;&gt;1),CONCATENATE($F$6,"_",$B$4,"_",B14,"_",$D$4,"_",$D$6,$B$6,"_E",$G$6),IF(AND(L14=1,$C$4&lt;&gt;"CAM",N14=1,P14&lt;&gt;1),(IF(($I$4)&gt;0,CONCATENATE($F$6,"_",$B$4,"_",B14,"_",$D$4,"_",$D$6,$B$6,"_C",$I$4,"_E",$G$6),CONCATENATE($F$6,"_",$B$4,"_",B14,"_",$D$4,"_",$D$6,$B$6,"_E",$G$6))),IF(AND($C$4&lt;&gt;"CAM",L14=1,M14=0,N14=0,P14=1),CONCATENATE($F$6,"_",$B$4,"_",B14,"_",$D$4,"_",$D$6,$B$6,"_",$J$4),IF(AND(L14=0,$C$4&lt;&gt;"CAM",O14=0),CONCATENATE($F$6,"_",$B$4,"_",B14),IF(AND(L14=0,$C$4&lt;&gt;"CAM",O14=1,Q14=1),CONCATENATE($F$6,"_",$B$4,"_",B14,"_",$I$6),IF(AND(L14=0,$C$4&lt;&gt;"CAM",O14=1,Q14=0),CONCATENATE($F$6,"_",$B$4,"_",B14),CONCATENATE("Sin nomenclatura")))))))))))))))</f>
        <v>28_382_CAPA_CON_P363_E302</v>
      </c>
      <c r="F14" s="47"/>
      <c r="G14" s="71">
        <f t="shared" si="2"/>
        <v>25</v>
      </c>
      <c r="H14" s="492" t="str">
        <f t="shared" si="0"/>
        <v>…/PROYECTOS/DYP_PP/Acrónimo de la Aplicación/363/...</v>
      </c>
      <c r="I14" s="71">
        <f t="shared" si="3"/>
        <v>52</v>
      </c>
      <c r="J14" s="71" t="s">
        <v>504</v>
      </c>
      <c r="K14" s="71" t="str">
        <f>VLOOKUP(J14,Catalogos!$Q$4:$R$15,2,0)</f>
        <v>PROYECTOS</v>
      </c>
      <c r="L14" s="312">
        <v>1</v>
      </c>
      <c r="M14" s="312">
        <v>1</v>
      </c>
      <c r="N14" s="312">
        <v>1</v>
      </c>
      <c r="O14" s="312">
        <v>0</v>
      </c>
      <c r="P14" s="312">
        <v>0</v>
      </c>
      <c r="Q14" s="312">
        <f t="shared" si="1"/>
        <v>1</v>
      </c>
      <c r="R14" s="13" t="s">
        <v>421</v>
      </c>
    </row>
    <row r="15" spans="1:22" s="45" customFormat="1" ht="25.5" x14ac:dyDescent="0.25">
      <c r="A15" s="492" t="s">
        <v>468</v>
      </c>
      <c r="B15" s="71" t="s">
        <v>5</v>
      </c>
      <c r="C15" s="47" t="s">
        <v>6</v>
      </c>
      <c r="D15" s="72">
        <v>3</v>
      </c>
      <c r="E15" s="492" t="str">
        <f>IF(AND($C$4="CAM",L15=1,M15=0,N15=0,P15=0),CONCATENATE($F$6,"_",B15,"_",$D$4,"_",$D$6,$B$6),IF(AND(L15=1,$C$4="CAM",M15=1,N15&lt;&gt;1,P15&lt;&gt;1),CONCATENATE($F$6,"_",B15,"_",$D$4,"_",$D$6,$B$6,"_E",$G$6),IF(AND(L15=1,$C$4="CAM",N15=1,M15&lt;&gt;1,P15&lt;&gt;1),CONCATENATE($F$6,"_",B15,"_",$D$4,"_",$D$6,$B$6,"_C",$I$4),IF(AND($C$4="CAM",L15=1,M15=0,N15=0,P15=1),CONCATENATE($F$6,"_",B15,"_",$D$4,"_",$D$6,$B$6,"_",$J$4),IF(AND(L15=0,$C$4="CAM",O15=0),CONCATENATE($F$6,"_",B15),IF(AND(L15=0,$C$4="CAM",O15=1,Q15=1),CONCATENATE($F$6,"_",B15,"_",$I$6),IF(AND(L15=0,$C$4="CAM",O15=1,Q15=0),CONCATENATE($F$6,"_",B15),IF(AND(L15=1,$C$4&lt;&gt;"CAM",M15&lt;&gt;1,N15&lt;&gt;1,P15&lt;&gt;1),CONCATENATE($F$6,"_",$B$4,"_",B15,"_",$D$4,"_",$D$6,$B$6),IF(AND(L15=1,$C$4&lt;&gt;"CAM",M15=1,N15&lt;&gt;1,P15&lt;&gt;1),CONCATENATE($F$6,"_",$B$4,"_",B15,"_",$D$4,"_",$D$6,$B$6,"_E",$G$6),IF(AND(L15=1,$C$4&lt;&gt;"CAM",N15=1,M15&lt;&gt;1,P15&lt;&gt;1),CONCATENATE($F$6,"_",$B$4,"_",B15,"_",$D$4,"_",$D$6,$B$6,"_C",$I$4),IF(AND($C$4&lt;&gt;"CAM",L15=1,M15=0,N15=0,P15=1),CONCATENATE($F$6,"_",$B$4,"_",B15,"_",$D$4,"_",$D$6,$B$6,"_",$J$4),IF(AND(L15=0,$C$4&lt;&gt;"CAM",O15=0),CONCATENATE($F$6,"_",$B$4,"_",B15),IF(AND(L15=0,$C$4&lt;&gt;"CAM",O15=1,Q15=1),CONCATENATE($F$6,"_",$B$4,"_",B15,"_",$I$6),IF(AND(L15=0,$C$4&lt;&gt;"CAM",O15=1,Q15=0),CONCATENATE($F$6,"_",$B$4,"_",B15),CONCATENATE("Sin nomenclatura")))))))))))))))</f>
        <v>28_382_CCSR_CON_P363</v>
      </c>
      <c r="F15" s="47"/>
      <c r="G15" s="71">
        <f t="shared" si="2"/>
        <v>20</v>
      </c>
      <c r="H15" s="492" t="str">
        <f t="shared" si="0"/>
        <v>…/PROYECTOS/DYP_PP/Acrónimo de la Aplicación/363/...</v>
      </c>
      <c r="I15" s="71">
        <f t="shared" si="3"/>
        <v>52</v>
      </c>
      <c r="J15" s="71" t="s">
        <v>504</v>
      </c>
      <c r="K15" s="71" t="str">
        <f>VLOOKUP(J15,Catalogos!$Q$4:$R$15,2,0)</f>
        <v>PROYECTOS</v>
      </c>
      <c r="L15" s="312">
        <v>1</v>
      </c>
      <c r="M15" s="312">
        <v>0</v>
      </c>
      <c r="N15" s="312">
        <v>0</v>
      </c>
      <c r="O15" s="312">
        <v>0</v>
      </c>
      <c r="P15" s="312">
        <v>0</v>
      </c>
      <c r="Q15" s="312">
        <f t="shared" si="1"/>
        <v>1</v>
      </c>
      <c r="R15" s="13" t="s">
        <v>470</v>
      </c>
    </row>
    <row r="16" spans="1:22" s="45" customFormat="1" ht="25.5" x14ac:dyDescent="0.25">
      <c r="A16" s="562" t="s">
        <v>1232</v>
      </c>
      <c r="B16" s="14" t="s">
        <v>251</v>
      </c>
      <c r="C16" s="47" t="s">
        <v>544</v>
      </c>
      <c r="D16" s="72">
        <v>3</v>
      </c>
      <c r="E16" s="492" t="str">
        <f>IF(AND($C$4="CAM",L16=1,M16=0,N16=0,P16=0),CONCATENATE($F$6,"_",B16,"_",$D$4,"_",$D$6,$B$6),IF(AND(L16=1,$C$4="CAM",M16=1,P16&lt;&gt;1),(IF(($I$4)&gt;0,CONCATENATE($F$6,"_",$B$4,"_",B16,"_",$D$4,"_",$D$6,$B$6,"_C",$I$4,"_E",$G$6),CONCATENATE($F$6,"_",$B$4,"_",B16,"_",$D$4,"_",$D$6,$B$6,"_E",$G$6))),IF(AND(L16=1,$C$4="CAM",N16=1,M16&lt;&gt;1,P16&lt;&gt;1),CONCATENATE($F$6,"_",B16,"_",$D$4,"_",$D$6,$B$6,"_C",$I$4),IF(AND($C$4="CAM",L16=1,M16=0,N16=0,P16=1),CONCATENATE($F$6,"_",B16,"_",$D$4,"_",$D$6,$B$6,"_",$J$4),IF(AND(L16=0,$C$4="CAM",O16=0),CONCATENATE($F$6,"_",B16),IF(AND(L16=0,$C$4="CAM",O16=1,Q16=1),CONCATENATE($F$6,"_",B16,"_",$I$6),IF(AND(L16=0,$C$4="CAM",O16=1,Q16=0),CONCATENATE($F$6,"_",B16),IF(AND(L16=1,$C$4&lt;&gt;"CAM",N16&lt;&gt;1,P16&lt;&gt;1),CONCATENATE($F$6,"_",$B$4,"_",B16,"_",$D$4,"_",$D$6,$B$6,"_C",$I$4,"_E",$G$6),IF(AND(L16=1,$C$4&lt;&gt;"CAM",M16=1,N16&lt;&gt;1,P16&lt;&gt;1),CONCATENATE($F$6,"_",$B$4,"_",B16,"_",$D$4,"_",$D$6,$B$6,"_E",$G$6),IF(AND(L16=1,$C$4&lt;&gt;"CAM",N16=1,P16&lt;&gt;1),(IF(($I$4)&gt;0,CONCATENATE($F$6,"_",$B$4,"_",B16,"_",$D$4,"_",$D$6,$B$6,"_C",$I$4,"_E",$G$6),CONCATENATE($F$6,"_",$B$4,"_",B16,"_",$D$4,"_",$D$6,$B$6,"_E",$G$6))),IF(AND($C$4&lt;&gt;"CAM",L16=1,M16=0,N16=0,P16=1),CONCATENATE($F$6,"_",$B$4,"_",B16,"_",$D$4,"_",$D$6,$B$6,"_",$J$4),IF(AND(L16=0,$C$4&lt;&gt;"CAM",O16=0),CONCATENATE($F$6,"_",$B$4,"_",B16),IF(AND(L16=0,$C$4&lt;&gt;"CAM",O16=1,Q16=1),CONCATENATE($F$6,"_",$B$4,"_",B16,"_",$I$6),IF(AND(L16=0,$C$4&lt;&gt;"CAM",O16=1,Q16=0),CONCATENATE($F$6,"_",$B$4,"_",B16),CONCATENATE("Sin nomenclatura")))))))))))))))</f>
        <v>28_382_EUHE_CON_P363_E302</v>
      </c>
      <c r="F16" s="199"/>
      <c r="G16" s="71">
        <f t="shared" si="2"/>
        <v>25</v>
      </c>
      <c r="H16" s="492" t="str">
        <f t="shared" si="0"/>
        <v>…/PROYECTOS/DYP_PP/Acrónimo de la Aplicación/363/...</v>
      </c>
      <c r="I16" s="71">
        <f t="shared" si="3"/>
        <v>52</v>
      </c>
      <c r="J16" s="71" t="s">
        <v>542</v>
      </c>
      <c r="K16" s="71" t="str">
        <f>VLOOKUP(J16,Catalogos!$Q$4:$R$15,2,0)</f>
        <v>PROYECTOS</v>
      </c>
      <c r="L16" s="312">
        <v>1</v>
      </c>
      <c r="M16" s="312">
        <v>1</v>
      </c>
      <c r="N16" s="312">
        <v>1</v>
      </c>
      <c r="O16" s="312">
        <v>0</v>
      </c>
      <c r="P16" s="312">
        <v>0</v>
      </c>
      <c r="Q16" s="312">
        <f t="shared" si="1"/>
        <v>1</v>
      </c>
      <c r="R16" s="13"/>
    </row>
    <row r="17" spans="1:18" s="45" customFormat="1" ht="25.5" x14ac:dyDescent="0.25">
      <c r="A17" s="492" t="s">
        <v>469</v>
      </c>
      <c r="B17" s="71" t="s">
        <v>239</v>
      </c>
      <c r="C17" s="47" t="s">
        <v>12</v>
      </c>
      <c r="D17" s="72">
        <v>3</v>
      </c>
      <c r="E17" s="492" t="str">
        <f>IF(AND($C$4="CAM",L17=1,M17=0,N17=0,P17=0),CONCATENATE($F$6,"_",B17,"_",$D$4,"_",$D$6,$B$6),IF(AND(L17=1,$C$4="CAM",M17=1,N17&lt;&gt;1,P17&lt;&gt;1),CONCATENATE($F$6,"_",B17,"_",$D$4,"_",$D$6,$B$6,"_E",$G$6),IF(AND(L17=1,$C$4="CAM",N17=1,M17&lt;&gt;1,P17&lt;&gt;1),CONCATENATE($F$6,"_",B17,"_",$D$4,"_",$D$6,$B$6,"_C",$I$4),IF(AND($C$4="CAM",L17=1,M17=0,N17=0,P17=1),CONCATENATE($F$6,"_",B17,"_",$D$4,"_",$D$6,$B$6,"_",$J$4),IF(AND(L17=0,$C$4="CAM",O17=0),CONCATENATE($F$6,"_",B17),IF(AND(L17=0,$C$4="CAM",O17=1,Q17=1),CONCATENATE($F$6,"_",B17,"_",$I$6),IF(AND(L17=0,$C$4="CAM",O17=1,Q17=0),CONCATENATE($F$6,"_",B17),IF(AND(L17=1,$C$4&lt;&gt;"CAM",M17&lt;&gt;1,N17&lt;&gt;1,P17&lt;&gt;1),CONCATENATE($F$6,"_",$B$4,"_",B17,"_",$D$4,"_",$D$6,$B$6),IF(AND(L17=1,$C$4&lt;&gt;"CAM",M17=1,N17&lt;&gt;1,P17&lt;&gt;1),CONCATENATE($F$6,"_",$B$4,"_",B17,"_",$D$4,"_",$D$6,$B$6,"_E",$G$6),IF(AND(L17=1,$C$4&lt;&gt;"CAM",N17=1,M17&lt;&gt;1,P17&lt;&gt;1),CONCATENATE($F$6,"_",$B$4,"_",B17,"_",$D$4,"_",$D$6,$B$6,"_C",$I$4),IF(AND($C$4&lt;&gt;"CAM",L17=1,M17=0,N17=0,P17=1),CONCATENATE($F$6,"_",$B$4,"_",B17,"_",$D$4,"_",$D$6,$B$6,"_",$J$4),IF(AND(L17=0,$C$4&lt;&gt;"CAM",O17=0),CONCATENATE($F$6,"_",$B$4,"_",B17),IF(AND(L17=0,$C$4&lt;&gt;"CAM",O17=1,Q17=1),CONCATENATE($F$6,"_",$B$4,"_",B17,"_",$I$6),IF(AND(L17=0,$C$4&lt;&gt;"CAM",O17=1,Q17=0),CONCATENATE($F$6,"_",$B$4,"_",B17),CONCATENATE("Sin nomenclatura")))))))))))))))</f>
        <v>28_382_MIRE_CON_P363</v>
      </c>
      <c r="F17" s="220" t="s">
        <v>1213</v>
      </c>
      <c r="G17" s="71">
        <f t="shared" si="2"/>
        <v>20</v>
      </c>
      <c r="H17" s="492" t="str">
        <f t="shared" si="0"/>
        <v>…/PROYECTOS/DYP_PP/Acrónimo de la Aplicación/363/...</v>
      </c>
      <c r="I17" s="71">
        <f t="shared" si="3"/>
        <v>52</v>
      </c>
      <c r="J17" s="71" t="s">
        <v>504</v>
      </c>
      <c r="K17" s="71" t="str">
        <f>VLOOKUP(J17,Catalogos!$Q$4:$R$15,2,0)</f>
        <v>PROYECTOS</v>
      </c>
      <c r="L17" s="312">
        <v>1</v>
      </c>
      <c r="M17" s="312">
        <v>0</v>
      </c>
      <c r="N17" s="312">
        <v>0</v>
      </c>
      <c r="O17" s="312">
        <v>0</v>
      </c>
      <c r="P17" s="312">
        <v>0</v>
      </c>
      <c r="Q17" s="312">
        <f t="shared" si="1"/>
        <v>1</v>
      </c>
      <c r="R17" s="13" t="s">
        <v>415</v>
      </c>
    </row>
    <row r="18" spans="1:18" s="45" customFormat="1" ht="25.5" x14ac:dyDescent="0.25">
      <c r="A18" s="492" t="s">
        <v>1698</v>
      </c>
      <c r="B18" s="71" t="s">
        <v>1697</v>
      </c>
      <c r="C18" s="47" t="s">
        <v>1699</v>
      </c>
      <c r="D18" s="72">
        <v>3</v>
      </c>
      <c r="E18" s="492" t="str">
        <f>IF(AND($C$4="CAM",L18=1,M18=0,N18=0,P18=0),CONCATENATE($F$6,"_",B18,"_",$D$4,"_",$D$6,$B$6),IF(AND(L18=1,$C$4="CAM",M18=1,N18&lt;&gt;1,P18&lt;&gt;1),CONCATENATE($F$6,"_",B18,"_",$D$4,"_",$D$6,$B$6,"_E",$G$6),IF(AND(L18=1,$C$4="CAM",N18=1,M18&lt;&gt;1,P18&lt;&gt;1),CONCATENATE($F$6,"_",B18,"_",$D$4,"_",$D$6,$B$6,"_C",$I$4),IF(AND($C$4="CAM",L18=1,M18=0,N18=0,P18=1),CONCATENATE($F$6,"_",B18,"_",$D$4,"_",$D$6,$B$6,"_",$J$4),IF(AND(L18=0,$C$4="CAM",O18=0),CONCATENATE($F$6,"_",B18),IF(AND(L18=0,$C$4="CAM",O18=1,Q18=1),CONCATENATE($F$6,"_",B18,"_",$I$6),IF(AND(L18=0,$C$4="CAM",O18=1,Q18=0),CONCATENATE($F$6,"_",B18),IF(AND(L18=1,$C$4&lt;&gt;"CAM",M18&lt;&gt;1,N18&lt;&gt;1,P18&lt;&gt;1),CONCATENATE($F$6,"_",$B$4,"_",B18,"_",$D$4,"_",$D$6,$B$6),IF(AND(L18=1,$C$4&lt;&gt;"CAM",M18=1,N18&lt;&gt;1,P18&lt;&gt;1),CONCATENATE($F$6,"_",$B$4,"_",B18,"_",$D$4,"_",$D$6,$B$6,"_E",$G$6),IF(AND(L18=1,$C$4&lt;&gt;"CAM",N18=1,M18&lt;&gt;1,P18&lt;&gt;1),CONCATENATE($F$6,"_",$B$4,"_",B18,"_",$D$4,"_",$D$6,$B$6,"_C",$I$4),IF(AND($C$4&lt;&gt;"CAM",L18=1,M18=0,N18=0,P18=1),CONCATENATE($F$6,"_",$B$4,"_",B18,"_",$D$4,"_",$D$6,$B$6,"_",$J$4),IF(AND(L18=0,$C$4&lt;&gt;"CAM",O18=0),CONCATENATE($F$6,"_",$B$4,"_",B18),IF(AND(L18=0,$C$4&lt;&gt;"CAM",O18=1,Q18=1),CONCATENATE($F$6,"_",$B$4,"_",B18,"_",$I$6),IF(AND(L18=0,$C$4&lt;&gt;"CAM",O18=1,Q18=0),CONCATENATE($F$6,"_",$B$4,"_",B18),CONCATENATE("Sin nomenclatura")))))))))))))))</f>
        <v>28_382_OFPU_CON_P363</v>
      </c>
      <c r="F18" s="492" t="s">
        <v>227</v>
      </c>
      <c r="G18" s="71">
        <f>LEN(E18)</f>
        <v>20</v>
      </c>
      <c r="H18" s="492"/>
      <c r="I18" s="71">
        <f>LEN(H18)</f>
        <v>0</v>
      </c>
      <c r="J18" s="71" t="s">
        <v>1599</v>
      </c>
      <c r="K18" s="71" t="str">
        <f>VLOOKUP(J18,Catalogos!$Q$4:$R$15,2,0)</f>
        <v>PROYECTOS</v>
      </c>
      <c r="L18" s="312">
        <v>1</v>
      </c>
      <c r="M18" s="312">
        <v>0</v>
      </c>
      <c r="N18" s="312">
        <v>0</v>
      </c>
      <c r="O18" s="312">
        <v>0</v>
      </c>
      <c r="P18" s="312">
        <v>0</v>
      </c>
      <c r="Q18" s="312">
        <f t="shared" si="1"/>
        <v>1</v>
      </c>
      <c r="R18" s="13" t="s">
        <v>442</v>
      </c>
    </row>
    <row r="19" spans="1:18" s="45" customFormat="1" x14ac:dyDescent="0.25">
      <c r="A19" s="492" t="s">
        <v>1786</v>
      </c>
      <c r="B19" s="71" t="s">
        <v>1787</v>
      </c>
      <c r="C19" s="492" t="s">
        <v>14</v>
      </c>
      <c r="D19" s="72">
        <v>3</v>
      </c>
      <c r="E19" s="492" t="str">
        <f>IF(AND($C$4="CAM",L19=1,M19=0,N19=0,P19=0),CONCATENATE($F$6,"_",B19,"_",$D$4,"_",$D$6,$B$6),IF(AND(L19=1,$C$4="CAM",M19=1,N19&lt;&gt;1,P19&lt;&gt;1),CONCATENATE($F$6,"_",B19,"_",$D$4,"_",$D$6,$B$6,"_E",$G$6),IF(AND(L19=1,$C$4="CAM",N19=1,M19&lt;&gt;1,P19&lt;&gt;1),CONCATENATE($F$6,"_",B19,"_",$D$4,"_",$D$6,$B$6,"_C",$I$4),IF(AND($C$4="CAM",L19=1,M19=0,N19=0,P19=1),CONCATENATE($F$6,"_",B19,"_",$D$4,"_",$D$6,$B$6,"_",$J$4),IF(AND(L19=0,$C$4="CAM",O19=0),CONCATENATE($F$6,"_",B19),IF(AND(L19=0,$C$4="CAM",O19=1,Q19=1),CONCATENATE($F$6,"_",B19,"_",$I$6),IF(AND(L19=0,$C$4="CAM",O19=1,Q19=0),CONCATENATE($F$6,"_",B19),IF(AND(L19=1,$C$4&lt;&gt;"CAM",M19&lt;&gt;1,N19&lt;&gt;1,P19&lt;&gt;1),CONCATENATE($F$6,"_",$B$4,"_",B19,"_",$D$4,"_",$D$6,$B$6),IF(AND(L19=1,$C$4&lt;&gt;"CAM",M19=1,N19&lt;&gt;1,P19&lt;&gt;1),CONCATENATE($F$6,"_",$B$4,"_",B19,"_",$D$4,"_",$D$6,$B$6,"_E",$G$6),IF(AND(L19=1,$C$4&lt;&gt;"CAM",N19=1,M19&lt;&gt;1,P19&lt;&gt;1),CONCATENATE($F$6,"_",$B$4,"_",B19,"_",$D$4,"_",$D$6,$B$6,"_C",$I$4),IF(AND($C$4&lt;&gt;"CAM",L19=1,M19=0,N19=0,P19=1),CONCATENATE($F$6,"_",$B$4,"_",B19,"_",$D$4,"_",$D$6,$B$6,"_",$J$4),IF(AND(L19=0,$C$4&lt;&gt;"CAM",O19=0),CONCATENATE($F$6,"_",$B$4,"_",B19),IF(AND(L19=0,$C$4&lt;&gt;"CAM",O19=1,Q19=1),CONCATENATE($F$6,"_",$B$4,"_",B19,"_",$I$6),IF(AND(L19=0,$C$4&lt;&gt;"CAM",O19=1,Q19=0),CONCATENATE($F$6,"_",$B$4,"_",B19),CONCATENATE("Sin nomenclatura")))))))))))))))</f>
        <v>28_382_CDT_CON_P363</v>
      </c>
      <c r="F19" s="492" t="s">
        <v>1788</v>
      </c>
      <c r="G19" s="71">
        <f t="shared" ref="G19" si="4">LEN(E19)</f>
        <v>19</v>
      </c>
      <c r="H19" s="492" t="str">
        <f t="shared" ref="H19" si="5">IF(K19=$H$4,CONCATENATE("…/",K19,"/",$G$4,"/",$H$6,"/..."),CONCATENATE("…/",K19,"/",$G$4,"/",$H$6,"/",$B$6,,"/..."))</f>
        <v>…/PROYECTOS/DYP_PP/Acrónimo de la Aplicación/363/...</v>
      </c>
      <c r="I19" s="71">
        <f t="shared" ref="I19" si="6">LEN(H19)</f>
        <v>52</v>
      </c>
      <c r="J19" s="71" t="s">
        <v>504</v>
      </c>
      <c r="K19" s="71" t="str">
        <f>VLOOKUP(J19,Catalogos!$Q$4:$R$15,2,0)</f>
        <v>PROYECTOS</v>
      </c>
      <c r="L19" s="312">
        <v>1</v>
      </c>
      <c r="M19" s="312">
        <v>0</v>
      </c>
      <c r="N19" s="312">
        <v>0</v>
      </c>
      <c r="O19" s="312">
        <v>0</v>
      </c>
      <c r="P19" s="312">
        <v>0</v>
      </c>
      <c r="Q19" s="312">
        <f t="shared" si="1"/>
        <v>1</v>
      </c>
      <c r="R19" s="564"/>
    </row>
    <row r="20" spans="1:18" s="45" customFormat="1" x14ac:dyDescent="0.25">
      <c r="A20" s="492" t="s">
        <v>13</v>
      </c>
      <c r="B20" s="71" t="s">
        <v>240</v>
      </c>
      <c r="C20" s="47" t="s">
        <v>14</v>
      </c>
      <c r="D20" s="72">
        <v>3</v>
      </c>
      <c r="E20" s="492" t="str">
        <f>IF($I$4&lt;&gt;0,(IF(AND($C$4="CAM",L20=1,M20=0,N20=0,P20=0),CONCATENATE($F$6,"_",B20,"_",$D$4,"_",$D$6,$B$6),IF(AND(L20=1,$C$4="CAM",M20=1,N20&lt;&gt;1,P20&lt;&gt;1),CONCATENATE($F$6,"_",B20,"_",$D$4,"_",$D$6,$B$6,"_E",$G$6),IF(AND(L20=1,$C$4="CAM",N20=1,M20&lt;&gt;1,P20&lt;&gt;1),(IF(($I$4)&gt;0,CONCATENATE($F$6,"_",$B$4,"_",B20,"_",$D$4,"_",$D$6,$B$6,"_C",$I$4,"_E",$G$6),CONCATENATE($F$6,"_",$B$4,"_",B20,"_",$D$4,"_",$D$6,$B$6,"_E",$G$6))),IF(AND($C$4="CAM",L20=1,M20=0,N20=0,P20=1),CONCATENATE($F$6,"_",B20,"_",$D$4,"_",$D$6,$B$6,"_",$J$4),IF(AND(L20=0,$C$4="CAM",O20=0),CONCATENATE($F$6,"_",B20),IF(AND(L20=0,$C$4="CAM",O20=1,Q20=1),CONCATENATE($F$6,"_",B20,"_",$I$6),IF(AND(L20=0,$C$4="CAM",O20=1,Q20=0),CONCATENATE($F$6,"_",B20),IF(AND(L20=1,$C$4&lt;&gt;"CAM",N20&lt;&gt;1,P20&lt;&gt;1),CONCATENATE($F$6,"_",$B$4,"_",B20,"_",$D$4,"_",$D$6,$B$6,"_C",$I$4,"_E",$G$6),IF(AND(L20=1,$C$4&lt;&gt;"CAM",M20=1,N20&lt;&gt;1,P20&lt;&gt;1),CONCATENATE($F$6,"_",$B$4,"_",B20,"_",$D$4,"_",$D$6,$B$6,"_E",$G$6),IF(AND(L20=1,$C$4&lt;&gt;"CAM",N20=1,P20&lt;&gt;1),(IF(($I$4)&gt;0,CONCATENATE($F$6,"_",$B$4,"_",B20,"_",$D$4,"_",$D$6,$B$6,"_C",$I$4,"_E",$G$6),CONCATENATE($F$6,"_",$B$4,"_",B20,"_",$D$4,"_",$D$6,$B$6,"_E",$G$6))),IF(AND($C$4&lt;&gt;"CAM",L20=1,M20=0,N20=0,P20=1),CONCATENATE($F$6,"_",$B$4,"_",B20,"_",$D$4,"_",$D$6,$B$6,"_",$J$4),IF(AND(L20=0,$C$4&lt;&gt;"CAM",O20=0),CONCATENATE($F$6,"_",$B$4,"_",B20),IF(AND(L20=0,$C$4&lt;&gt;"CAM",O20=1,Q20=1),CONCATENATE($F$6,"_",$B$4,"_",B20,"_",$I$6),IF(AND(L20=0,$C$4&lt;&gt;"CAM",O20=1,Q20=0),CONCATENATE($F$6,"_",$B$4,"_",B20),CONCATENATE("Sin nomenclatura"))))))))))))))))," ")</f>
        <v xml:space="preserve"> </v>
      </c>
      <c r="F20" s="47"/>
      <c r="G20" s="71">
        <f t="shared" si="2"/>
        <v>1</v>
      </c>
      <c r="H20" s="492" t="str">
        <f t="shared" si="0"/>
        <v>…/PROYECTOS/DYP_PP/Acrónimo de la Aplicación/363/...</v>
      </c>
      <c r="I20" s="71">
        <f t="shared" si="3"/>
        <v>52</v>
      </c>
      <c r="J20" s="71" t="s">
        <v>504</v>
      </c>
      <c r="K20" s="71" t="str">
        <f>VLOOKUP(J20,Catalogos!$Q$4:$R$15,2,0)</f>
        <v>PROYECTOS</v>
      </c>
      <c r="L20" s="312">
        <v>1</v>
      </c>
      <c r="M20" s="312">
        <v>0</v>
      </c>
      <c r="N20" s="312">
        <v>1</v>
      </c>
      <c r="O20" s="312">
        <v>0</v>
      </c>
      <c r="P20" s="312">
        <v>0</v>
      </c>
      <c r="Q20" s="312">
        <f t="shared" si="1"/>
        <v>1</v>
      </c>
      <c r="R20" s="13" t="s">
        <v>470</v>
      </c>
    </row>
    <row r="21" spans="1:18" s="45" customFormat="1" ht="23.1" customHeight="1" x14ac:dyDescent="0.25">
      <c r="A21" s="492" t="s">
        <v>303</v>
      </c>
      <c r="B21" s="71" t="s">
        <v>302</v>
      </c>
      <c r="C21" s="47" t="s">
        <v>15</v>
      </c>
      <c r="D21" s="72">
        <v>3</v>
      </c>
      <c r="E21" s="492" t="str">
        <f>IF($I$4=0,(IF(AND($C$4="CAM",L21=1,M21=0,N21=0,P21=0),CONCATENATE($F$6,"_",B21,"_",$D$4,"_",$D$6,$B$6),IF(AND(L21=1,$C$4="CAM",M21=1,N21&lt;&gt;1,P21&lt;&gt;1),CONCATENATE($F$6,"_",B21,"_",$D$4,"_",$D$6,$B$6,"_E",$G$6),IF(AND(L21=1,$C$4="CAM",N21=1,M21&lt;&gt;1,P21&lt;&gt;1),CONCATENATE($F$6,"_",B21,"_",$D$4,"_",$D$6,$B$6,"_C",$I$4),IF(AND($C$4="CAM",L21=1,M21=0,N21=0,P21=1),CONCATENATE($F$6,"_",B21,"_",$D$4,"_",$D$6,$B$6,"_",$J$4),IF(AND(L21=0,$C$4="CAM",O21=0),CONCATENATE($F$6,"_",B21),IF(AND(L21=0,$C$4="CAM",O21=1,Q21=1),CONCATENATE($F$6,"_",B21,"_",$I$6),IF(AND(L21=0,$C$4="CAM",O21=1,Q21=0),CONCATENATE($F$6,"_",B21),IF(AND(L21=1,$C$4&lt;&gt;"CAM",M21&lt;&gt;1,N21&lt;&gt;1,P21&lt;&gt;1),CONCATENATE($F$6,"_",$B$4,"_",B21,"_",$D$4,"_",$D$6,$B$6),IF(AND(L21=1,$C$4&lt;&gt;"CAM",M21=1,N21&lt;&gt;1,P21&lt;&gt;1),CONCATENATE($F$6,"_",$B$4,"_",B21,"_",$D$4,"_",$D$6,$B$6,"_E",$G$6),IF(AND(L21=1,$C$4&lt;&gt;"CAM",N21=1,M21&lt;&gt;1,P21&lt;&gt;1),CONCATENATE($F$6,"_",$B$4,"_",B21,"_",$D$4,"_",$D$6,$B$6,"_C",$I$4),IF(AND($C$4&lt;&gt;"CAM",L21=1,M21=0,N21=0,P21=1),CONCATENATE($F$6,"_",$B$4,"_",B21,"_",$D$4,"_",$D$6,$B$6,"_",$J$4),IF(AND(L21=0,$C$4&lt;&gt;"CAM",O21=0),CONCATENATE($F$6,"_",$B$4,"_",B21),IF(AND(L21=0,$C$4&lt;&gt;"CAM",O21=1,Q21=1),CONCATENATE($F$6,"_",$B$4,"_",B21,"_",$I$6),IF(AND(L21=0,$C$4&lt;&gt;"CAM",O21=1,Q21=0),CONCATENATE($F$6,"_",$B$4,"_",B21),CONCATENATE("Sin nomenclatura"))))))))))))))))," ")</f>
        <v>28_382_PSE_CON_P363_E302</v>
      </c>
      <c r="F21" s="47"/>
      <c r="G21" s="71">
        <f t="shared" si="2"/>
        <v>24</v>
      </c>
      <c r="H21" s="492" t="str">
        <f t="shared" si="0"/>
        <v>…/PROYECTOS/DYP_PP/Acrónimo de la Aplicación/363/...</v>
      </c>
      <c r="I21" s="71">
        <f t="shared" si="3"/>
        <v>52</v>
      </c>
      <c r="J21" s="71" t="s">
        <v>504</v>
      </c>
      <c r="K21" s="71" t="str">
        <f>VLOOKUP(J21,Catalogos!$Q$4:$R$15,2,0)</f>
        <v>PROYECTOS</v>
      </c>
      <c r="L21" s="312">
        <v>1</v>
      </c>
      <c r="M21" s="312">
        <v>1</v>
      </c>
      <c r="N21" s="312">
        <v>0</v>
      </c>
      <c r="O21" s="312">
        <v>0</v>
      </c>
      <c r="P21" s="312">
        <v>0</v>
      </c>
      <c r="Q21" s="312">
        <f t="shared" si="1"/>
        <v>1</v>
      </c>
      <c r="R21" s="13" t="s">
        <v>421</v>
      </c>
    </row>
    <row r="22" spans="1:18" s="45" customFormat="1" ht="38.25" customHeight="1" x14ac:dyDescent="0.25">
      <c r="A22" s="492" t="s">
        <v>1749</v>
      </c>
      <c r="B22" s="71" t="s">
        <v>1750</v>
      </c>
      <c r="C22" s="492" t="s">
        <v>1751</v>
      </c>
      <c r="D22" s="72">
        <v>3</v>
      </c>
      <c r="E22" s="492" t="str">
        <f>IF(AND($C$4="CAM",L22=1,M22=0,N22=0,P22=0),CONCATENATE($F$6,"_",B22,"_",$D$4,"_",$D$6,$B$6),IF(AND(L22=1,$C$4="CAM",M22=1,N22&lt;&gt;1,P22&lt;&gt;1),CONCATENATE($F$6,"_",B22,"_",$D$4,"_",$D$6,$B$6,"_E",$G$6),IF(AND(L22=1,$C$4="CAM",N22=1,M22&lt;&gt;1,P22&lt;&gt;1),CONCATENATE($F$6,"_",B22,"_",$D$4,"_",$D$6,$B$6,"_C",$I$4),IF(AND($C$4="CAM",L22=1,M22=0,N22=0,P22=1),CONCATENATE($F$6,"_",B22,"_",$D$4,"_",$D$6,$B$6,"_",$J$4),IF(AND(L22=0,$C$4="CAM",O22=0),CONCATENATE($F$6,"_",B22),IF(AND(L22=0,$C$4="CAM",O22=1,Q22=1),CONCATENATE($F$6,"_",B22,"_",$I$6),IF(AND(L22=0,$C$4="CAM",O22=1,Q22=0),CONCATENATE($F$6,"_",B22),IF(AND(L22=1,$C$4&lt;&gt;"CAM",M22&lt;&gt;1,N22&lt;&gt;1,P22&lt;&gt;1),CONCATENATE($F$6,"_",$B$4,"_",B22,"_",$D$4,"_",$D$6,$B$6),IF(AND(L22=1,$C$4&lt;&gt;"CAM",M22=1,N22&lt;&gt;1,P22&lt;&gt;1),CONCATENATE($F$6,"_",$B$4,"_",B22,"_",$D$4,"_",$D$6,$B$6,"_E",$G$6),IF(AND(L22=1,$C$4&lt;&gt;"CAM",N22=1,M22&lt;&gt;1,P22&lt;&gt;1),CONCATENATE($F$6,"_",$B$4,"_",B22,"_",$D$4,"_",$D$6,$B$6,"_C",$I$4),IF(AND($C$4&lt;&gt;"CAM",L22=1,M22=0,N22=0,P22=1),CONCATENATE($F$6,"_",$B$4,"_",B22,"_",$D$4,"_",$D$6,$B$6,"_",$J$4),IF(AND(L22=0,$C$4&lt;&gt;"CAM",O22=0),CONCATENATE($F$6,"_",$B$4,"_",B22),IF(AND(L22=0,$C$4&lt;&gt;"CAM",O22=1,Q22=1),CONCATENATE($F$6,"_",$B$4,"_",B22,"_",$I$6),IF(AND(L22=0,$C$4&lt;&gt;"CAM",O22=1,Q22=0),CONCATENATE($F$6,"_",$B$4,"_",B22),CONCATENATE("Sin nomenclatura")))))))))))))))</f>
        <v>28_382_SOLCAM_CON_P363</v>
      </c>
      <c r="F22" s="220" t="s">
        <v>1213</v>
      </c>
      <c r="G22" s="71">
        <f t="shared" ref="G22" si="7">LEN(E22)</f>
        <v>22</v>
      </c>
      <c r="H22" s="492" t="str">
        <f t="shared" si="0"/>
        <v>…/PROYECTOS/DYP_PP/Acrónimo de la Aplicación/363/...</v>
      </c>
      <c r="I22" s="71">
        <f t="shared" ref="I22" si="8">LEN(H22)</f>
        <v>52</v>
      </c>
      <c r="J22" s="71" t="s">
        <v>504</v>
      </c>
      <c r="K22" s="71" t="str">
        <f>VLOOKUP(J22,Catalogos!$Q$4:$R$15,2,0)</f>
        <v>PROYECTOS</v>
      </c>
      <c r="L22" s="312">
        <v>1</v>
      </c>
      <c r="M22" s="312">
        <v>0</v>
      </c>
      <c r="N22" s="312">
        <v>0</v>
      </c>
      <c r="O22" s="312">
        <v>0</v>
      </c>
      <c r="P22" s="312">
        <v>0</v>
      </c>
      <c r="Q22" s="312">
        <f t="shared" si="1"/>
        <v>1</v>
      </c>
      <c r="R22" s="561"/>
    </row>
    <row r="23" spans="1:18" s="45" customFormat="1" ht="25.5" x14ac:dyDescent="0.25">
      <c r="A23" s="492" t="s">
        <v>236</v>
      </c>
      <c r="B23" s="71" t="s">
        <v>233</v>
      </c>
      <c r="C23" s="47" t="s">
        <v>234</v>
      </c>
      <c r="D23" s="72">
        <v>3</v>
      </c>
      <c r="E23" s="492" t="str">
        <f>IF($I$4&lt;&gt;0,(IF(AND($C$4="CAM",L23=1,M23=0,N23=0,P23=0),CONCATENATE($F$6,"_",B23,"_",$D$4,"_",$D$6,$B$6),IF(AND(L23=1,$C$4="CAM",M23=1,N23&lt;&gt;1,P23&lt;&gt;1),CONCATENATE($F$6,"_",B23,"_",$D$4,"_",$D$6,$B$6,"_E",$G$6),IF(AND(L23=1,$C$4="CAM",N23=1,M23&lt;&gt;1,P23&lt;&gt;1),CONCATENATE($F$6,"_",B23,"_",$D$4,"_",$D$6,$B$6,"_C",$I$4),IF(AND($C$4="CAM",L23=1,M23=0,N23=0,P23=1),CONCATENATE($F$6,"_",B23,"_",$D$4,"_",$D$6,$B$6,"_",$J$4),IF(AND(L23=0,$C$4="CAM",O23=0),CONCATENATE($F$6,"_",B23),IF(AND(L23=0,$C$4="CAM",O23=1,Q23=1),CONCATENATE($F$6,"_",B23,"_",$I$6),IF(AND(L23=0,$C$4="CAM",O23=1,Q23=0),CONCATENATE($F$6,"_",B23),IF(AND(L23=1,$C$4&lt;&gt;"CAM",M23&lt;&gt;1,N23&lt;&gt;1,P23&lt;&gt;1),CONCATENATE($F$6,"_",$B$4,"_",B23,"_",$D$4,"_",$D$6,$B$6),IF(AND(L23=1,$C$4&lt;&gt;"CAM",M23=1,N23&lt;&gt;1,P23&lt;&gt;1),CONCATENATE($F$6,"_",$B$4,"_",B23,"_",$D$4,"_",$D$6,$B$6,"_E",$G$6),IF(AND(L23=1,$C$4&lt;&gt;"CAM",N23=1,M23&lt;&gt;1,P23&lt;&gt;1),CONCATENATE($F$6,"_",$B$4,"_",B23,"_",$D$4,"_",$D$6,$B$6,"_C",$I$4),IF(AND($C$4&lt;&gt;"CAM",L23=1,M23=0,N23=0,P23=1),CONCATENATE($F$6,"_",$B$4,"_",B23,"_",$D$4,"_",$D$6,$B$6,"_",$J$4),IF(AND(L23=0,$C$4&lt;&gt;"CAM",O23=0),CONCATENATE($F$6,"_",$B$4,"_",B23),IF(AND(L23=0,$C$4&lt;&gt;"CAM",O23=1,Q23=1),CONCATENATE($F$6,"_",$B$4,"_",B23,"_",$I$6),IF(AND(L23=0,$C$4&lt;&gt;"CAM",O23=1,Q23=0),CONCATENATE($F$6,"_",$B$4,"_",B23),CONCATENATE("Sin nomenclatura"))))))))))))))))," ")</f>
        <v xml:space="preserve"> </v>
      </c>
      <c r="F23" s="492" t="s">
        <v>1803</v>
      </c>
      <c r="G23" s="71">
        <f t="shared" si="2"/>
        <v>1</v>
      </c>
      <c r="H23" s="492" t="str">
        <f t="shared" si="0"/>
        <v>…/PROYECTOS/DYP_PP/Acrónimo de la Aplicación/363/...</v>
      </c>
      <c r="I23" s="71">
        <f t="shared" si="3"/>
        <v>52</v>
      </c>
      <c r="J23" s="71" t="s">
        <v>1594</v>
      </c>
      <c r="K23" s="71" t="str">
        <f>VLOOKUP(J23,Catalogos!$Q$4:$R$15,2,0)</f>
        <v>PROYECTOS</v>
      </c>
      <c r="L23" s="312">
        <v>1</v>
      </c>
      <c r="M23" s="312">
        <v>0</v>
      </c>
      <c r="N23" s="312">
        <v>1</v>
      </c>
      <c r="O23" s="312">
        <v>0</v>
      </c>
      <c r="P23" s="312">
        <v>0</v>
      </c>
      <c r="Q23" s="312">
        <f t="shared" si="1"/>
        <v>1</v>
      </c>
      <c r="R23" s="13" t="s">
        <v>470</v>
      </c>
    </row>
    <row r="24" spans="1:18" s="45" customFormat="1" x14ac:dyDescent="0.25">
      <c r="A24" s="492" t="s">
        <v>1705</v>
      </c>
      <c r="B24" s="71" t="s">
        <v>1707</v>
      </c>
      <c r="C24" s="492" t="s">
        <v>1706</v>
      </c>
      <c r="D24" s="72">
        <v>4</v>
      </c>
      <c r="E24" s="492" t="str">
        <f t="shared" ref="E24:E30" si="9">IF(AND($C$4="CAM",L24=1,M24=0,N24=0,P24=0),CONCATENATE($F$6,"_",B24,"_",$D$4,"_",$D$6,$B$6),IF(AND(L24=1,$C$4="CAM",M24=1,N24&lt;&gt;1,P24&lt;&gt;1),CONCATENATE($F$6,"_",B24,"_",$D$4,"_",$D$6,$B$6,"_E",$G$6),IF(AND(L24=1,$C$4="CAM",N24=1,M24&lt;&gt;1,P24&lt;&gt;1),CONCATENATE($F$6,"_",B24,"_",$D$4,"_",$D$6,$B$6,"_C",$I$4),IF(AND($C$4="CAM",L24=1,M24=0,N24=0,P24=1),CONCATENATE($F$6,"_",B24,"_",$D$4,"_",$D$6,$B$6,"_",$J$4),IF(AND(L24=0,$C$4="CAM",O24=0),CONCATENATE($F$6,"_",B24),IF(AND(L24=0,$C$4="CAM",O24=1,Q24=1),CONCATENATE($F$6,"_",B24,"_",$I$6),IF(AND(L24=0,$C$4="CAM",O24=1,Q24=0),CONCATENATE($F$6,"_",B24),IF(AND(L24=1,$C$4&lt;&gt;"CAM",M24&lt;&gt;1,N24&lt;&gt;1,P24&lt;&gt;1),CONCATENATE($F$6,"_",$B$4,"_",B24,"_",$D$4,"_",$D$6,$B$6),IF(AND(L24=1,$C$4&lt;&gt;"CAM",M24=1,N24&lt;&gt;1,P24&lt;&gt;1),CONCATENATE($F$6,"_",$B$4,"_",B24,"_",$D$4,"_",$D$6,$B$6,"_E",$G$6),IF(AND(L24=1,$C$4&lt;&gt;"CAM",N24=1,M24&lt;&gt;1,P24&lt;&gt;1),CONCATENATE($F$6,"_",$B$4,"_",B24,"_",$D$4,"_",$D$6,$B$6,"_C",$I$4),IF(AND($C$4&lt;&gt;"CAM",L24=1,M24=0,N24=0,P24=1),CONCATENATE($F$6,"_",$B$4,"_",B24,"_",$D$4,"_",$D$6,$B$6,"_",$J$4),IF(AND(L24=0,$C$4&lt;&gt;"CAM",O24=0),CONCATENATE($F$6,"_",$B$4,"_",B24),IF(AND(L24=0,$C$4&lt;&gt;"CAM",O24=1,Q24=1),CONCATENATE($F$6,"_",$B$4,"_",B24,"_",$I$6),IF(AND(L24=0,$C$4&lt;&gt;"CAM",O24=1,Q24=0),CONCATENATE($F$6,"_",$B$4,"_",B24),CONCATENATE("Sin nomenclatura")))))))))))))))</f>
        <v>28_382_ACR_CON_P363</v>
      </c>
      <c r="F24" s="492" t="s">
        <v>1767</v>
      </c>
      <c r="G24" s="71">
        <f t="shared" ref="G24:G25" si="10">LEN(E24)</f>
        <v>19</v>
      </c>
      <c r="H24" s="492" t="str">
        <f t="shared" si="0"/>
        <v>…/PROYECTOS/DYP_PP/Acrónimo de la Aplicación/363/...</v>
      </c>
      <c r="I24" s="71">
        <f t="shared" ref="I24:I25" si="11">LEN(H24)</f>
        <v>52</v>
      </c>
      <c r="J24" s="71" t="s">
        <v>504</v>
      </c>
      <c r="K24" s="71" t="str">
        <f>VLOOKUP(J24,Catalogos!$Q$4:$R$15,2,0)</f>
        <v>PROYECTOS</v>
      </c>
      <c r="L24" s="312">
        <v>1</v>
      </c>
      <c r="M24" s="312">
        <v>0</v>
      </c>
      <c r="N24" s="312">
        <v>0</v>
      </c>
      <c r="O24" s="312">
        <v>0</v>
      </c>
      <c r="P24" s="312">
        <v>0</v>
      </c>
      <c r="Q24" s="312">
        <f t="shared" si="1"/>
        <v>1</v>
      </c>
      <c r="R24" s="552" t="s">
        <v>1703</v>
      </c>
    </row>
    <row r="25" spans="1:18" s="45" customFormat="1" ht="25.5" x14ac:dyDescent="0.25">
      <c r="A25" s="492" t="s">
        <v>1702</v>
      </c>
      <c r="B25" s="71" t="s">
        <v>1708</v>
      </c>
      <c r="C25" s="492" t="s">
        <v>1704</v>
      </c>
      <c r="D25" s="72">
        <v>5</v>
      </c>
      <c r="E25" s="492" t="str">
        <f t="shared" si="9"/>
        <v>28_382_AEX</v>
      </c>
      <c r="F25" s="220" t="s">
        <v>1213</v>
      </c>
      <c r="G25" s="71">
        <f t="shared" si="10"/>
        <v>10</v>
      </c>
      <c r="H25" s="492" t="str">
        <f t="shared" si="0"/>
        <v>…/SISTEMAS/DYP_PP/Acrónimo de la Aplicación/...</v>
      </c>
      <c r="I25" s="71">
        <f t="shared" si="11"/>
        <v>47</v>
      </c>
      <c r="J25" s="71" t="s">
        <v>1596</v>
      </c>
      <c r="K25" s="71" t="str">
        <f>VLOOKUP(J25,Catalogos!$Q$4:$R$15,2,0)</f>
        <v>SISTEMAS</v>
      </c>
      <c r="L25" s="312">
        <v>0</v>
      </c>
      <c r="M25" s="312">
        <v>0</v>
      </c>
      <c r="N25" s="312">
        <v>0</v>
      </c>
      <c r="O25" s="312">
        <v>0</v>
      </c>
      <c r="P25" s="312">
        <v>0</v>
      </c>
      <c r="Q25" s="312">
        <f t="shared" si="1"/>
        <v>1</v>
      </c>
      <c r="R25" s="552" t="s">
        <v>1709</v>
      </c>
    </row>
    <row r="26" spans="1:18" s="45" customFormat="1" ht="23.1" customHeight="1" x14ac:dyDescent="0.25">
      <c r="A26" s="492" t="s">
        <v>16</v>
      </c>
      <c r="B26" s="71" t="s">
        <v>17</v>
      </c>
      <c r="C26" s="47" t="s">
        <v>18</v>
      </c>
      <c r="D26" s="72">
        <v>3</v>
      </c>
      <c r="E26" s="492" t="str">
        <f t="shared" si="9"/>
        <v>28_382_AFD</v>
      </c>
      <c r="F26" s="47"/>
      <c r="G26" s="71">
        <f>LEN(E27)</f>
        <v>10</v>
      </c>
      <c r="H26" s="492" t="str">
        <f t="shared" si="0"/>
        <v>…/SISTEMAS/DYP_PP/Acrónimo de la Aplicación/...</v>
      </c>
      <c r="I26" s="71">
        <f>LEN(H27)</f>
        <v>47</v>
      </c>
      <c r="J26" s="71" t="s">
        <v>1596</v>
      </c>
      <c r="K26" s="71" t="str">
        <f>VLOOKUP(J26,Catalogos!$Q$4:$R$15,2,0)</f>
        <v>SISTEMAS</v>
      </c>
      <c r="L26" s="312">
        <v>0</v>
      </c>
      <c r="M26" s="312">
        <v>0</v>
      </c>
      <c r="N26" s="312">
        <v>0</v>
      </c>
      <c r="O26" s="312">
        <v>0</v>
      </c>
      <c r="P26" s="312">
        <v>0</v>
      </c>
      <c r="Q26" s="312">
        <f t="shared" si="1"/>
        <v>1</v>
      </c>
      <c r="R26" s="13"/>
    </row>
    <row r="27" spans="1:18" s="45" customFormat="1" ht="25.5" x14ac:dyDescent="0.25">
      <c r="A27" s="492" t="s">
        <v>19</v>
      </c>
      <c r="B27" s="71" t="s">
        <v>20</v>
      </c>
      <c r="C27" s="47" t="s">
        <v>21</v>
      </c>
      <c r="D27" s="72">
        <v>3</v>
      </c>
      <c r="E27" s="492" t="str">
        <f t="shared" si="9"/>
        <v>28_382_ASS</v>
      </c>
      <c r="F27" s="47"/>
      <c r="G27" s="71">
        <f t="shared" si="2"/>
        <v>10</v>
      </c>
      <c r="H27" s="492" t="str">
        <f t="shared" si="0"/>
        <v>…/SISTEMAS/DYP_PP/Acrónimo de la Aplicación/...</v>
      </c>
      <c r="I27" s="71">
        <f t="shared" si="3"/>
        <v>47</v>
      </c>
      <c r="J27" s="71" t="s">
        <v>1596</v>
      </c>
      <c r="K27" s="71" t="str">
        <f>VLOOKUP(J27,Catalogos!$Q$4:$R$15,2,0)</f>
        <v>SISTEMAS</v>
      </c>
      <c r="L27" s="312">
        <v>0</v>
      </c>
      <c r="M27" s="312">
        <v>0</v>
      </c>
      <c r="N27" s="312">
        <v>0</v>
      </c>
      <c r="O27" s="312">
        <v>0</v>
      </c>
      <c r="P27" s="312">
        <v>0</v>
      </c>
      <c r="Q27" s="312">
        <f t="shared" si="1"/>
        <v>1</v>
      </c>
      <c r="R27" s="13"/>
    </row>
    <row r="28" spans="1:18" s="45" customFormat="1" ht="38.25" x14ac:dyDescent="0.25">
      <c r="A28" s="492" t="s">
        <v>22</v>
      </c>
      <c r="B28" s="71" t="s">
        <v>23</v>
      </c>
      <c r="C28" s="47" t="s">
        <v>24</v>
      </c>
      <c r="D28" s="72">
        <v>3</v>
      </c>
      <c r="E28" s="492" t="str">
        <f t="shared" si="9"/>
        <v>28_382_VBD</v>
      </c>
      <c r="F28" s="220" t="s">
        <v>1214</v>
      </c>
      <c r="G28" s="71">
        <f t="shared" si="2"/>
        <v>10</v>
      </c>
      <c r="H28" s="492" t="str">
        <f t="shared" si="0"/>
        <v>…/SISTEMAS/DYP_PP/Acrónimo de la Aplicación/...</v>
      </c>
      <c r="I28" s="71">
        <f t="shared" si="3"/>
        <v>47</v>
      </c>
      <c r="J28" s="71" t="s">
        <v>1596</v>
      </c>
      <c r="K28" s="71" t="str">
        <f>VLOOKUP(J28,Catalogos!$Q$4:$R$15,2,0)</f>
        <v>SISTEMAS</v>
      </c>
      <c r="L28" s="312">
        <v>0</v>
      </c>
      <c r="M28" s="312">
        <v>0</v>
      </c>
      <c r="N28" s="312">
        <v>0</v>
      </c>
      <c r="O28" s="312">
        <v>0</v>
      </c>
      <c r="P28" s="312">
        <v>0</v>
      </c>
      <c r="Q28" s="312">
        <f t="shared" si="1"/>
        <v>1</v>
      </c>
      <c r="R28" s="13"/>
    </row>
    <row r="29" spans="1:18" s="45" customFormat="1" ht="38.25" x14ac:dyDescent="0.25">
      <c r="A29" s="492" t="s">
        <v>25</v>
      </c>
      <c r="B29" s="71" t="s">
        <v>26</v>
      </c>
      <c r="C29" s="47" t="s">
        <v>27</v>
      </c>
      <c r="D29" s="72">
        <v>3</v>
      </c>
      <c r="E29" s="492" t="str">
        <f t="shared" si="9"/>
        <v>28_382_CRN</v>
      </c>
      <c r="F29" s="220" t="s">
        <v>1214</v>
      </c>
      <c r="G29" s="71">
        <f t="shared" si="2"/>
        <v>10</v>
      </c>
      <c r="H29" s="492" t="str">
        <f t="shared" si="0"/>
        <v>…/SISTEMAS/DYP_PP/Acrónimo de la Aplicación/...</v>
      </c>
      <c r="I29" s="71">
        <f t="shared" si="3"/>
        <v>47</v>
      </c>
      <c r="J29" s="71" t="s">
        <v>1596</v>
      </c>
      <c r="K29" s="71" t="str">
        <f>VLOOKUP(J29,Catalogos!$Q$4:$R$15,2,0)</f>
        <v>SISTEMAS</v>
      </c>
      <c r="L29" s="312">
        <v>0</v>
      </c>
      <c r="M29" s="312">
        <v>0</v>
      </c>
      <c r="N29" s="312">
        <v>0</v>
      </c>
      <c r="O29" s="312">
        <v>0</v>
      </c>
      <c r="P29" s="312">
        <v>0</v>
      </c>
      <c r="Q29" s="312">
        <f t="shared" si="1"/>
        <v>1</v>
      </c>
      <c r="R29" s="13"/>
    </row>
    <row r="30" spans="1:18" s="45" customFormat="1" ht="32.25" customHeight="1" x14ac:dyDescent="0.25">
      <c r="A30" s="492" t="s">
        <v>1710</v>
      </c>
      <c r="B30" s="71" t="s">
        <v>1711</v>
      </c>
      <c r="C30" s="492" t="s">
        <v>1712</v>
      </c>
      <c r="D30" s="72">
        <v>4</v>
      </c>
      <c r="E30" s="492" t="str">
        <f t="shared" si="9"/>
        <v>28_382_CPSA_CON_P363</v>
      </c>
      <c r="F30" s="492" t="s">
        <v>1768</v>
      </c>
      <c r="G30" s="71">
        <f t="shared" si="2"/>
        <v>20</v>
      </c>
      <c r="H30" s="492" t="str">
        <f t="shared" si="0"/>
        <v>…/PROYECTOS/DYP_PP/Acrónimo de la Aplicación/363/...</v>
      </c>
      <c r="I30" s="71">
        <f t="shared" si="3"/>
        <v>52</v>
      </c>
      <c r="J30" s="71" t="s">
        <v>504</v>
      </c>
      <c r="K30" s="71" t="str">
        <f>VLOOKUP(J30,Catalogos!$Q$4:$R$15,2,0)</f>
        <v>PROYECTOS</v>
      </c>
      <c r="L30" s="312">
        <v>1</v>
      </c>
      <c r="M30" s="312">
        <v>0</v>
      </c>
      <c r="N30" s="312">
        <v>0</v>
      </c>
      <c r="O30" s="312">
        <v>0</v>
      </c>
      <c r="P30" s="312">
        <v>0</v>
      </c>
      <c r="Q30" s="312">
        <f t="shared" si="1"/>
        <v>1</v>
      </c>
      <c r="R30" s="552" t="s">
        <v>1703</v>
      </c>
    </row>
    <row r="31" spans="1:18" s="45" customFormat="1" ht="25.5" x14ac:dyDescent="0.25">
      <c r="A31" s="492" t="s">
        <v>485</v>
      </c>
      <c r="B31" s="71" t="s">
        <v>185</v>
      </c>
      <c r="C31" s="492" t="s">
        <v>1798</v>
      </c>
      <c r="D31" s="72">
        <v>3</v>
      </c>
      <c r="E31" s="492" t="s">
        <v>1796</v>
      </c>
      <c r="F31" s="492" t="s">
        <v>1799</v>
      </c>
      <c r="G31" s="71">
        <f t="shared" ref="G31" si="12">LEN(E31)</f>
        <v>1</v>
      </c>
      <c r="H31" s="492" t="str">
        <f t="shared" ref="H31" si="13">IF(K31=$H$4,CONCATENATE("…/",K31,"/",$G$4,"/",$H$6,"/..."),CONCATENATE("…/",K31,"/",$G$4,"/",$H$6,"/",$B$6,,"/..."))</f>
        <v>…/SISTEMAS/DYP_PP/Acrónimo de la Aplicación/...</v>
      </c>
      <c r="I31" s="71">
        <f t="shared" ref="I31" si="14">LEN(H31)</f>
        <v>47</v>
      </c>
      <c r="J31" s="71" t="s">
        <v>1596</v>
      </c>
      <c r="K31" s="71" t="str">
        <f>VLOOKUP(J31,Catalogos!$Q$4:$R$15,2,0)</f>
        <v>SISTEMAS</v>
      </c>
      <c r="L31" s="312">
        <v>0</v>
      </c>
      <c r="M31" s="312">
        <v>0</v>
      </c>
      <c r="N31" s="312">
        <v>0</v>
      </c>
      <c r="O31" s="312">
        <v>0</v>
      </c>
      <c r="P31" s="312">
        <v>0</v>
      </c>
      <c r="Q31" s="312">
        <f t="shared" si="1"/>
        <v>1</v>
      </c>
      <c r="R31" s="564"/>
    </row>
    <row r="32" spans="1:18" s="45" customFormat="1" ht="25.5" x14ac:dyDescent="0.25">
      <c r="A32" s="492" t="s">
        <v>376</v>
      </c>
      <c r="B32" s="71" t="s">
        <v>377</v>
      </c>
      <c r="C32" s="47" t="s">
        <v>28</v>
      </c>
      <c r="D32" s="72">
        <v>3</v>
      </c>
      <c r="E32" s="492" t="str">
        <f t="shared" ref="E32:E40" si="15">IF(AND($C$4="CAM",L32=1,M32=0,N32=0,P32=0),CONCATENATE($F$6,"_",B32,"_",$D$4,"_",$D$6,$B$6),IF(AND(L32=1,$C$4="CAM",M32=1,N32&lt;&gt;1,P32&lt;&gt;1),CONCATENATE($F$6,"_",B32,"_",$D$4,"_",$D$6,$B$6,"_E",$G$6),IF(AND(L32=1,$C$4="CAM",N32=1,M32&lt;&gt;1,P32&lt;&gt;1),CONCATENATE($F$6,"_",B32,"_",$D$4,"_",$D$6,$B$6,"_C",$I$4),IF(AND($C$4="CAM",L32=1,M32=0,N32=0,P32=1),CONCATENATE($F$6,"_",B32,"_",$D$4,"_",$D$6,$B$6,"_",$J$4),IF(AND(L32=0,$C$4="CAM",O32=0),CONCATENATE($F$6,"_",B32),IF(AND(L32=0,$C$4="CAM",O32=1,Q32=1),CONCATENATE($F$6,"_",B32,"_",$I$6),IF(AND(L32=0,$C$4="CAM",O32=1,Q32=0),CONCATENATE($F$6,"_",B32),IF(AND(L32=1,$C$4&lt;&gt;"CAM",M32&lt;&gt;1,N32&lt;&gt;1,P32&lt;&gt;1),CONCATENATE($F$6,"_",$B$4,"_",B32,"_",$D$4,"_",$D$6,$B$6),IF(AND(L32=1,$C$4&lt;&gt;"CAM",M32=1,N32&lt;&gt;1,P32&lt;&gt;1),CONCATENATE($F$6,"_",$B$4,"_",B32,"_",$D$4,"_",$D$6,$B$6,"_E",$G$6),IF(AND(L32=1,$C$4&lt;&gt;"CAM",N32=1,M32&lt;&gt;1,P32&lt;&gt;1),CONCATENATE($F$6,"_",$B$4,"_",B32,"_",$D$4,"_",$D$6,$B$6,"_C",$I$4),IF(AND($C$4&lt;&gt;"CAM",L32=1,M32=0,N32=0,P32=1),CONCATENATE($F$6,"_",$B$4,"_",B32,"_",$D$4,"_",$D$6,$B$6,"_",$J$4),IF(AND(L32=0,$C$4&lt;&gt;"CAM",O32=0),CONCATENATE($F$6,"_",$B$4,"_",B32),IF(AND(L32=0,$C$4&lt;&gt;"CAM",O32=1,Q32=1),CONCATENATE($F$6,"_",$B$4,"_",B32,"_",$I$6),IF(AND(L32=0,$C$4&lt;&gt;"CAM",O32=1,Q32=0),CONCATENATE($F$6,"_",$B$4,"_",B32),CONCATENATE("Sin nomenclatura")))))))))))))))</f>
        <v>28_382_CCV</v>
      </c>
      <c r="F32" s="492" t="s">
        <v>1766</v>
      </c>
      <c r="G32" s="71">
        <f t="shared" si="2"/>
        <v>10</v>
      </c>
      <c r="H32" s="492" t="str">
        <f t="shared" si="0"/>
        <v>…/SISTEMAS/DYP_PP/Acrónimo de la Aplicación/...</v>
      </c>
      <c r="I32" s="71">
        <f t="shared" si="3"/>
        <v>47</v>
      </c>
      <c r="J32" s="71" t="s">
        <v>1596</v>
      </c>
      <c r="K32" s="71" t="str">
        <f>VLOOKUP(J32,Catalogos!$Q$4:$R$15,2,0)</f>
        <v>SISTEMAS</v>
      </c>
      <c r="L32" s="312">
        <v>0</v>
      </c>
      <c r="M32" s="312">
        <v>0</v>
      </c>
      <c r="N32" s="312">
        <v>0</v>
      </c>
      <c r="O32" s="312">
        <v>0</v>
      </c>
      <c r="P32" s="312">
        <v>0</v>
      </c>
      <c r="Q32" s="312">
        <f t="shared" si="1"/>
        <v>1</v>
      </c>
      <c r="R32" s="13"/>
    </row>
    <row r="33" spans="1:18" s="45" customFormat="1" ht="40.5" customHeight="1" x14ac:dyDescent="0.25">
      <c r="A33" s="492" t="s">
        <v>29</v>
      </c>
      <c r="B33" s="71" t="s">
        <v>30</v>
      </c>
      <c r="C33" s="47" t="s">
        <v>31</v>
      </c>
      <c r="D33" s="72">
        <v>3</v>
      </c>
      <c r="E33" s="492" t="str">
        <f t="shared" si="15"/>
        <v>28_382_FCU</v>
      </c>
      <c r="F33" s="220" t="s">
        <v>1214</v>
      </c>
      <c r="G33" s="71">
        <f t="shared" si="2"/>
        <v>10</v>
      </c>
      <c r="H33" s="492" t="str">
        <f t="shared" ref="H33:H86" si="16">IF(K33=$H$4,CONCATENATE("…/",K33,"/",$G$4,"/",$H$6,"/..."),CONCATENATE("…/",K33,"/",$G$4,"/",$H$6,"/",$B$6,,"/..."))</f>
        <v>…/SISTEMAS/DYP_PP/Acrónimo de la Aplicación/...</v>
      </c>
      <c r="I33" s="71">
        <f t="shared" si="3"/>
        <v>47</v>
      </c>
      <c r="J33" s="71" t="s">
        <v>1598</v>
      </c>
      <c r="K33" s="71" t="str">
        <f>VLOOKUP(J33,Catalogos!$Q$4:$R$15,2,0)</f>
        <v>SISTEMAS</v>
      </c>
      <c r="L33" s="312">
        <v>0</v>
      </c>
      <c r="M33" s="312">
        <v>0</v>
      </c>
      <c r="N33" s="312">
        <v>0</v>
      </c>
      <c r="O33" s="312">
        <v>0</v>
      </c>
      <c r="P33" s="312">
        <v>0</v>
      </c>
      <c r="Q33" s="312">
        <f t="shared" si="1"/>
        <v>1</v>
      </c>
      <c r="R33" s="13"/>
    </row>
    <row r="34" spans="1:18" s="45" customFormat="1" ht="25.5" x14ac:dyDescent="0.25">
      <c r="A34" s="492" t="s">
        <v>386</v>
      </c>
      <c r="B34" s="71" t="s">
        <v>186</v>
      </c>
      <c r="C34" s="47" t="s">
        <v>218</v>
      </c>
      <c r="D34" s="72">
        <v>3</v>
      </c>
      <c r="E34" s="492" t="str">
        <f t="shared" si="15"/>
        <v>28_382_DCV</v>
      </c>
      <c r="F34" s="492" t="s">
        <v>1766</v>
      </c>
      <c r="G34" s="71">
        <f t="shared" si="2"/>
        <v>10</v>
      </c>
      <c r="H34" s="492" t="str">
        <f t="shared" si="16"/>
        <v>…/SISTEMAS/DYP_PP/Acrónimo de la Aplicación/...</v>
      </c>
      <c r="I34" s="71">
        <f t="shared" si="3"/>
        <v>47</v>
      </c>
      <c r="J34" s="71" t="s">
        <v>1596</v>
      </c>
      <c r="K34" s="71" t="str">
        <f>VLOOKUP(J34,Catalogos!$Q$4:$R$15,2,0)</f>
        <v>SISTEMAS</v>
      </c>
      <c r="L34" s="312">
        <v>0</v>
      </c>
      <c r="M34" s="312">
        <v>0</v>
      </c>
      <c r="N34" s="312">
        <v>0</v>
      </c>
      <c r="O34" s="312">
        <v>0</v>
      </c>
      <c r="P34" s="312">
        <v>0</v>
      </c>
      <c r="Q34" s="312">
        <f t="shared" si="1"/>
        <v>1</v>
      </c>
      <c r="R34" s="13"/>
    </row>
    <row r="35" spans="1:18" s="45" customFormat="1" ht="25.5" x14ac:dyDescent="0.25">
      <c r="A35" s="492" t="s">
        <v>1797</v>
      </c>
      <c r="B35" s="71" t="s">
        <v>113</v>
      </c>
      <c r="C35" s="47" t="s">
        <v>219</v>
      </c>
      <c r="D35" s="72">
        <v>3</v>
      </c>
      <c r="E35" s="492" t="str">
        <f t="shared" si="15"/>
        <v>28_382_DTS_CON_P363</v>
      </c>
      <c r="F35" s="47" t="s">
        <v>1745</v>
      </c>
      <c r="G35" s="71">
        <f t="shared" si="2"/>
        <v>19</v>
      </c>
      <c r="H35" s="492" t="str">
        <f t="shared" si="16"/>
        <v>…/SISTEMAS/DYP_PP/Acrónimo de la Aplicación/...</v>
      </c>
      <c r="I35" s="71">
        <f t="shared" si="3"/>
        <v>47</v>
      </c>
      <c r="J35" s="71" t="s">
        <v>1596</v>
      </c>
      <c r="K35" s="71" t="str">
        <f>VLOOKUP(J35,Catalogos!$Q$4:$R$15,2,0)</f>
        <v>SISTEMAS</v>
      </c>
      <c r="L35" s="312">
        <v>1</v>
      </c>
      <c r="M35" s="312">
        <v>0</v>
      </c>
      <c r="N35" s="312">
        <v>0</v>
      </c>
      <c r="O35" s="312">
        <v>0</v>
      </c>
      <c r="P35" s="312">
        <v>0</v>
      </c>
      <c r="Q35" s="312">
        <f t="shared" si="1"/>
        <v>1</v>
      </c>
      <c r="R35" s="13" t="s">
        <v>416</v>
      </c>
    </row>
    <row r="36" spans="1:18" s="45" customFormat="1" ht="23.1" customHeight="1" x14ac:dyDescent="0.25">
      <c r="A36" s="492" t="s">
        <v>308</v>
      </c>
      <c r="B36" s="71" t="s">
        <v>309</v>
      </c>
      <c r="C36" s="47"/>
      <c r="D36" s="72">
        <v>3</v>
      </c>
      <c r="E36" s="492" t="str">
        <f t="shared" si="15"/>
        <v>28_382_DIC_IDEWEB</v>
      </c>
      <c r="F36" s="47"/>
      <c r="G36" s="71">
        <f t="shared" si="2"/>
        <v>17</v>
      </c>
      <c r="H36" s="492" t="str">
        <f t="shared" si="16"/>
        <v>…/SISTEMAS/DYP_PP/Acrónimo de la Aplicación/...</v>
      </c>
      <c r="I36" s="71">
        <f t="shared" si="3"/>
        <v>47</v>
      </c>
      <c r="J36" s="71" t="s">
        <v>1470</v>
      </c>
      <c r="K36" s="71" t="str">
        <f>VLOOKUP(J36,Catalogos!$Q$4:$R$15,2,0)</f>
        <v>SISTEMAS</v>
      </c>
      <c r="L36" s="312">
        <v>0</v>
      </c>
      <c r="M36" s="312">
        <v>0</v>
      </c>
      <c r="N36" s="312">
        <v>0</v>
      </c>
      <c r="O36" s="312">
        <v>1</v>
      </c>
      <c r="P36" s="312">
        <v>0</v>
      </c>
      <c r="Q36" s="312">
        <f t="shared" si="1"/>
        <v>1</v>
      </c>
      <c r="R36" s="13"/>
    </row>
    <row r="37" spans="1:18" s="45" customFormat="1" ht="23.1" customHeight="1" x14ac:dyDescent="0.25">
      <c r="A37" s="492" t="s">
        <v>32</v>
      </c>
      <c r="B37" s="71" t="s">
        <v>33</v>
      </c>
      <c r="C37" s="47" t="s">
        <v>34</v>
      </c>
      <c r="D37" s="72">
        <v>3</v>
      </c>
      <c r="E37" s="492" t="str">
        <f t="shared" si="15"/>
        <v>28_382_DCB</v>
      </c>
      <c r="F37" s="47"/>
      <c r="G37" s="71">
        <f t="shared" si="2"/>
        <v>10</v>
      </c>
      <c r="H37" s="492" t="str">
        <f t="shared" si="16"/>
        <v>…/SISTEMAS/DYP_PP/Acrónimo de la Aplicación/...</v>
      </c>
      <c r="I37" s="71">
        <f t="shared" si="3"/>
        <v>47</v>
      </c>
      <c r="J37" s="71" t="s">
        <v>1470</v>
      </c>
      <c r="K37" s="71" t="str">
        <f>VLOOKUP(J37,Catalogos!$Q$4:$R$15,2,0)</f>
        <v>SISTEMAS</v>
      </c>
      <c r="L37" s="312">
        <v>0</v>
      </c>
      <c r="M37" s="312">
        <v>0</v>
      </c>
      <c r="N37" s="312">
        <v>0</v>
      </c>
      <c r="O37" s="312">
        <v>0</v>
      </c>
      <c r="P37" s="312">
        <v>0</v>
      </c>
      <c r="Q37" s="312">
        <f t="shared" si="1"/>
        <v>1</v>
      </c>
      <c r="R37" s="13"/>
    </row>
    <row r="38" spans="1:18" s="45" customFormat="1" ht="23.1" customHeight="1" x14ac:dyDescent="0.25">
      <c r="A38" s="492" t="s">
        <v>35</v>
      </c>
      <c r="B38" s="71" t="s">
        <v>36</v>
      </c>
      <c r="C38" s="47" t="s">
        <v>37</v>
      </c>
      <c r="D38" s="72">
        <v>3</v>
      </c>
      <c r="E38" s="492" t="str">
        <f t="shared" si="15"/>
        <v>28_382_DFC</v>
      </c>
      <c r="F38" s="47"/>
      <c r="G38" s="71">
        <f t="shared" ref="G38:G76" si="17">LEN(E38)</f>
        <v>10</v>
      </c>
      <c r="H38" s="492" t="str">
        <f t="shared" si="16"/>
        <v>…/SISTEMAS/DYP_PP/Acrónimo de la Aplicación/...</v>
      </c>
      <c r="I38" s="71">
        <f t="shared" ref="I38:I76" si="18">LEN(H38)</f>
        <v>47</v>
      </c>
      <c r="J38" s="71" t="s">
        <v>1596</v>
      </c>
      <c r="K38" s="71" t="str">
        <f>VLOOKUP(J38,Catalogos!$Q$4:$R$15,2,0)</f>
        <v>SISTEMAS</v>
      </c>
      <c r="L38" s="312">
        <v>0</v>
      </c>
      <c r="M38" s="312">
        <v>0</v>
      </c>
      <c r="N38" s="312">
        <v>0</v>
      </c>
      <c r="O38" s="312">
        <v>0</v>
      </c>
      <c r="P38" s="312">
        <v>0</v>
      </c>
      <c r="Q38" s="312">
        <f t="shared" si="1"/>
        <v>1</v>
      </c>
      <c r="R38" s="13"/>
    </row>
    <row r="39" spans="1:18" s="45" customFormat="1" ht="23.1" customHeight="1" x14ac:dyDescent="0.25">
      <c r="A39" s="492" t="s">
        <v>38</v>
      </c>
      <c r="B39" s="71" t="s">
        <v>39</v>
      </c>
      <c r="C39" s="47" t="s">
        <v>40</v>
      </c>
      <c r="D39" s="72">
        <v>3</v>
      </c>
      <c r="E39" s="492" t="str">
        <f t="shared" si="15"/>
        <v>28_382_DRG</v>
      </c>
      <c r="F39" s="47"/>
      <c r="G39" s="71">
        <f t="shared" si="17"/>
        <v>10</v>
      </c>
      <c r="H39" s="492" t="str">
        <f t="shared" si="16"/>
        <v>…/SISTEMAS/DYP_PP/Acrónimo de la Aplicación/...</v>
      </c>
      <c r="I39" s="71">
        <f t="shared" si="18"/>
        <v>47</v>
      </c>
      <c r="J39" s="71" t="s">
        <v>1470</v>
      </c>
      <c r="K39" s="71" t="str">
        <f>VLOOKUP(J39,Catalogos!$Q$4:$R$15,2,0)</f>
        <v>SISTEMAS</v>
      </c>
      <c r="L39" s="312">
        <v>0</v>
      </c>
      <c r="M39" s="312">
        <v>0</v>
      </c>
      <c r="N39" s="312">
        <v>0</v>
      </c>
      <c r="O39" s="312">
        <v>0</v>
      </c>
      <c r="P39" s="312">
        <v>0</v>
      </c>
      <c r="Q39" s="312">
        <f t="shared" si="1"/>
        <v>1</v>
      </c>
      <c r="R39" s="13"/>
    </row>
    <row r="40" spans="1:18" s="45" customFormat="1" ht="23.1" customHeight="1" x14ac:dyDescent="0.25">
      <c r="A40" s="492" t="s">
        <v>310</v>
      </c>
      <c r="B40" s="71" t="s">
        <v>311</v>
      </c>
      <c r="C40" s="47"/>
      <c r="D40" s="72">
        <v>3</v>
      </c>
      <c r="E40" s="492" t="str">
        <f t="shared" si="15"/>
        <v>28_382_DSTI</v>
      </c>
      <c r="F40" s="47"/>
      <c r="G40" s="71">
        <f t="shared" si="17"/>
        <v>11</v>
      </c>
      <c r="H40" s="492" t="str">
        <f t="shared" si="16"/>
        <v>…/SISTEMAS/DYP_PP/Acrónimo de la Aplicación/...</v>
      </c>
      <c r="I40" s="71">
        <f t="shared" si="18"/>
        <v>47</v>
      </c>
      <c r="J40" s="71" t="s">
        <v>1596</v>
      </c>
      <c r="K40" s="71" t="str">
        <f>VLOOKUP(J40,Catalogos!$Q$4:$R$15,2,0)</f>
        <v>SISTEMAS</v>
      </c>
      <c r="L40" s="312">
        <v>0</v>
      </c>
      <c r="M40" s="312">
        <v>0</v>
      </c>
      <c r="N40" s="312">
        <v>0</v>
      </c>
      <c r="O40" s="312">
        <v>0</v>
      </c>
      <c r="P40" s="312">
        <v>0</v>
      </c>
      <c r="Q40" s="312">
        <f t="shared" si="1"/>
        <v>1</v>
      </c>
      <c r="R40" s="13"/>
    </row>
    <row r="41" spans="1:18" s="45" customFormat="1" ht="27.75" customHeight="1" x14ac:dyDescent="0.25">
      <c r="A41" s="492" t="s">
        <v>41</v>
      </c>
      <c r="B41" s="71" t="s">
        <v>140</v>
      </c>
      <c r="C41" s="47" t="s">
        <v>42</v>
      </c>
      <c r="D41" s="72">
        <v>3</v>
      </c>
      <c r="E41" s="492" t="str">
        <f>'Artefactos AVL'!J23</f>
        <v>DLCC18491DE1.dp</v>
      </c>
      <c r="F41" s="492" t="s">
        <v>1804</v>
      </c>
      <c r="G41" s="71">
        <f t="shared" si="17"/>
        <v>15</v>
      </c>
      <c r="H41" s="492" t="str">
        <f t="shared" si="16"/>
        <v>…/PROYECTOS/DYP_PP/Acrónimo de la Aplicación/363/...</v>
      </c>
      <c r="I41" s="71">
        <f t="shared" si="18"/>
        <v>52</v>
      </c>
      <c r="J41" s="71" t="s">
        <v>1595</v>
      </c>
      <c r="K41" s="71" t="str">
        <f>VLOOKUP(J41,Catalogos!$Q$4:$R$15,2,0)</f>
        <v>PROYECTOS</v>
      </c>
      <c r="L41" s="312">
        <v>0</v>
      </c>
      <c r="M41" s="312">
        <v>0</v>
      </c>
      <c r="N41" s="312">
        <v>0</v>
      </c>
      <c r="O41" s="312">
        <v>0</v>
      </c>
      <c r="P41" s="312">
        <v>0</v>
      </c>
      <c r="Q41" s="312">
        <f t="shared" si="1"/>
        <v>1</v>
      </c>
      <c r="R41" s="13"/>
    </row>
    <row r="42" spans="1:18" s="45" customFormat="1" ht="38.25" x14ac:dyDescent="0.25">
      <c r="A42" s="492" t="s">
        <v>43</v>
      </c>
      <c r="B42" s="71" t="s">
        <v>44</v>
      </c>
      <c r="C42" s="47" t="s">
        <v>45</v>
      </c>
      <c r="D42" s="72">
        <v>3</v>
      </c>
      <c r="E42" s="492" t="str">
        <f t="shared" ref="E42:E75" si="19">IF(AND($C$4="CAM",L42=1,M42=0,N42=0,P42=0),CONCATENATE($F$6,"_",B42,"_",$D$4,"_",$D$6,$B$6),IF(AND(L42=1,$C$4="CAM",M42=1,N42&lt;&gt;1,P42&lt;&gt;1),CONCATENATE($F$6,"_",B42,"_",$D$4,"_",$D$6,$B$6,"_E",$G$6),IF(AND(L42=1,$C$4="CAM",N42=1,M42&lt;&gt;1,P42&lt;&gt;1),CONCATENATE($F$6,"_",B42,"_",$D$4,"_",$D$6,$B$6,"_C",$I$4),IF(AND($C$4="CAM",L42=1,M42=0,N42=0,P42=1),CONCATENATE($F$6,"_",B42,"_",$D$4,"_",$D$6,$B$6,"_",$J$4),IF(AND(L42=0,$C$4="CAM",O42=0),CONCATENATE($F$6,"_",B42),IF(AND(L42=0,$C$4="CAM",O42=1,Q42=1),CONCATENATE($F$6,"_",B42,"_",$I$6),IF(AND(L42=0,$C$4="CAM",O42=1,Q42=0),CONCATENATE($F$6,"_",B42),IF(AND(L42=1,$C$4&lt;&gt;"CAM",M42&lt;&gt;1,N42&lt;&gt;1,P42&lt;&gt;1),CONCATENATE($F$6,"_",$B$4,"_",B42,"_",$D$4,"_",$D$6,$B$6),IF(AND(L42=1,$C$4&lt;&gt;"CAM",M42=1,N42&lt;&gt;1,P42&lt;&gt;1),CONCATENATE($F$6,"_",$B$4,"_",B42,"_",$D$4,"_",$D$6,$B$6,"_E",$G$6),IF(AND(L42=1,$C$4&lt;&gt;"CAM",N42=1,M42&lt;&gt;1,P42&lt;&gt;1),CONCATENATE($F$6,"_",$B$4,"_",B42,"_",$D$4,"_",$D$6,$B$6,"_C",$I$4),IF(AND($C$4&lt;&gt;"CAM",L42=1,M42=0,N42=0,P42=1),CONCATENATE($F$6,"_",$B$4,"_",B42,"_",$D$4,"_",$D$6,$B$6,"_",$J$4),IF(AND(L42=0,$C$4&lt;&gt;"CAM",O42=0),CONCATENATE($F$6,"_",$B$4,"_",B42),IF(AND(L42=0,$C$4&lt;&gt;"CAM",O42=1,Q42=1),CONCATENATE($F$6,"_",$B$4,"_",B42,"_",$I$6),IF(AND(L42=0,$C$4&lt;&gt;"CAM",O42=1,Q42=0),CONCATENATE($F$6,"_",$B$4,"_",B42),CONCATENATE("Sin nomenclatura")))))))))))))))</f>
        <v>28_382_EIU_IDEWEB</v>
      </c>
      <c r="F42" s="220" t="s">
        <v>1214</v>
      </c>
      <c r="G42" s="71">
        <f t="shared" si="17"/>
        <v>17</v>
      </c>
      <c r="H42" s="492" t="str">
        <f t="shared" si="16"/>
        <v>…/SISTEMAS/DYP_PP/Acrónimo de la Aplicación/...</v>
      </c>
      <c r="I42" s="71">
        <f t="shared" si="18"/>
        <v>47</v>
      </c>
      <c r="J42" s="71" t="s">
        <v>1598</v>
      </c>
      <c r="K42" s="71" t="str">
        <f>VLOOKUP(J42,Catalogos!$Q$4:$R$15,2,0)</f>
        <v>SISTEMAS</v>
      </c>
      <c r="L42" s="312">
        <v>0</v>
      </c>
      <c r="M42" s="312">
        <v>0</v>
      </c>
      <c r="N42" s="312">
        <v>0</v>
      </c>
      <c r="O42" s="312">
        <v>1</v>
      </c>
      <c r="P42" s="312">
        <v>0</v>
      </c>
      <c r="Q42" s="312">
        <f t="shared" si="1"/>
        <v>1</v>
      </c>
      <c r="R42" s="13"/>
    </row>
    <row r="43" spans="1:18" s="45" customFormat="1" ht="38.25" x14ac:dyDescent="0.25">
      <c r="A43" s="492" t="s">
        <v>237</v>
      </c>
      <c r="B43" s="71" t="s">
        <v>46</v>
      </c>
      <c r="C43" s="47" t="s">
        <v>47</v>
      </c>
      <c r="D43" s="72">
        <v>3</v>
      </c>
      <c r="E43" s="492" t="str">
        <f t="shared" si="19"/>
        <v>28_382_EZS</v>
      </c>
      <c r="F43" s="220" t="s">
        <v>1214</v>
      </c>
      <c r="G43" s="71">
        <f t="shared" si="17"/>
        <v>10</v>
      </c>
      <c r="H43" s="492" t="str">
        <f t="shared" si="16"/>
        <v>…/SISTEMAS/DYP_PP/Acrónimo de la Aplicación/...</v>
      </c>
      <c r="I43" s="71">
        <f t="shared" si="18"/>
        <v>47</v>
      </c>
      <c r="J43" s="71" t="s">
        <v>1596</v>
      </c>
      <c r="K43" s="71" t="str">
        <f>VLOOKUP(J43,Catalogos!$Q$4:$R$15,2,0)</f>
        <v>SISTEMAS</v>
      </c>
      <c r="L43" s="312">
        <v>0</v>
      </c>
      <c r="M43" s="312">
        <v>0</v>
      </c>
      <c r="N43" s="312">
        <v>0</v>
      </c>
      <c r="O43" s="312">
        <v>0</v>
      </c>
      <c r="P43" s="312">
        <v>0</v>
      </c>
      <c r="Q43" s="312">
        <f t="shared" si="1"/>
        <v>1</v>
      </c>
      <c r="R43" s="13"/>
    </row>
    <row r="44" spans="1:18" s="45" customFormat="1" ht="23.1" customHeight="1" x14ac:dyDescent="0.25">
      <c r="A44" s="492" t="s">
        <v>48</v>
      </c>
      <c r="B44" s="71" t="s">
        <v>49</v>
      </c>
      <c r="C44" s="47" t="s">
        <v>50</v>
      </c>
      <c r="D44" s="72">
        <v>3</v>
      </c>
      <c r="E44" s="492" t="str">
        <f t="shared" si="19"/>
        <v>28_382_EPE</v>
      </c>
      <c r="F44" s="47"/>
      <c r="G44" s="71">
        <f t="shared" si="17"/>
        <v>10</v>
      </c>
      <c r="H44" s="492" t="str">
        <f t="shared" si="16"/>
        <v>…/PROYECTOS/DYP_PP/Acrónimo de la Aplicación/363/...</v>
      </c>
      <c r="I44" s="71">
        <f t="shared" si="18"/>
        <v>52</v>
      </c>
      <c r="J44" s="71" t="s">
        <v>1594</v>
      </c>
      <c r="K44" s="71" t="str">
        <f>VLOOKUP(J44,Catalogos!$Q$4:$R$15,2,0)</f>
        <v>PROYECTOS</v>
      </c>
      <c r="L44" s="312">
        <v>0</v>
      </c>
      <c r="M44" s="312">
        <v>0</v>
      </c>
      <c r="N44" s="312">
        <v>0</v>
      </c>
      <c r="O44" s="312">
        <v>0</v>
      </c>
      <c r="P44" s="312">
        <v>0</v>
      </c>
      <c r="Q44" s="312">
        <f t="shared" si="1"/>
        <v>1</v>
      </c>
      <c r="R44" s="13"/>
    </row>
    <row r="45" spans="1:18" s="45" customFormat="1" ht="38.25" x14ac:dyDescent="0.25">
      <c r="A45" s="492" t="s">
        <v>189</v>
      </c>
      <c r="B45" s="71" t="s">
        <v>51</v>
      </c>
      <c r="C45" s="47" t="s">
        <v>220</v>
      </c>
      <c r="D45" s="72">
        <v>3</v>
      </c>
      <c r="E45" s="492" t="str">
        <f t="shared" si="19"/>
        <v>28_382_ERF</v>
      </c>
      <c r="F45" s="220" t="s">
        <v>1214</v>
      </c>
      <c r="G45" s="71">
        <f t="shared" si="17"/>
        <v>10</v>
      </c>
      <c r="H45" s="492" t="str">
        <f t="shared" si="16"/>
        <v>…/SISTEMAS/DYP_PP/Acrónimo de la Aplicación/...</v>
      </c>
      <c r="I45" s="71">
        <f t="shared" si="18"/>
        <v>47</v>
      </c>
      <c r="J45" s="71" t="s">
        <v>1596</v>
      </c>
      <c r="K45" s="71" t="str">
        <f>VLOOKUP(J45,Catalogos!$Q$4:$R$15,2,0)</f>
        <v>SISTEMAS</v>
      </c>
      <c r="L45" s="312">
        <v>0</v>
      </c>
      <c r="M45" s="312">
        <v>0</v>
      </c>
      <c r="N45" s="312">
        <v>0</v>
      </c>
      <c r="O45" s="312">
        <v>0</v>
      </c>
      <c r="P45" s="312">
        <v>0</v>
      </c>
      <c r="Q45" s="312">
        <f t="shared" si="1"/>
        <v>1</v>
      </c>
      <c r="R45" s="13"/>
    </row>
    <row r="46" spans="1:18" s="45" customFormat="1" ht="25.5" x14ac:dyDescent="0.25">
      <c r="A46" s="492" t="s">
        <v>1713</v>
      </c>
      <c r="B46" s="71" t="s">
        <v>1714</v>
      </c>
      <c r="C46" s="492" t="s">
        <v>1715</v>
      </c>
      <c r="D46" s="72">
        <v>5</v>
      </c>
      <c r="E46" s="492" t="str">
        <f t="shared" si="19"/>
        <v>28_382_ETB</v>
      </c>
      <c r="F46" s="220" t="s">
        <v>1213</v>
      </c>
      <c r="G46" s="71">
        <f t="shared" si="17"/>
        <v>10</v>
      </c>
      <c r="H46" s="492" t="str">
        <f t="shared" si="16"/>
        <v>…/SISTEMAS/DYP_PP/Acrónimo de la Aplicación/...</v>
      </c>
      <c r="I46" s="71">
        <f t="shared" si="18"/>
        <v>47</v>
      </c>
      <c r="J46" s="71" t="s">
        <v>524</v>
      </c>
      <c r="K46" s="71" t="str">
        <f>VLOOKUP(J46,Catalogos!$Q$4:$R$15,2,0)</f>
        <v>SISTEMAS</v>
      </c>
      <c r="L46" s="312">
        <v>0</v>
      </c>
      <c r="M46" s="312">
        <v>0</v>
      </c>
      <c r="N46" s="312">
        <v>0</v>
      </c>
      <c r="O46" s="312">
        <v>0</v>
      </c>
      <c r="P46" s="312">
        <v>0</v>
      </c>
      <c r="Q46" s="312">
        <f t="shared" si="1"/>
        <v>1</v>
      </c>
      <c r="R46" s="552" t="s">
        <v>1709</v>
      </c>
    </row>
    <row r="47" spans="1:18" s="45" customFormat="1" ht="23.1" customHeight="1" x14ac:dyDescent="0.25">
      <c r="A47" s="492" t="s">
        <v>306</v>
      </c>
      <c r="B47" s="71" t="s">
        <v>307</v>
      </c>
      <c r="C47" s="47"/>
      <c r="D47" s="72">
        <v>3</v>
      </c>
      <c r="E47" s="492" t="str">
        <f t="shared" si="19"/>
        <v>28_382_ESOA_IDEWEB</v>
      </c>
      <c r="F47" s="47"/>
      <c r="G47" s="71">
        <f t="shared" si="17"/>
        <v>18</v>
      </c>
      <c r="H47" s="492" t="str">
        <f t="shared" si="16"/>
        <v>…/SISTEMAS/DYP_PP/Acrónimo de la Aplicación/...</v>
      </c>
      <c r="I47" s="71">
        <f t="shared" si="18"/>
        <v>47</v>
      </c>
      <c r="J47" s="71" t="s">
        <v>1596</v>
      </c>
      <c r="K47" s="71" t="str">
        <f>VLOOKUP(J47,Catalogos!$Q$4:$R$15,2,0)</f>
        <v>SISTEMAS</v>
      </c>
      <c r="L47" s="312">
        <v>0</v>
      </c>
      <c r="M47" s="312">
        <v>0</v>
      </c>
      <c r="N47" s="312">
        <v>0</v>
      </c>
      <c r="O47" s="312">
        <v>1</v>
      </c>
      <c r="P47" s="312">
        <v>0</v>
      </c>
      <c r="Q47" s="312">
        <f t="shared" si="1"/>
        <v>1</v>
      </c>
      <c r="R47" s="13"/>
    </row>
    <row r="48" spans="1:18" s="45" customFormat="1" ht="38.25" x14ac:dyDescent="0.25">
      <c r="A48" s="492" t="s">
        <v>52</v>
      </c>
      <c r="B48" s="71" t="s">
        <v>53</v>
      </c>
      <c r="C48" s="47" t="s">
        <v>54</v>
      </c>
      <c r="D48" s="72">
        <v>3</v>
      </c>
      <c r="E48" s="492" t="str">
        <f t="shared" si="19"/>
        <v>28_382_ECU_IDEWEB</v>
      </c>
      <c r="F48" s="220" t="s">
        <v>1214</v>
      </c>
      <c r="G48" s="71">
        <f t="shared" si="17"/>
        <v>17</v>
      </c>
      <c r="H48" s="492" t="str">
        <f t="shared" si="16"/>
        <v>…/SISTEMAS/DYP_PP/Acrónimo de la Aplicación/...</v>
      </c>
      <c r="I48" s="71">
        <f t="shared" si="18"/>
        <v>47</v>
      </c>
      <c r="J48" s="71" t="s">
        <v>1596</v>
      </c>
      <c r="K48" s="71" t="str">
        <f>VLOOKUP(J48,Catalogos!$Q$4:$R$15,2,0)</f>
        <v>SISTEMAS</v>
      </c>
      <c r="L48" s="312">
        <v>0</v>
      </c>
      <c r="M48" s="312">
        <v>0</v>
      </c>
      <c r="N48" s="312">
        <v>0</v>
      </c>
      <c r="O48" s="312">
        <v>1</v>
      </c>
      <c r="P48" s="312">
        <v>0</v>
      </c>
      <c r="Q48" s="312">
        <f t="shared" si="1"/>
        <v>1</v>
      </c>
      <c r="R48" s="13"/>
    </row>
    <row r="49" spans="1:18" s="45" customFormat="1" ht="38.25" x14ac:dyDescent="0.25">
      <c r="A49" s="492" t="s">
        <v>55</v>
      </c>
      <c r="B49" s="71" t="s">
        <v>241</v>
      </c>
      <c r="C49" s="47" t="s">
        <v>56</v>
      </c>
      <c r="D49" s="72">
        <v>3</v>
      </c>
      <c r="E49" s="492" t="str">
        <f t="shared" si="19"/>
        <v>28_382_EDA</v>
      </c>
      <c r="F49" s="220" t="s">
        <v>1214</v>
      </c>
      <c r="G49" s="71">
        <f t="shared" si="17"/>
        <v>10</v>
      </c>
      <c r="H49" s="492" t="str">
        <f t="shared" si="16"/>
        <v>…/SISTEMAS/DYP_PP/Acrónimo de la Aplicación/...</v>
      </c>
      <c r="I49" s="71">
        <f t="shared" si="18"/>
        <v>47</v>
      </c>
      <c r="J49" s="71" t="s">
        <v>1596</v>
      </c>
      <c r="K49" s="71" t="str">
        <f>VLOOKUP(J49,Catalogos!$Q$4:$R$15,2,0)</f>
        <v>SISTEMAS</v>
      </c>
      <c r="L49" s="312">
        <v>0</v>
      </c>
      <c r="M49" s="312">
        <v>0</v>
      </c>
      <c r="N49" s="312">
        <v>0</v>
      </c>
      <c r="O49" s="312">
        <v>0</v>
      </c>
      <c r="P49" s="312">
        <v>0</v>
      </c>
      <c r="Q49" s="312">
        <f t="shared" si="1"/>
        <v>1</v>
      </c>
      <c r="R49" s="13"/>
    </row>
    <row r="50" spans="1:18" s="45" customFormat="1" ht="25.5" x14ac:dyDescent="0.25">
      <c r="A50" s="492" t="s">
        <v>1716</v>
      </c>
      <c r="B50" s="71" t="s">
        <v>1719</v>
      </c>
      <c r="C50" s="492" t="s">
        <v>1722</v>
      </c>
      <c r="D50" s="72">
        <v>5</v>
      </c>
      <c r="E50" s="492" t="str">
        <f t="shared" si="19"/>
        <v>28_382_ECD</v>
      </c>
      <c r="F50" s="220" t="s">
        <v>1213</v>
      </c>
      <c r="G50" s="71">
        <f t="shared" ref="G50:G52" si="20">LEN(E50)</f>
        <v>10</v>
      </c>
      <c r="H50" s="492" t="str">
        <f t="shared" si="16"/>
        <v>…/SISTEMAS/DYP_PP/Acrónimo de la Aplicación/...</v>
      </c>
      <c r="I50" s="71">
        <f t="shared" ref="I50:I52" si="21">LEN(H50)</f>
        <v>47</v>
      </c>
      <c r="J50" s="71" t="s">
        <v>1596</v>
      </c>
      <c r="K50" s="71" t="str">
        <f>VLOOKUP(J50,Catalogos!$Q$4:$R$15,2,0)</f>
        <v>SISTEMAS</v>
      </c>
      <c r="L50" s="312">
        <v>0</v>
      </c>
      <c r="M50" s="312">
        <v>0</v>
      </c>
      <c r="N50" s="312">
        <v>0</v>
      </c>
      <c r="O50" s="312">
        <v>0</v>
      </c>
      <c r="P50" s="312">
        <v>0</v>
      </c>
      <c r="Q50" s="312">
        <f t="shared" si="1"/>
        <v>1</v>
      </c>
      <c r="R50" s="552" t="s">
        <v>1709</v>
      </c>
    </row>
    <row r="51" spans="1:18" s="45" customFormat="1" ht="25.5" x14ac:dyDescent="0.25">
      <c r="A51" s="492" t="s">
        <v>1717</v>
      </c>
      <c r="B51" s="71" t="s">
        <v>1720</v>
      </c>
      <c r="C51" s="492" t="s">
        <v>1723</v>
      </c>
      <c r="D51" s="72">
        <v>5</v>
      </c>
      <c r="E51" s="492" t="str">
        <f t="shared" si="19"/>
        <v>28_382_EVC</v>
      </c>
      <c r="F51" s="220" t="s">
        <v>1213</v>
      </c>
      <c r="G51" s="71">
        <f t="shared" si="20"/>
        <v>10</v>
      </c>
      <c r="H51" s="492" t="str">
        <f t="shared" si="16"/>
        <v>…/SISTEMAS/DYP_PP/Acrónimo de la Aplicación/...</v>
      </c>
      <c r="I51" s="71">
        <f t="shared" si="21"/>
        <v>47</v>
      </c>
      <c r="J51" s="71" t="s">
        <v>1596</v>
      </c>
      <c r="K51" s="71" t="str">
        <f>VLOOKUP(J51,Catalogos!$Q$4:$R$15,2,0)</f>
        <v>SISTEMAS</v>
      </c>
      <c r="L51" s="312">
        <v>0</v>
      </c>
      <c r="M51" s="312">
        <v>0</v>
      </c>
      <c r="N51" s="312">
        <v>0</v>
      </c>
      <c r="O51" s="312">
        <v>0</v>
      </c>
      <c r="P51" s="312">
        <v>0</v>
      </c>
      <c r="Q51" s="312">
        <f t="shared" si="1"/>
        <v>1</v>
      </c>
      <c r="R51" s="552" t="s">
        <v>1709</v>
      </c>
    </row>
    <row r="52" spans="1:18" s="45" customFormat="1" ht="25.5" x14ac:dyDescent="0.25">
      <c r="A52" s="492" t="s">
        <v>1718</v>
      </c>
      <c r="B52" s="71" t="s">
        <v>1721</v>
      </c>
      <c r="C52" s="492" t="s">
        <v>1724</v>
      </c>
      <c r="D52" s="72">
        <v>5</v>
      </c>
      <c r="E52" s="492" t="str">
        <f t="shared" si="19"/>
        <v>28_382_EMA</v>
      </c>
      <c r="F52" s="220" t="s">
        <v>1213</v>
      </c>
      <c r="G52" s="71">
        <f t="shared" si="20"/>
        <v>10</v>
      </c>
      <c r="H52" s="492" t="str">
        <f t="shared" si="16"/>
        <v>…/SISTEMAS/DYP_PP/Acrónimo de la Aplicación/...</v>
      </c>
      <c r="I52" s="71">
        <f t="shared" si="21"/>
        <v>47</v>
      </c>
      <c r="J52" s="71" t="s">
        <v>1596</v>
      </c>
      <c r="K52" s="71" t="str">
        <f>VLOOKUP(J52,Catalogos!$Q$4:$R$15,2,0)</f>
        <v>SISTEMAS</v>
      </c>
      <c r="L52" s="312">
        <v>0</v>
      </c>
      <c r="M52" s="312">
        <v>0</v>
      </c>
      <c r="N52" s="312">
        <v>0</v>
      </c>
      <c r="O52" s="312">
        <v>0</v>
      </c>
      <c r="P52" s="312">
        <v>0</v>
      </c>
      <c r="Q52" s="312">
        <f t="shared" si="1"/>
        <v>1</v>
      </c>
      <c r="R52" s="552" t="s">
        <v>1709</v>
      </c>
    </row>
    <row r="53" spans="1:18" s="45" customFormat="1" ht="23.1" customHeight="1" x14ac:dyDescent="0.25">
      <c r="A53" s="492" t="s">
        <v>57</v>
      </c>
      <c r="B53" s="71" t="s">
        <v>243</v>
      </c>
      <c r="C53" s="47" t="s">
        <v>215</v>
      </c>
      <c r="D53" s="72">
        <v>3</v>
      </c>
      <c r="E53" s="492" t="str">
        <f t="shared" si="19"/>
        <v>28_382_FRM</v>
      </c>
      <c r="F53" s="47"/>
      <c r="G53" s="71">
        <f t="shared" si="17"/>
        <v>10</v>
      </c>
      <c r="H53" s="492" t="str">
        <f t="shared" si="16"/>
        <v>…/SISTEMAS/DYP_PP/Acrónimo de la Aplicación/...</v>
      </c>
      <c r="I53" s="71">
        <f t="shared" si="18"/>
        <v>47</v>
      </c>
      <c r="J53" s="71" t="s">
        <v>1596</v>
      </c>
      <c r="K53" s="71" t="str">
        <f>VLOOKUP(J53,Catalogos!$Q$4:$R$15,2,0)</f>
        <v>SISTEMAS</v>
      </c>
      <c r="L53" s="312">
        <v>0</v>
      </c>
      <c r="M53" s="312">
        <v>0</v>
      </c>
      <c r="N53" s="312">
        <v>0</v>
      </c>
      <c r="O53" s="312">
        <v>0</v>
      </c>
      <c r="P53" s="312">
        <v>0</v>
      </c>
      <c r="Q53" s="312">
        <f t="shared" si="1"/>
        <v>1</v>
      </c>
      <c r="R53" s="13"/>
    </row>
    <row r="54" spans="1:18" s="45" customFormat="1" ht="38.25" x14ac:dyDescent="0.25">
      <c r="A54" s="492" t="s">
        <v>58</v>
      </c>
      <c r="B54" s="71" t="s">
        <v>59</v>
      </c>
      <c r="C54" s="47" t="s">
        <v>60</v>
      </c>
      <c r="D54" s="72">
        <v>3</v>
      </c>
      <c r="E54" s="492" t="str">
        <f t="shared" si="19"/>
        <v>28_382_GLO</v>
      </c>
      <c r="F54" s="220" t="s">
        <v>1214</v>
      </c>
      <c r="G54" s="71">
        <f t="shared" si="17"/>
        <v>10</v>
      </c>
      <c r="H54" s="492" t="str">
        <f t="shared" si="16"/>
        <v>…/SISTEMAS/DYP_PP/Acrónimo de la Aplicación/...</v>
      </c>
      <c r="I54" s="71">
        <f t="shared" si="18"/>
        <v>47</v>
      </c>
      <c r="J54" s="71" t="s">
        <v>1598</v>
      </c>
      <c r="K54" s="71" t="str">
        <f>VLOOKUP(J54,Catalogos!$Q$4:$R$15,2,0)</f>
        <v>SISTEMAS</v>
      </c>
      <c r="L54" s="312">
        <v>0</v>
      </c>
      <c r="M54" s="312">
        <v>0</v>
      </c>
      <c r="N54" s="312">
        <v>0</v>
      </c>
      <c r="O54" s="312">
        <v>0</v>
      </c>
      <c r="P54" s="312">
        <v>0</v>
      </c>
      <c r="Q54" s="312">
        <f t="shared" si="1"/>
        <v>1</v>
      </c>
      <c r="R54" s="13"/>
    </row>
    <row r="55" spans="1:18" s="45" customFormat="1" ht="23.1" customHeight="1" x14ac:dyDescent="0.25">
      <c r="A55" s="492" t="s">
        <v>61</v>
      </c>
      <c r="B55" s="71" t="s">
        <v>62</v>
      </c>
      <c r="C55" s="47" t="s">
        <v>63</v>
      </c>
      <c r="D55" s="72">
        <v>3</v>
      </c>
      <c r="E55" s="492" t="str">
        <f t="shared" si="19"/>
        <v>28_382_GAO_IDEWEB</v>
      </c>
      <c r="F55" s="47"/>
      <c r="G55" s="71">
        <f t="shared" si="17"/>
        <v>17</v>
      </c>
      <c r="H55" s="492" t="str">
        <f t="shared" si="16"/>
        <v>…/SISTEMAS/DYP_PP/Acrónimo de la Aplicación/...</v>
      </c>
      <c r="I55" s="71">
        <f t="shared" si="18"/>
        <v>47</v>
      </c>
      <c r="J55" s="71" t="s">
        <v>1470</v>
      </c>
      <c r="K55" s="71" t="str">
        <f>VLOOKUP(J55,Catalogos!$Q$4:$R$15,2,0)</f>
        <v>SISTEMAS</v>
      </c>
      <c r="L55" s="312">
        <v>0</v>
      </c>
      <c r="M55" s="312">
        <v>0</v>
      </c>
      <c r="N55" s="312">
        <v>0</v>
      </c>
      <c r="O55" s="312">
        <v>1</v>
      </c>
      <c r="P55" s="312">
        <v>0</v>
      </c>
      <c r="Q55" s="312">
        <f t="shared" si="1"/>
        <v>1</v>
      </c>
      <c r="R55" s="13"/>
    </row>
    <row r="56" spans="1:18" s="45" customFormat="1" ht="31.5" customHeight="1" x14ac:dyDescent="0.25">
      <c r="A56" s="492" t="s">
        <v>64</v>
      </c>
      <c r="B56" s="71" t="s">
        <v>65</v>
      </c>
      <c r="C56" s="47" t="s">
        <v>66</v>
      </c>
      <c r="D56" s="72">
        <v>3</v>
      </c>
      <c r="E56" s="492" t="str">
        <f t="shared" si="19"/>
        <v>28_382_MAC_IDEWEB</v>
      </c>
      <c r="F56" s="47"/>
      <c r="G56" s="71">
        <f t="shared" si="17"/>
        <v>17</v>
      </c>
      <c r="H56" s="492" t="str">
        <f t="shared" si="16"/>
        <v>…/SISTEMAS/DYP_PP/Acrónimo de la Aplicación/...</v>
      </c>
      <c r="I56" s="71">
        <f t="shared" si="18"/>
        <v>47</v>
      </c>
      <c r="J56" s="71" t="s">
        <v>1470</v>
      </c>
      <c r="K56" s="71" t="str">
        <f>VLOOKUP(J56,Catalogos!$Q$4:$R$15,2,0)</f>
        <v>SISTEMAS</v>
      </c>
      <c r="L56" s="312">
        <v>0</v>
      </c>
      <c r="M56" s="312">
        <v>0</v>
      </c>
      <c r="N56" s="312">
        <v>0</v>
      </c>
      <c r="O56" s="312">
        <v>1</v>
      </c>
      <c r="P56" s="312">
        <v>0</v>
      </c>
      <c r="Q56" s="312">
        <f t="shared" si="1"/>
        <v>1</v>
      </c>
      <c r="R56" s="13"/>
    </row>
    <row r="57" spans="1:18" s="45" customFormat="1" ht="44.25" customHeight="1" x14ac:dyDescent="0.25">
      <c r="A57" s="492" t="s">
        <v>67</v>
      </c>
      <c r="B57" s="71" t="s">
        <v>68</v>
      </c>
      <c r="C57" s="47" t="s">
        <v>69</v>
      </c>
      <c r="D57" s="72">
        <v>3</v>
      </c>
      <c r="E57" s="492" t="str">
        <f t="shared" si="19"/>
        <v>28_382_MAI_IDEWEB</v>
      </c>
      <c r="F57" s="47"/>
      <c r="G57" s="71">
        <f t="shared" si="17"/>
        <v>17</v>
      </c>
      <c r="H57" s="492" t="str">
        <f t="shared" si="16"/>
        <v>…/SISTEMAS/DYP_PP/Acrónimo de la Aplicación/...</v>
      </c>
      <c r="I57" s="71">
        <f t="shared" si="18"/>
        <v>47</v>
      </c>
      <c r="J57" s="71" t="s">
        <v>1598</v>
      </c>
      <c r="K57" s="71" t="str">
        <f>VLOOKUP(J57,Catalogos!$Q$4:$R$15,2,0)</f>
        <v>SISTEMAS</v>
      </c>
      <c r="L57" s="312">
        <v>0</v>
      </c>
      <c r="M57" s="312">
        <v>0</v>
      </c>
      <c r="N57" s="312">
        <v>0</v>
      </c>
      <c r="O57" s="312">
        <v>1</v>
      </c>
      <c r="P57" s="312">
        <v>0</v>
      </c>
      <c r="Q57" s="312">
        <f t="shared" si="1"/>
        <v>1</v>
      </c>
      <c r="R57" s="13"/>
    </row>
    <row r="58" spans="1:18" s="45" customFormat="1" x14ac:dyDescent="0.25">
      <c r="A58" s="492" t="s">
        <v>295</v>
      </c>
      <c r="B58" s="71" t="s">
        <v>291</v>
      </c>
      <c r="C58" s="47"/>
      <c r="D58" s="72">
        <v>3</v>
      </c>
      <c r="E58" s="492" t="str">
        <f t="shared" si="19"/>
        <v>28_382_MOV</v>
      </c>
      <c r="F58" s="47" t="s">
        <v>1802</v>
      </c>
      <c r="G58" s="71">
        <f t="shared" si="17"/>
        <v>10</v>
      </c>
      <c r="H58" s="492" t="str">
        <f t="shared" si="16"/>
        <v>…/SISTEMAS/DYP_PP/Acrónimo de la Aplicación/...</v>
      </c>
      <c r="I58" s="71">
        <f t="shared" si="18"/>
        <v>47</v>
      </c>
      <c r="J58" s="71" t="s">
        <v>1470</v>
      </c>
      <c r="K58" s="71" t="str">
        <f>VLOOKUP(J58,Catalogos!$Q$4:$R$15,2,0)</f>
        <v>SISTEMAS</v>
      </c>
      <c r="L58" s="312">
        <v>0</v>
      </c>
      <c r="M58" s="312">
        <v>0</v>
      </c>
      <c r="N58" s="312">
        <v>0</v>
      </c>
      <c r="O58" s="312">
        <v>0</v>
      </c>
      <c r="P58" s="312">
        <v>0</v>
      </c>
      <c r="Q58" s="312">
        <f t="shared" si="1"/>
        <v>1</v>
      </c>
      <c r="R58" s="13"/>
    </row>
    <row r="59" spans="1:18" s="45" customFormat="1" ht="33.75" customHeight="1" x14ac:dyDescent="0.25">
      <c r="A59" s="492" t="s">
        <v>1747</v>
      </c>
      <c r="B59" s="71" t="s">
        <v>231</v>
      </c>
      <c r="C59" s="47" t="s">
        <v>221</v>
      </c>
      <c r="D59" s="72">
        <v>3</v>
      </c>
      <c r="E59" s="492" t="str">
        <f t="shared" si="19"/>
        <v>28_382_MCA</v>
      </c>
      <c r="F59" s="47" t="s">
        <v>1785</v>
      </c>
      <c r="G59" s="71">
        <f t="shared" si="17"/>
        <v>10</v>
      </c>
      <c r="H59" s="492" t="str">
        <f t="shared" si="16"/>
        <v>…/SISTEMAS/DYP_PP/Acrónimo de la Aplicación/...</v>
      </c>
      <c r="I59" s="71">
        <f t="shared" si="18"/>
        <v>47</v>
      </c>
      <c r="J59" s="71" t="s">
        <v>1596</v>
      </c>
      <c r="K59" s="71" t="str">
        <f>VLOOKUP(J59,Catalogos!$Q$4:$R$15,2,0)</f>
        <v>SISTEMAS</v>
      </c>
      <c r="L59" s="312">
        <v>0</v>
      </c>
      <c r="M59" s="312">
        <v>0</v>
      </c>
      <c r="N59" s="312">
        <v>0</v>
      </c>
      <c r="O59" s="312">
        <v>0</v>
      </c>
      <c r="P59" s="312">
        <v>0</v>
      </c>
      <c r="Q59" s="312">
        <f t="shared" si="1"/>
        <v>1</v>
      </c>
      <c r="R59" s="13"/>
    </row>
    <row r="60" spans="1:18" s="45" customFormat="1" ht="32.25" customHeight="1" x14ac:dyDescent="0.25">
      <c r="A60" s="492" t="s">
        <v>183</v>
      </c>
      <c r="B60" s="71" t="s">
        <v>187</v>
      </c>
      <c r="C60" s="47" t="s">
        <v>222</v>
      </c>
      <c r="D60" s="72">
        <v>3</v>
      </c>
      <c r="E60" s="492" t="str">
        <f t="shared" si="19"/>
        <v>28_382_MRT</v>
      </c>
      <c r="F60" s="47"/>
      <c r="G60" s="71">
        <f t="shared" si="17"/>
        <v>10</v>
      </c>
      <c r="H60" s="492" t="str">
        <f t="shared" si="16"/>
        <v>…/SISTEMAS/DYP_PP/Acrónimo de la Aplicación/...</v>
      </c>
      <c r="I60" s="71">
        <f t="shared" si="18"/>
        <v>47</v>
      </c>
      <c r="J60" s="71" t="s">
        <v>1470</v>
      </c>
      <c r="K60" s="71" t="str">
        <f>VLOOKUP(J60,Catalogos!$Q$4:$R$15,2,0)</f>
        <v>SISTEMAS</v>
      </c>
      <c r="L60" s="312">
        <v>0</v>
      </c>
      <c r="M60" s="312">
        <v>0</v>
      </c>
      <c r="N60" s="312">
        <v>0</v>
      </c>
      <c r="O60" s="312">
        <v>0</v>
      </c>
      <c r="P60" s="312">
        <v>0</v>
      </c>
      <c r="Q60" s="312">
        <f t="shared" si="1"/>
        <v>1</v>
      </c>
      <c r="R60" s="13"/>
    </row>
    <row r="61" spans="1:18" s="45" customFormat="1" ht="44.25" customHeight="1" x14ac:dyDescent="0.25">
      <c r="A61" s="492" t="s">
        <v>70</v>
      </c>
      <c r="B61" s="71" t="s">
        <v>71</v>
      </c>
      <c r="C61" s="47" t="s">
        <v>72</v>
      </c>
      <c r="D61" s="72">
        <v>3</v>
      </c>
      <c r="E61" s="492" t="str">
        <f t="shared" si="19"/>
        <v>28_382_MTB</v>
      </c>
      <c r="F61" s="220" t="s">
        <v>1214</v>
      </c>
      <c r="G61" s="71">
        <f t="shared" si="17"/>
        <v>10</v>
      </c>
      <c r="H61" s="492" t="str">
        <f t="shared" si="16"/>
        <v>…/SISTEMAS/DYP_PP/Acrónimo de la Aplicación/...</v>
      </c>
      <c r="I61" s="71">
        <f t="shared" si="18"/>
        <v>47</v>
      </c>
      <c r="J61" s="71" t="s">
        <v>1596</v>
      </c>
      <c r="K61" s="71" t="str">
        <f>VLOOKUP(J61,Catalogos!$Q$4:$R$15,2,0)</f>
        <v>SISTEMAS</v>
      </c>
      <c r="L61" s="312">
        <v>0</v>
      </c>
      <c r="M61" s="312">
        <v>0</v>
      </c>
      <c r="N61" s="312">
        <v>0</v>
      </c>
      <c r="O61" s="312">
        <v>0</v>
      </c>
      <c r="P61" s="312">
        <v>0</v>
      </c>
      <c r="Q61" s="312">
        <f t="shared" si="1"/>
        <v>1</v>
      </c>
      <c r="R61" s="13"/>
    </row>
    <row r="62" spans="1:18" s="45" customFormat="1" ht="25.5" x14ac:dyDescent="0.25">
      <c r="A62" s="492" t="s">
        <v>1725</v>
      </c>
      <c r="B62" s="71" t="s">
        <v>1727</v>
      </c>
      <c r="C62" s="492" t="s">
        <v>1729</v>
      </c>
      <c r="D62" s="72">
        <v>5</v>
      </c>
      <c r="E62" s="492" t="str">
        <f t="shared" si="19"/>
        <v>28_382_MTC</v>
      </c>
      <c r="F62" s="220" t="s">
        <v>1213</v>
      </c>
      <c r="G62" s="71">
        <f t="shared" si="17"/>
        <v>10</v>
      </c>
      <c r="H62" s="492" t="str">
        <f t="shared" si="16"/>
        <v>…/SISTEMAS/DYP_PP/Acrónimo de la Aplicación/...</v>
      </c>
      <c r="I62" s="71">
        <f t="shared" si="18"/>
        <v>47</v>
      </c>
      <c r="J62" s="71" t="s">
        <v>524</v>
      </c>
      <c r="K62" s="71" t="str">
        <f>VLOOKUP(J62,Catalogos!$Q$4:$R$15,2,0)</f>
        <v>SISTEMAS</v>
      </c>
      <c r="L62" s="312">
        <v>0</v>
      </c>
      <c r="M62" s="312">
        <v>0</v>
      </c>
      <c r="N62" s="312">
        <v>0</v>
      </c>
      <c r="O62" s="312">
        <v>0</v>
      </c>
      <c r="P62" s="312">
        <v>0</v>
      </c>
      <c r="Q62" s="312">
        <f t="shared" si="1"/>
        <v>1</v>
      </c>
      <c r="R62" s="560" t="s">
        <v>1709</v>
      </c>
    </row>
    <row r="63" spans="1:18" s="45" customFormat="1" ht="25.5" x14ac:dyDescent="0.25">
      <c r="A63" s="492" t="s">
        <v>1726</v>
      </c>
      <c r="B63" s="71" t="s">
        <v>1728</v>
      </c>
      <c r="C63" s="492" t="s">
        <v>1730</v>
      </c>
      <c r="D63" s="72">
        <v>5</v>
      </c>
      <c r="E63" s="492" t="str">
        <f t="shared" si="19"/>
        <v>28_382_MTP</v>
      </c>
      <c r="F63" s="220" t="s">
        <v>1213</v>
      </c>
      <c r="G63" s="71">
        <f t="shared" si="17"/>
        <v>10</v>
      </c>
      <c r="H63" s="492" t="str">
        <f t="shared" si="16"/>
        <v>…/SISTEMAS/DYP_PP/Acrónimo de la Aplicación/...</v>
      </c>
      <c r="I63" s="71">
        <f t="shared" si="18"/>
        <v>47</v>
      </c>
      <c r="J63" s="71" t="s">
        <v>524</v>
      </c>
      <c r="K63" s="71" t="str">
        <f>VLOOKUP(J63,Catalogos!$Q$4:$R$15,2,0)</f>
        <v>SISTEMAS</v>
      </c>
      <c r="L63" s="312">
        <v>0</v>
      </c>
      <c r="M63" s="312">
        <v>0</v>
      </c>
      <c r="N63" s="312">
        <v>0</v>
      </c>
      <c r="O63" s="312">
        <v>0</v>
      </c>
      <c r="P63" s="312">
        <v>0</v>
      </c>
      <c r="Q63" s="312">
        <f t="shared" si="1"/>
        <v>1</v>
      </c>
      <c r="R63" s="560" t="s">
        <v>1709</v>
      </c>
    </row>
    <row r="64" spans="1:18" s="45" customFormat="1" ht="25.5" x14ac:dyDescent="0.25">
      <c r="A64" s="492" t="s">
        <v>1731</v>
      </c>
      <c r="B64" s="71" t="s">
        <v>1732</v>
      </c>
      <c r="C64" s="492" t="s">
        <v>1733</v>
      </c>
      <c r="D64" s="72">
        <v>5</v>
      </c>
      <c r="E64" s="492" t="str">
        <f t="shared" si="19"/>
        <v>28_382_MAN</v>
      </c>
      <c r="F64" s="220" t="s">
        <v>1213</v>
      </c>
      <c r="G64" s="71">
        <f t="shared" ref="G64" si="22">LEN(E64)</f>
        <v>10</v>
      </c>
      <c r="H64" s="492" t="str">
        <f t="shared" si="16"/>
        <v>…/SISTEMAS/DYP_PP/Acrónimo de la Aplicación/...</v>
      </c>
      <c r="I64" s="71">
        <f t="shared" ref="I64" si="23">LEN(H64)</f>
        <v>47</v>
      </c>
      <c r="J64" s="71" t="s">
        <v>524</v>
      </c>
      <c r="K64" s="71" t="str">
        <f>VLOOKUP(J64,Catalogos!$Q$4:$R$15,2,0)</f>
        <v>SISTEMAS</v>
      </c>
      <c r="L64" s="312">
        <v>0</v>
      </c>
      <c r="M64" s="312">
        <v>0</v>
      </c>
      <c r="N64" s="312">
        <v>0</v>
      </c>
      <c r="O64" s="312">
        <v>0</v>
      </c>
      <c r="P64" s="312">
        <v>0</v>
      </c>
      <c r="Q64" s="312">
        <f t="shared" si="1"/>
        <v>1</v>
      </c>
      <c r="R64" s="560" t="s">
        <v>1709</v>
      </c>
    </row>
    <row r="65" spans="1:18" s="45" customFormat="1" ht="25.5" x14ac:dyDescent="0.25">
      <c r="A65" s="492" t="s">
        <v>1742</v>
      </c>
      <c r="B65" s="71" t="s">
        <v>1743</v>
      </c>
      <c r="C65" s="492" t="s">
        <v>1744</v>
      </c>
      <c r="D65" s="72">
        <v>5</v>
      </c>
      <c r="E65" s="492" t="str">
        <f t="shared" si="19"/>
        <v>28_382_MAZ</v>
      </c>
      <c r="F65" s="492" t="s">
        <v>1769</v>
      </c>
      <c r="G65" s="71">
        <f t="shared" ref="G65" si="24">LEN(E65)</f>
        <v>10</v>
      </c>
      <c r="H65" s="492" t="str">
        <f t="shared" si="16"/>
        <v>…/PROYECTOS/DYP_PP/Acrónimo de la Aplicación/363/...</v>
      </c>
      <c r="I65" s="71">
        <f t="shared" ref="I65" si="25">LEN(H65)</f>
        <v>52</v>
      </c>
      <c r="J65" s="71" t="s">
        <v>542</v>
      </c>
      <c r="K65" s="71" t="str">
        <f>VLOOKUP(J65,Catalogos!$Q$4:$R$15,2,0)</f>
        <v>PROYECTOS</v>
      </c>
      <c r="L65" s="312">
        <v>0</v>
      </c>
      <c r="M65" s="312">
        <v>0</v>
      </c>
      <c r="N65" s="312">
        <v>0</v>
      </c>
      <c r="O65" s="312">
        <v>0</v>
      </c>
      <c r="P65" s="312">
        <v>0</v>
      </c>
      <c r="Q65" s="312">
        <f t="shared" si="1"/>
        <v>1</v>
      </c>
      <c r="R65" s="561" t="s">
        <v>1703</v>
      </c>
    </row>
    <row r="66" spans="1:18" s="45" customFormat="1" ht="43.5" customHeight="1" x14ac:dyDescent="0.25">
      <c r="A66" s="492" t="s">
        <v>73</v>
      </c>
      <c r="B66" s="71" t="s">
        <v>74</v>
      </c>
      <c r="C66" s="47" t="s">
        <v>75</v>
      </c>
      <c r="D66" s="72">
        <v>3</v>
      </c>
      <c r="E66" s="492" t="str">
        <f t="shared" si="19"/>
        <v>28_382_MCU</v>
      </c>
      <c r="F66" s="220" t="s">
        <v>1214</v>
      </c>
      <c r="G66" s="71">
        <f t="shared" si="17"/>
        <v>10</v>
      </c>
      <c r="H66" s="492" t="str">
        <f t="shared" si="16"/>
        <v>…/SISTEMAS/DYP_PP/Acrónimo de la Aplicación/...</v>
      </c>
      <c r="I66" s="71">
        <f t="shared" si="18"/>
        <v>47</v>
      </c>
      <c r="J66" s="71" t="s">
        <v>524</v>
      </c>
      <c r="K66" s="71" t="str">
        <f>VLOOKUP(J66,Catalogos!$Q$4:$R$15,2,0)</f>
        <v>SISTEMAS</v>
      </c>
      <c r="L66" s="312">
        <v>0</v>
      </c>
      <c r="M66" s="312">
        <v>0</v>
      </c>
      <c r="N66" s="312">
        <v>0</v>
      </c>
      <c r="O66" s="312">
        <v>0</v>
      </c>
      <c r="P66" s="312">
        <v>0</v>
      </c>
      <c r="Q66" s="312">
        <f t="shared" si="1"/>
        <v>1</v>
      </c>
      <c r="R66" s="13"/>
    </row>
    <row r="67" spans="1:18" s="45" customFormat="1" ht="23.1" customHeight="1" x14ac:dyDescent="0.25">
      <c r="A67" s="492" t="s">
        <v>76</v>
      </c>
      <c r="B67" s="71" t="s">
        <v>77</v>
      </c>
      <c r="C67" s="47" t="s">
        <v>78</v>
      </c>
      <c r="D67" s="72">
        <v>3</v>
      </c>
      <c r="E67" s="492" t="str">
        <f t="shared" si="19"/>
        <v>28_382_MSF_IDEWEB</v>
      </c>
      <c r="F67" s="47"/>
      <c r="G67" s="71">
        <f t="shared" si="17"/>
        <v>17</v>
      </c>
      <c r="H67" s="492" t="str">
        <f t="shared" si="16"/>
        <v>…/SISTEMAS/DYP_PP/Acrónimo de la Aplicación/...</v>
      </c>
      <c r="I67" s="71">
        <f t="shared" si="18"/>
        <v>47</v>
      </c>
      <c r="J67" s="145" t="s">
        <v>543</v>
      </c>
      <c r="K67" s="71" t="str">
        <f>VLOOKUP(J67,Catalogos!$Q$4:$R$15,2,0)</f>
        <v>SISTEMAS</v>
      </c>
      <c r="L67" s="312">
        <v>0</v>
      </c>
      <c r="M67" s="312">
        <v>0</v>
      </c>
      <c r="N67" s="312">
        <v>0</v>
      </c>
      <c r="O67" s="312">
        <v>1</v>
      </c>
      <c r="P67" s="312">
        <v>0</v>
      </c>
      <c r="Q67" s="312">
        <f t="shared" si="1"/>
        <v>1</v>
      </c>
      <c r="R67" s="13"/>
    </row>
    <row r="68" spans="1:18" s="45" customFormat="1" ht="38.25" customHeight="1" x14ac:dyDescent="0.25">
      <c r="A68" s="492" t="s">
        <v>79</v>
      </c>
      <c r="B68" s="71" t="s">
        <v>80</v>
      </c>
      <c r="C68" s="47" t="s">
        <v>81</v>
      </c>
      <c r="D68" s="72">
        <v>3</v>
      </c>
      <c r="E68" s="492" t="str">
        <f t="shared" si="19"/>
        <v>28_382_MPI</v>
      </c>
      <c r="F68" s="47"/>
      <c r="G68" s="71">
        <f t="shared" si="17"/>
        <v>10</v>
      </c>
      <c r="H68" s="492" t="str">
        <f t="shared" si="16"/>
        <v>…/SISTEMAS/DYP_PP/Acrónimo de la Aplicación/...</v>
      </c>
      <c r="I68" s="71">
        <f t="shared" si="18"/>
        <v>47</v>
      </c>
      <c r="J68" s="145" t="s">
        <v>543</v>
      </c>
      <c r="K68" s="71" t="str">
        <f>VLOOKUP(J68,Catalogos!$Q$4:$R$15,2,0)</f>
        <v>SISTEMAS</v>
      </c>
      <c r="L68" s="312">
        <v>0</v>
      </c>
      <c r="M68" s="312">
        <v>0</v>
      </c>
      <c r="N68" s="312">
        <v>0</v>
      </c>
      <c r="O68" s="312">
        <v>0</v>
      </c>
      <c r="P68" s="312">
        <v>0</v>
      </c>
      <c r="Q68" s="312">
        <f t="shared" si="1"/>
        <v>1</v>
      </c>
      <c r="R68" s="13"/>
    </row>
    <row r="69" spans="1:18" s="45" customFormat="1" ht="31.5" customHeight="1" x14ac:dyDescent="0.25">
      <c r="A69" s="492" t="s">
        <v>112</v>
      </c>
      <c r="B69" s="71" t="s">
        <v>82</v>
      </c>
      <c r="C69" s="47" t="s">
        <v>83</v>
      </c>
      <c r="D69" s="72">
        <v>3</v>
      </c>
      <c r="E69" s="492" t="str">
        <f t="shared" si="19"/>
        <v>28_382_MLF</v>
      </c>
      <c r="F69" s="47"/>
      <c r="G69" s="71">
        <f t="shared" si="17"/>
        <v>10</v>
      </c>
      <c r="H69" s="492" t="str">
        <f t="shared" si="16"/>
        <v>…/SISTEMAS/DYP_PP/Acrónimo de la Aplicación/...</v>
      </c>
      <c r="I69" s="71">
        <f t="shared" si="18"/>
        <v>47</v>
      </c>
      <c r="J69" s="71" t="s">
        <v>505</v>
      </c>
      <c r="K69" s="71" t="str">
        <f>VLOOKUP(J69,Catalogos!$Q$4:$R$15,2,0)</f>
        <v>SISTEMAS</v>
      </c>
      <c r="L69" s="312">
        <v>0</v>
      </c>
      <c r="M69" s="312">
        <v>0</v>
      </c>
      <c r="N69" s="312">
        <v>0</v>
      </c>
      <c r="O69" s="312">
        <v>0</v>
      </c>
      <c r="P69" s="312">
        <v>0</v>
      </c>
      <c r="Q69" s="312">
        <f t="shared" si="1"/>
        <v>1</v>
      </c>
      <c r="R69" s="13"/>
    </row>
    <row r="70" spans="1:18" s="45" customFormat="1" ht="38.25" x14ac:dyDescent="0.25">
      <c r="A70" s="492" t="s">
        <v>296</v>
      </c>
      <c r="B70" s="71" t="s">
        <v>292</v>
      </c>
      <c r="C70" s="47"/>
      <c r="D70" s="72">
        <v>3</v>
      </c>
      <c r="E70" s="492" t="str">
        <f t="shared" si="19"/>
        <v>28_382_VRM</v>
      </c>
      <c r="F70" s="220" t="s">
        <v>1214</v>
      </c>
      <c r="G70" s="71">
        <f t="shared" si="17"/>
        <v>10</v>
      </c>
      <c r="H70" s="492" t="str">
        <f t="shared" si="16"/>
        <v>…/SISTEMAS/DYP_PP/Acrónimo de la Aplicación/...</v>
      </c>
      <c r="I70" s="71">
        <f t="shared" si="18"/>
        <v>47</v>
      </c>
      <c r="J70" s="71" t="s">
        <v>506</v>
      </c>
      <c r="K70" s="71" t="str">
        <f>VLOOKUP(J70,Catalogos!$Q$4:$R$15,2,0)</f>
        <v>SISTEMAS</v>
      </c>
      <c r="L70" s="312">
        <v>0</v>
      </c>
      <c r="M70" s="312">
        <v>0</v>
      </c>
      <c r="N70" s="312">
        <v>0</v>
      </c>
      <c r="O70" s="312">
        <v>0</v>
      </c>
      <c r="P70" s="312">
        <v>0</v>
      </c>
      <c r="Q70" s="312">
        <f t="shared" si="1"/>
        <v>1</v>
      </c>
      <c r="R70" s="13"/>
    </row>
    <row r="71" spans="1:18" s="45" customFormat="1" x14ac:dyDescent="0.25">
      <c r="A71" s="492" t="s">
        <v>84</v>
      </c>
      <c r="B71" s="71" t="s">
        <v>85</v>
      </c>
      <c r="C71" s="47" t="s">
        <v>86</v>
      </c>
      <c r="D71" s="72">
        <v>3</v>
      </c>
      <c r="E71" s="492" t="str">
        <f t="shared" si="19"/>
        <v>28_382_NAD</v>
      </c>
      <c r="F71" s="47"/>
      <c r="G71" s="71">
        <f t="shared" si="17"/>
        <v>10</v>
      </c>
      <c r="H71" s="492" t="str">
        <f t="shared" si="16"/>
        <v>…/SISTEMAS/DYP_PP/Acrónimo de la Aplicación/...</v>
      </c>
      <c r="I71" s="71">
        <f t="shared" si="18"/>
        <v>47</v>
      </c>
      <c r="J71" s="145" t="s">
        <v>543</v>
      </c>
      <c r="K71" s="71" t="str">
        <f>VLOOKUP(J71,Catalogos!$Q$4:$R$15,2,0)</f>
        <v>SISTEMAS</v>
      </c>
      <c r="L71" s="312">
        <v>0</v>
      </c>
      <c r="M71" s="312">
        <v>0</v>
      </c>
      <c r="N71" s="312">
        <v>0</v>
      </c>
      <c r="O71" s="312">
        <v>0</v>
      </c>
      <c r="P71" s="312">
        <v>0</v>
      </c>
      <c r="Q71" s="312">
        <f t="shared" si="1"/>
        <v>1</v>
      </c>
      <c r="R71" s="13"/>
    </row>
    <row r="72" spans="1:18" s="45" customFormat="1" ht="25.5" x14ac:dyDescent="0.25">
      <c r="A72" s="492" t="s">
        <v>87</v>
      </c>
      <c r="B72" s="71" t="s">
        <v>88</v>
      </c>
      <c r="C72" s="47" t="s">
        <v>89</v>
      </c>
      <c r="D72" s="72">
        <v>3</v>
      </c>
      <c r="E72" s="492" t="str">
        <f t="shared" si="19"/>
        <v>28_382_PIC_IDEWEB</v>
      </c>
      <c r="F72" s="47"/>
      <c r="G72" s="71">
        <f t="shared" si="17"/>
        <v>17</v>
      </c>
      <c r="H72" s="492" t="str">
        <f t="shared" si="16"/>
        <v>…/PROYECTOS/DYP_PP/Acrónimo de la Aplicación/363/...</v>
      </c>
      <c r="I72" s="71">
        <f t="shared" si="18"/>
        <v>52</v>
      </c>
      <c r="J72" s="71" t="s">
        <v>1594</v>
      </c>
      <c r="K72" s="71" t="str">
        <f>VLOOKUP(J72,Catalogos!$Q$4:$R$15,2,0)</f>
        <v>PROYECTOS</v>
      </c>
      <c r="L72" s="312">
        <v>0</v>
      </c>
      <c r="M72" s="312">
        <v>0</v>
      </c>
      <c r="N72" s="312">
        <v>0</v>
      </c>
      <c r="O72" s="312">
        <v>1</v>
      </c>
      <c r="P72" s="312">
        <v>0</v>
      </c>
      <c r="Q72" s="312">
        <f t="shared" si="1"/>
        <v>1</v>
      </c>
      <c r="R72" s="13"/>
    </row>
    <row r="73" spans="1:18" s="45" customFormat="1" ht="30.75" customHeight="1" x14ac:dyDescent="0.25">
      <c r="A73" s="492" t="s">
        <v>1736</v>
      </c>
      <c r="B73" s="71" t="s">
        <v>1734</v>
      </c>
      <c r="C73" s="492" t="s">
        <v>1735</v>
      </c>
      <c r="D73" s="72">
        <v>3</v>
      </c>
      <c r="E73" s="492" t="str">
        <f t="shared" si="19"/>
        <v>28_382_FPRE</v>
      </c>
      <c r="F73" s="220" t="s">
        <v>1213</v>
      </c>
      <c r="G73" s="71">
        <f t="shared" ref="G73" si="26">LEN(E73)</f>
        <v>11</v>
      </c>
      <c r="H73" s="492" t="str">
        <f t="shared" si="16"/>
        <v>…/SISTEMAS/DYP_PP/Acrónimo de la Aplicación/...</v>
      </c>
      <c r="I73" s="71">
        <f t="shared" ref="I73" si="27">LEN(H73)</f>
        <v>47</v>
      </c>
      <c r="J73" s="71" t="s">
        <v>1596</v>
      </c>
      <c r="K73" s="71" t="str">
        <f>VLOOKUP(J73,Catalogos!$Q$4:$R$15,2,0)</f>
        <v>SISTEMAS</v>
      </c>
      <c r="L73" s="312">
        <v>0</v>
      </c>
      <c r="M73" s="312">
        <v>0</v>
      </c>
      <c r="N73" s="312">
        <v>0</v>
      </c>
      <c r="O73" s="312">
        <v>0</v>
      </c>
      <c r="P73" s="312">
        <v>0</v>
      </c>
      <c r="Q73" s="312">
        <f t="shared" si="1"/>
        <v>1</v>
      </c>
      <c r="R73" s="560"/>
    </row>
    <row r="74" spans="1:18" s="45" customFormat="1" ht="38.25" x14ac:dyDescent="0.25">
      <c r="A74" s="492" t="s">
        <v>297</v>
      </c>
      <c r="B74" s="71" t="s">
        <v>293</v>
      </c>
      <c r="C74" s="47"/>
      <c r="D74" s="72">
        <v>3</v>
      </c>
      <c r="E74" s="492" t="str">
        <f t="shared" si="19"/>
        <v>28_382_RAP</v>
      </c>
      <c r="F74" s="220" t="s">
        <v>1214</v>
      </c>
      <c r="G74" s="71">
        <f t="shared" si="17"/>
        <v>10</v>
      </c>
      <c r="H74" s="492" t="str">
        <f t="shared" si="16"/>
        <v>…/SISTEMAS/DYP_PP/Acrónimo de la Aplicación/...</v>
      </c>
      <c r="I74" s="71">
        <f t="shared" si="18"/>
        <v>47</v>
      </c>
      <c r="J74" s="71" t="s">
        <v>1470</v>
      </c>
      <c r="K74" s="71" t="str">
        <f>VLOOKUP(J74,Catalogos!$Q$4:$R$15,2,0)</f>
        <v>SISTEMAS</v>
      </c>
      <c r="L74" s="312">
        <v>0</v>
      </c>
      <c r="M74" s="312">
        <v>0</v>
      </c>
      <c r="N74" s="312">
        <v>0</v>
      </c>
      <c r="O74" s="312">
        <v>0</v>
      </c>
      <c r="P74" s="312">
        <v>0</v>
      </c>
      <c r="Q74" s="312">
        <f t="shared" si="1"/>
        <v>1</v>
      </c>
      <c r="R74" s="13"/>
    </row>
    <row r="75" spans="1:18" s="45" customFormat="1" ht="23.1" customHeight="1" x14ac:dyDescent="0.25">
      <c r="A75" s="492" t="s">
        <v>298</v>
      </c>
      <c r="B75" s="71" t="s">
        <v>294</v>
      </c>
      <c r="C75" s="47" t="s">
        <v>1737</v>
      </c>
      <c r="D75" s="72">
        <v>3</v>
      </c>
      <c r="E75" s="492" t="str">
        <f t="shared" si="19"/>
        <v>28_382_PBL_IDEWEB</v>
      </c>
      <c r="F75" s="47" t="s">
        <v>301</v>
      </c>
      <c r="G75" s="71">
        <f t="shared" si="17"/>
        <v>17</v>
      </c>
      <c r="H75" s="492" t="str">
        <f t="shared" si="16"/>
        <v>…/SISTEMAS/DYP_PP/Acrónimo de la Aplicación/...</v>
      </c>
      <c r="I75" s="71">
        <f t="shared" si="18"/>
        <v>47</v>
      </c>
      <c r="J75" s="71" t="s">
        <v>1596</v>
      </c>
      <c r="K75" s="71" t="str">
        <f>VLOOKUP(J75,Catalogos!$Q$4:$R$15,2,0)</f>
        <v>SISTEMAS</v>
      </c>
      <c r="L75" s="312">
        <v>0</v>
      </c>
      <c r="M75" s="312">
        <v>0</v>
      </c>
      <c r="N75" s="312">
        <v>0</v>
      </c>
      <c r="O75" s="312">
        <v>1</v>
      </c>
      <c r="P75" s="312">
        <v>0</v>
      </c>
      <c r="Q75" s="312">
        <f t="shared" si="1"/>
        <v>1</v>
      </c>
      <c r="R75" s="13"/>
    </row>
    <row r="76" spans="1:18" s="45" customFormat="1" ht="25.5" x14ac:dyDescent="0.25">
      <c r="A76" s="492" t="s">
        <v>476</v>
      </c>
      <c r="B76" s="71" t="s">
        <v>464</v>
      </c>
      <c r="C76" s="492" t="s">
        <v>1800</v>
      </c>
      <c r="D76" s="72">
        <v>3</v>
      </c>
      <c r="E76" s="492" t="str">
        <f>'Artefactos AVL'!J37</f>
        <v>DLCC18491DE1_RCC</v>
      </c>
      <c r="F76" s="492" t="s">
        <v>1801</v>
      </c>
      <c r="G76" s="71">
        <f t="shared" si="17"/>
        <v>16</v>
      </c>
      <c r="H76" s="492" t="str">
        <f t="shared" ref="H76" si="28">IF(K76=$H$4,CONCATENATE("…/",K76,"/",$G$4,"/",$H$6,"/..."),CONCATENATE("…/",K76,"/",$G$4,"/",$H$6,"/",$B$6,,"/..."))</f>
        <v>…/PROYECTOS/DYP_PP/Acrónimo de la Aplicación/363/...</v>
      </c>
      <c r="I76" s="71">
        <f t="shared" si="18"/>
        <v>52</v>
      </c>
      <c r="J76" s="71" t="s">
        <v>504</v>
      </c>
      <c r="K76" s="71" t="str">
        <f>VLOOKUP(J76,Catalogos!$Q$4:$R$15,2,0)</f>
        <v>PROYECTOS</v>
      </c>
      <c r="L76" s="312">
        <v>0</v>
      </c>
      <c r="M76" s="312">
        <v>0</v>
      </c>
      <c r="N76" s="312">
        <v>0</v>
      </c>
      <c r="O76" s="312">
        <v>1</v>
      </c>
      <c r="P76" s="312">
        <v>0</v>
      </c>
      <c r="Q76" s="312">
        <f t="shared" si="1"/>
        <v>1</v>
      </c>
      <c r="R76" s="564"/>
    </row>
    <row r="77" spans="1:18" s="45" customFormat="1" x14ac:dyDescent="0.25">
      <c r="A77" s="492" t="s">
        <v>299</v>
      </c>
      <c r="B77" s="71" t="s">
        <v>284</v>
      </c>
      <c r="C77" s="47"/>
      <c r="D77" s="72">
        <v>3</v>
      </c>
      <c r="E77" s="492" t="str">
        <f>IF(AND($C$4="CAM",L77=1,M77=0,N77=0,P77=0),CONCATENATE($F$6,"_",B77,"_",$D$4,"_",$D$6,$B$6),IF(AND(L77=1,$C$4="CAM",M77=1,N77&lt;&gt;1,P77&lt;&gt;1),CONCATENATE($F$6,"_",B77,"_",$D$4,"_",$D$6,$B$6,"_E",$G$6),IF(AND(L77=1,$C$4="CAM",N77=1,M77&lt;&gt;1,P77&lt;&gt;1),CONCATENATE($F$6,"_",B77,"_",$D$4,"_",$D$6,$B$6,"_C",$I$4),IF(AND($C$4="CAM",L77=1,M77=0,N77=0,P77=1),CONCATENATE($F$6,"_",B77,"_",$D$4,"_",$D$6,$B$6,"_",$J$4),IF(AND(L77=0,$C$4="CAM",O77=0),CONCATENATE($F$6,"_",B77),IF(AND(L77=0,$C$4="CAM",O77=1,Q77=1),CONCATENATE($F$6,"_",B77,"_",$I$6),IF(AND(L77=0,$C$4="CAM",O77=1,Q77=0),CONCATENATE($F$6,"_",B77),IF(AND(L77=1,$C$4&lt;&gt;"CAM",M77&lt;&gt;1,N77&lt;&gt;1,P77&lt;&gt;1),CONCATENATE($F$6,"_",$B$4,"_",B77,"_",$D$4,"_",$D$6,$B$6),IF(AND(L77=1,$C$4&lt;&gt;"CAM",M77=1,N77&lt;&gt;1,P77&lt;&gt;1),CONCATENATE($F$6,"_",$B$4,"_",B77,"_",$D$4,"_",$D$6,$B$6,"_E",$G$6),IF(AND(L77=1,$C$4&lt;&gt;"CAM",N77=1,M77&lt;&gt;1,P77&lt;&gt;1),CONCATENATE($F$6,"_",$B$4,"_",B77,"_",$D$4,"_",$D$6,$B$6,"_C",$I$4),IF(AND($C$4&lt;&gt;"CAM",L77=1,M77=0,N77=0,P77=1),CONCATENATE($F$6,"_",$B$4,"_",B77,"_",$D$4,"_",$D$6,$B$6,"_",$J$4),IF(AND(L77=0,$C$4&lt;&gt;"CAM",O77=0),CONCATENATE($F$6,"_",$B$4,"_",B77),IF(AND(L77=0,$C$4&lt;&gt;"CAM",O77=1,Q77=1),CONCATENATE($F$6,"_",$B$4,"_",B77,"_",$I$6),IF(AND(L77=0,$C$4&lt;&gt;"CAM",O77=1,Q77=0),CONCATENATE($F$6,"_",$B$4,"_",B77),CONCATENATE("Sin nomenclatura")))))))))))))))</f>
        <v>28_382_RNV_IDEWEB</v>
      </c>
      <c r="F77" s="492" t="s">
        <v>1802</v>
      </c>
      <c r="G77" s="71">
        <f t="shared" ref="G77:G83" si="29">LEN(E77)</f>
        <v>17</v>
      </c>
      <c r="H77" s="492" t="str">
        <f t="shared" si="16"/>
        <v>…/SISTEMAS/DYP_PP/Acrónimo de la Aplicación/...</v>
      </c>
      <c r="I77" s="71">
        <f t="shared" ref="I77:I83" si="30">LEN(H77)</f>
        <v>47</v>
      </c>
      <c r="J77" s="71" t="s">
        <v>505</v>
      </c>
      <c r="K77" s="71" t="str">
        <f>VLOOKUP(J77,Catalogos!$Q$4:$R$15,2,0)</f>
        <v>SISTEMAS</v>
      </c>
      <c r="L77" s="312">
        <v>0</v>
      </c>
      <c r="M77" s="312">
        <v>0</v>
      </c>
      <c r="N77" s="312">
        <v>0</v>
      </c>
      <c r="O77" s="312">
        <v>1</v>
      </c>
      <c r="P77" s="312">
        <v>0</v>
      </c>
      <c r="Q77" s="312">
        <f t="shared" si="1"/>
        <v>1</v>
      </c>
      <c r="R77" s="13"/>
    </row>
    <row r="78" spans="1:18" s="45" customFormat="1" ht="23.1" customHeight="1" x14ac:dyDescent="0.25">
      <c r="A78" s="492" t="s">
        <v>1746</v>
      </c>
      <c r="B78" s="71" t="s">
        <v>184</v>
      </c>
      <c r="C78" s="47" t="s">
        <v>217</v>
      </c>
      <c r="D78" s="72">
        <v>3</v>
      </c>
      <c r="E78" s="492" t="s">
        <v>1796</v>
      </c>
      <c r="F78" s="47" t="s">
        <v>1748</v>
      </c>
      <c r="G78" s="71">
        <f t="shared" si="29"/>
        <v>1</v>
      </c>
      <c r="H78" s="492"/>
      <c r="I78" s="71">
        <f t="shared" si="30"/>
        <v>0</v>
      </c>
      <c r="J78" s="145" t="s">
        <v>543</v>
      </c>
      <c r="K78" s="71" t="str">
        <f>VLOOKUP(J78,Catalogos!$Q$4:$R$15,2,0)</f>
        <v>SISTEMAS</v>
      </c>
      <c r="L78" s="312">
        <v>0</v>
      </c>
      <c r="M78" s="312">
        <v>0</v>
      </c>
      <c r="N78" s="312">
        <v>0</v>
      </c>
      <c r="O78" s="312">
        <v>0</v>
      </c>
      <c r="P78" s="312">
        <v>0</v>
      </c>
      <c r="Q78" s="312">
        <f t="shared" si="1"/>
        <v>1</v>
      </c>
      <c r="R78" s="13"/>
    </row>
    <row r="79" spans="1:18" s="45" customFormat="1" ht="38.25" x14ac:dyDescent="0.25">
      <c r="A79" s="492" t="s">
        <v>190</v>
      </c>
      <c r="B79" s="71" t="s">
        <v>191</v>
      </c>
      <c r="C79" s="47" t="s">
        <v>223</v>
      </c>
      <c r="D79" s="72">
        <v>3</v>
      </c>
      <c r="E79" s="492" t="str">
        <f t="shared" ref="E79:E86" si="31">IF(AND($C$4="CAM",L79=1,M79=0,N79=0,P79=0),CONCATENATE($F$6,"_",B79,"_",$D$4,"_",$D$6,$B$6),IF(AND(L79=1,$C$4="CAM",M79=1,N79&lt;&gt;1,P79&lt;&gt;1),CONCATENATE($F$6,"_",B79,"_",$D$4,"_",$D$6,$B$6,"_E",$G$6),IF(AND(L79=1,$C$4="CAM",N79=1,M79&lt;&gt;1,P79&lt;&gt;1),CONCATENATE($F$6,"_",B79,"_",$D$4,"_",$D$6,$B$6,"_C",$I$4),IF(AND($C$4="CAM",L79=1,M79=0,N79=0,P79=1),CONCATENATE($F$6,"_",B79,"_",$D$4,"_",$D$6,$B$6,"_",$J$4),IF(AND(L79=0,$C$4="CAM",O79=0),CONCATENATE($F$6,"_",B79),IF(AND(L79=0,$C$4="CAM",O79=1,Q79=1),CONCATENATE($F$6,"_",B79,"_",$I$6),IF(AND(L79=0,$C$4="CAM",O79=1,Q79=0),CONCATENATE($F$6,"_",B79),IF(AND(L79=1,$C$4&lt;&gt;"CAM",M79&lt;&gt;1,N79&lt;&gt;1,P79&lt;&gt;1),CONCATENATE($F$6,"_",$B$4,"_",B79,"_",$D$4,"_",$D$6,$B$6),IF(AND(L79=1,$C$4&lt;&gt;"CAM",M79=1,N79&lt;&gt;1,P79&lt;&gt;1),CONCATENATE($F$6,"_",$B$4,"_",B79,"_",$D$4,"_",$D$6,$B$6,"_E",$G$6),IF(AND(L79=1,$C$4&lt;&gt;"CAM",N79=1,M79&lt;&gt;1,P79&lt;&gt;1),CONCATENATE($F$6,"_",$B$4,"_",B79,"_",$D$4,"_",$D$6,$B$6,"_C",$I$4),IF(AND($C$4&lt;&gt;"CAM",L79=1,M79=0,N79=0,P79=1),CONCATENATE($F$6,"_",$B$4,"_",B79,"_",$D$4,"_",$D$6,$B$6,"_",$J$4),IF(AND(L79=0,$C$4&lt;&gt;"CAM",O79=0),CONCATENATE($F$6,"_",$B$4,"_",B79),IF(AND(L79=0,$C$4&lt;&gt;"CAM",O79=1,Q79=1),CONCATENATE($F$6,"_",$B$4,"_",B79,"_",$I$6),IF(AND(L79=0,$C$4&lt;&gt;"CAM",O79=1,Q79=0),CONCATENATE($F$6,"_",$B$4,"_",B79),CONCATENATE("Sin nomenclatura")))))))))))))))</f>
        <v>28_382_RPP</v>
      </c>
      <c r="F79" s="492" t="s">
        <v>1802</v>
      </c>
      <c r="G79" s="71">
        <f t="shared" si="29"/>
        <v>10</v>
      </c>
      <c r="H79" s="492" t="str">
        <f t="shared" si="16"/>
        <v>…/SISTEMAS/DYP_PP/Acrónimo de la Aplicación/...</v>
      </c>
      <c r="I79" s="71">
        <f t="shared" si="30"/>
        <v>47</v>
      </c>
      <c r="J79" s="71" t="s">
        <v>1598</v>
      </c>
      <c r="K79" s="71" t="str">
        <f>VLOOKUP(J79,Catalogos!$Q$4:$R$15,2,0)</f>
        <v>SISTEMAS</v>
      </c>
      <c r="L79" s="312">
        <v>0</v>
      </c>
      <c r="M79" s="312">
        <v>0</v>
      </c>
      <c r="N79" s="312">
        <v>0</v>
      </c>
      <c r="O79" s="312">
        <v>0</v>
      </c>
      <c r="P79" s="312">
        <v>0</v>
      </c>
      <c r="Q79" s="312">
        <f t="shared" si="1"/>
        <v>1</v>
      </c>
      <c r="R79" s="13"/>
    </row>
    <row r="80" spans="1:18" s="45" customFormat="1" x14ac:dyDescent="0.25">
      <c r="A80" s="492" t="s">
        <v>300</v>
      </c>
      <c r="B80" s="71" t="s">
        <v>288</v>
      </c>
      <c r="C80" s="47"/>
      <c r="D80" s="72">
        <v>3</v>
      </c>
      <c r="E80" s="492" t="str">
        <f t="shared" si="31"/>
        <v>28_382_RPV_IDEWEB</v>
      </c>
      <c r="F80" s="492" t="s">
        <v>1802</v>
      </c>
      <c r="G80" s="71">
        <f t="shared" si="29"/>
        <v>17</v>
      </c>
      <c r="H80" s="492" t="str">
        <f t="shared" si="16"/>
        <v>…/SISTEMAS/DYP_PP/Acrónimo de la Aplicación/...</v>
      </c>
      <c r="I80" s="71">
        <f t="shared" si="30"/>
        <v>47</v>
      </c>
      <c r="J80" s="71" t="s">
        <v>505</v>
      </c>
      <c r="K80" s="71" t="str">
        <f>VLOOKUP(J80,Catalogos!$Q$4:$R$15,2,0)</f>
        <v>SISTEMAS</v>
      </c>
      <c r="L80" s="312">
        <v>0</v>
      </c>
      <c r="M80" s="312">
        <v>0</v>
      </c>
      <c r="N80" s="312">
        <v>0</v>
      </c>
      <c r="O80" s="312">
        <v>1</v>
      </c>
      <c r="P80" s="312">
        <v>0</v>
      </c>
      <c r="Q80" s="312">
        <f t="shared" si="1"/>
        <v>1</v>
      </c>
      <c r="R80" s="13"/>
    </row>
    <row r="81" spans="1:22" s="45" customFormat="1" ht="44.25" customHeight="1" x14ac:dyDescent="0.25">
      <c r="A81" s="492" t="s">
        <v>90</v>
      </c>
      <c r="B81" s="71" t="s">
        <v>91</v>
      </c>
      <c r="C81" s="47" t="s">
        <v>92</v>
      </c>
      <c r="D81" s="72">
        <v>3</v>
      </c>
      <c r="E81" s="492" t="str">
        <f t="shared" si="31"/>
        <v>28_382_RES</v>
      </c>
      <c r="F81" s="492" t="s">
        <v>1803</v>
      </c>
      <c r="G81" s="71">
        <f t="shared" si="29"/>
        <v>10</v>
      </c>
      <c r="H81" s="492" t="str">
        <f t="shared" si="16"/>
        <v>…/PROYECTOS/DYP_PP/Acrónimo de la Aplicación/363/...</v>
      </c>
      <c r="I81" s="71">
        <f t="shared" si="30"/>
        <v>52</v>
      </c>
      <c r="J81" s="71" t="s">
        <v>1594</v>
      </c>
      <c r="K81" s="71" t="str">
        <f>VLOOKUP(J81,Catalogos!$Q$4:$R$15,2,0)</f>
        <v>PROYECTOS</v>
      </c>
      <c r="L81" s="312">
        <v>0</v>
      </c>
      <c r="M81" s="312">
        <v>0</v>
      </c>
      <c r="N81" s="312">
        <v>0</v>
      </c>
      <c r="O81" s="312">
        <v>0</v>
      </c>
      <c r="P81" s="312">
        <v>0</v>
      </c>
      <c r="Q81" s="312">
        <f t="shared" si="1"/>
        <v>1</v>
      </c>
      <c r="R81" s="13"/>
    </row>
    <row r="82" spans="1:22" s="45" customFormat="1" ht="38.25" x14ac:dyDescent="0.25">
      <c r="A82" s="492" t="s">
        <v>214</v>
      </c>
      <c r="B82" s="71" t="s">
        <v>188</v>
      </c>
      <c r="C82" s="47" t="s">
        <v>224</v>
      </c>
      <c r="D82" s="72">
        <v>3</v>
      </c>
      <c r="E82" s="492" t="str">
        <f t="shared" si="31"/>
        <v>28_382_RDP_IDEWEB</v>
      </c>
      <c r="F82" s="220" t="s">
        <v>1214</v>
      </c>
      <c r="G82" s="71">
        <f t="shared" si="29"/>
        <v>17</v>
      </c>
      <c r="H82" s="492" t="str">
        <f t="shared" si="16"/>
        <v>…/SISTEMAS/DYP_PP/Acrónimo de la Aplicación/...</v>
      </c>
      <c r="I82" s="71">
        <f t="shared" si="30"/>
        <v>47</v>
      </c>
      <c r="J82" s="71" t="s">
        <v>1470</v>
      </c>
      <c r="K82" s="71" t="str">
        <f>VLOOKUP(J82,Catalogos!$Q$4:$R$15,2,0)</f>
        <v>SISTEMAS</v>
      </c>
      <c r="L82" s="312">
        <v>0</v>
      </c>
      <c r="M82" s="312">
        <v>0</v>
      </c>
      <c r="N82" s="312">
        <v>0</v>
      </c>
      <c r="O82" s="312">
        <v>1</v>
      </c>
      <c r="P82" s="312">
        <v>0</v>
      </c>
      <c r="Q82" s="312">
        <f t="shared" si="1"/>
        <v>1</v>
      </c>
      <c r="R82" s="13"/>
    </row>
    <row r="83" spans="1:22" s="56" customFormat="1" ht="38.25" x14ac:dyDescent="0.2">
      <c r="A83" s="492" t="s">
        <v>93</v>
      </c>
      <c r="B83" s="71" t="s">
        <v>94</v>
      </c>
      <c r="C83" s="47" t="s">
        <v>95</v>
      </c>
      <c r="D83" s="72">
        <v>3</v>
      </c>
      <c r="E83" s="492" t="str">
        <f t="shared" si="31"/>
        <v>28_382_SMA_IDEWEB</v>
      </c>
      <c r="F83" s="220" t="s">
        <v>1214</v>
      </c>
      <c r="G83" s="71">
        <f t="shared" si="29"/>
        <v>17</v>
      </c>
      <c r="H83" s="492" t="str">
        <f t="shared" si="16"/>
        <v>…/SISTEMAS/DYP_PP/Acrónimo de la Aplicación/...</v>
      </c>
      <c r="I83" s="71">
        <f t="shared" si="30"/>
        <v>47</v>
      </c>
      <c r="J83" s="71" t="s">
        <v>1596</v>
      </c>
      <c r="K83" s="71" t="str">
        <f>VLOOKUP(J83,Catalogos!$Q$4:$R$15,2,0)</f>
        <v>SISTEMAS</v>
      </c>
      <c r="L83" s="312">
        <v>0</v>
      </c>
      <c r="M83" s="312">
        <v>0</v>
      </c>
      <c r="N83" s="312">
        <v>0</v>
      </c>
      <c r="O83" s="312">
        <v>1</v>
      </c>
      <c r="P83" s="312">
        <v>0</v>
      </c>
      <c r="Q83" s="312">
        <f t="shared" si="1"/>
        <v>1</v>
      </c>
      <c r="R83" s="79"/>
    </row>
    <row r="84" spans="1:22" s="45" customFormat="1" ht="38.25" x14ac:dyDescent="0.25">
      <c r="A84" s="492" t="s">
        <v>1700</v>
      </c>
      <c r="B84" s="71" t="s">
        <v>242</v>
      </c>
      <c r="C84" s="47" t="s">
        <v>1701</v>
      </c>
      <c r="D84" s="72">
        <v>3</v>
      </c>
      <c r="E84" s="492" t="str">
        <f t="shared" si="31"/>
        <v>28_382_FCUN</v>
      </c>
      <c r="F84" s="220" t="s">
        <v>1214</v>
      </c>
      <c r="G84" s="71">
        <f>LEN(E84)</f>
        <v>11</v>
      </c>
      <c r="H84" s="492" t="str">
        <f t="shared" si="16"/>
        <v>…/SISTEMAS/DYP_PP/Acrónimo de la Aplicación/...</v>
      </c>
      <c r="I84" s="71">
        <f>LEN(H84)</f>
        <v>47</v>
      </c>
      <c r="J84" s="145" t="s">
        <v>543</v>
      </c>
      <c r="K84" s="71" t="str">
        <f>VLOOKUP(J84,Catalogos!$Q$4:$R$15,2,0)</f>
        <v>SISTEMAS</v>
      </c>
      <c r="L84" s="312">
        <v>0</v>
      </c>
      <c r="M84" s="312">
        <v>0</v>
      </c>
      <c r="N84" s="312">
        <v>0</v>
      </c>
      <c r="O84" s="312">
        <v>0</v>
      </c>
      <c r="P84" s="312">
        <v>0</v>
      </c>
      <c r="Q84" s="312">
        <f t="shared" si="1"/>
        <v>1</v>
      </c>
      <c r="R84" s="13"/>
    </row>
    <row r="85" spans="1:22" s="56" customFormat="1" ht="25.5" x14ac:dyDescent="0.2">
      <c r="A85" s="492" t="s">
        <v>1738</v>
      </c>
      <c r="B85" s="71" t="s">
        <v>1740</v>
      </c>
      <c r="C85" s="492" t="s">
        <v>95</v>
      </c>
      <c r="D85" s="72">
        <v>3</v>
      </c>
      <c r="E85" s="492" t="str">
        <f t="shared" si="31"/>
        <v>28_382_SPS_IDEWEB</v>
      </c>
      <c r="F85" s="492" t="s">
        <v>1793</v>
      </c>
      <c r="G85" s="71">
        <f t="shared" ref="G85:G86" si="32">LEN(E85)</f>
        <v>17</v>
      </c>
      <c r="H85" s="492"/>
      <c r="I85" s="71">
        <f t="shared" ref="I85:I86" si="33">LEN(H85)</f>
        <v>0</v>
      </c>
      <c r="J85" s="71" t="s">
        <v>504</v>
      </c>
      <c r="K85" s="71" t="str">
        <f>VLOOKUP(J85,Catalogos!$Q$4:$R$15,2,0)</f>
        <v>PROYECTOS</v>
      </c>
      <c r="L85" s="312">
        <v>0</v>
      </c>
      <c r="M85" s="312">
        <v>0</v>
      </c>
      <c r="N85" s="312">
        <v>0</v>
      </c>
      <c r="O85" s="312">
        <v>1</v>
      </c>
      <c r="P85" s="312">
        <v>0</v>
      </c>
      <c r="Q85" s="312">
        <f t="shared" si="1"/>
        <v>1</v>
      </c>
      <c r="R85" s="79"/>
    </row>
    <row r="86" spans="1:22" s="56" customFormat="1" ht="38.25" x14ac:dyDescent="0.2">
      <c r="A86" s="492" t="s">
        <v>1739</v>
      </c>
      <c r="B86" s="71" t="s">
        <v>1741</v>
      </c>
      <c r="C86" s="492" t="s">
        <v>95</v>
      </c>
      <c r="D86" s="72">
        <v>3</v>
      </c>
      <c r="E86" s="492" t="str">
        <f t="shared" si="31"/>
        <v>28_382_VMD_IDEWEB</v>
      </c>
      <c r="F86" s="220" t="s">
        <v>1214</v>
      </c>
      <c r="G86" s="71">
        <f t="shared" si="32"/>
        <v>17</v>
      </c>
      <c r="H86" s="492" t="str">
        <f t="shared" si="16"/>
        <v>…/SISTEMAS/DYP_PP/Acrónimo de la Aplicación/...</v>
      </c>
      <c r="I86" s="71">
        <f t="shared" si="33"/>
        <v>47</v>
      </c>
      <c r="J86" s="71" t="s">
        <v>524</v>
      </c>
      <c r="K86" s="71" t="str">
        <f>VLOOKUP(J86,Catalogos!$Q$4:$R$15,2,0)</f>
        <v>SISTEMAS</v>
      </c>
      <c r="L86" s="312">
        <v>0</v>
      </c>
      <c r="M86" s="312">
        <v>0</v>
      </c>
      <c r="N86" s="312">
        <v>0</v>
      </c>
      <c r="O86" s="312">
        <v>1</v>
      </c>
      <c r="P86" s="312">
        <v>0</v>
      </c>
      <c r="Q86" s="312">
        <f t="shared" ref="Q86" si="34">IF($I$6=0, 0,1)</f>
        <v>1</v>
      </c>
      <c r="R86" s="79"/>
    </row>
    <row r="87" spans="1:22" x14ac:dyDescent="0.2">
      <c r="J87" s="143"/>
      <c r="K87" s="143"/>
      <c r="V87" s="35"/>
    </row>
    <row r="88" spans="1:22" x14ac:dyDescent="0.2">
      <c r="J88" s="143"/>
      <c r="K88" s="143"/>
      <c r="V88" s="35"/>
    </row>
    <row r="89" spans="1:22" x14ac:dyDescent="0.2">
      <c r="A89" s="35"/>
      <c r="B89" s="35"/>
      <c r="C89" s="35"/>
      <c r="D89" s="35"/>
      <c r="E89" s="35"/>
      <c r="F89" s="35"/>
      <c r="G89" s="35"/>
      <c r="H89" s="35"/>
      <c r="I89" s="35"/>
      <c r="J89" s="143"/>
      <c r="K89" s="143"/>
      <c r="L89" s="35"/>
      <c r="M89" s="35"/>
      <c r="N89" s="35"/>
      <c r="O89" s="35"/>
      <c r="P89" s="35"/>
      <c r="Q89" s="35"/>
      <c r="V89" s="35"/>
    </row>
    <row r="90" spans="1:22" x14ac:dyDescent="0.2">
      <c r="A90" s="35"/>
      <c r="B90" s="35"/>
      <c r="C90" s="35"/>
      <c r="D90" s="35"/>
      <c r="E90" s="35"/>
      <c r="F90" s="35"/>
      <c r="G90" s="35"/>
      <c r="H90" s="35"/>
      <c r="I90" s="35"/>
      <c r="J90" s="143"/>
      <c r="K90" s="143"/>
      <c r="L90" s="35"/>
      <c r="M90" s="35"/>
      <c r="N90" s="35"/>
      <c r="O90" s="35"/>
      <c r="P90" s="35"/>
      <c r="Q90" s="35"/>
      <c r="V90" s="35"/>
    </row>
    <row r="91" spans="1:22" x14ac:dyDescent="0.2">
      <c r="A91" s="35"/>
      <c r="B91" s="35"/>
      <c r="C91" s="35"/>
      <c r="D91" s="35"/>
      <c r="E91" s="35"/>
      <c r="F91" s="35"/>
      <c r="G91" s="35"/>
      <c r="H91" s="35"/>
      <c r="I91" s="35"/>
      <c r="J91" s="143"/>
      <c r="K91" s="143"/>
      <c r="L91" s="35"/>
      <c r="M91" s="35"/>
      <c r="N91" s="35"/>
      <c r="O91" s="35"/>
      <c r="P91" s="35"/>
      <c r="Q91" s="35"/>
      <c r="V91" s="35"/>
    </row>
    <row r="92" spans="1:22" x14ac:dyDescent="0.2">
      <c r="A92" s="35"/>
      <c r="B92" s="35"/>
      <c r="C92" s="35"/>
      <c r="D92" s="35"/>
      <c r="E92" s="35"/>
      <c r="F92" s="35"/>
      <c r="G92" s="35"/>
      <c r="H92" s="35"/>
      <c r="I92" s="35"/>
      <c r="J92" s="143"/>
      <c r="K92" s="143"/>
      <c r="L92" s="35"/>
      <c r="M92" s="35"/>
      <c r="N92" s="35"/>
      <c r="O92" s="35"/>
      <c r="P92" s="35"/>
      <c r="Q92" s="35"/>
      <c r="V92" s="35"/>
    </row>
    <row r="93" spans="1:22" x14ac:dyDescent="0.2">
      <c r="A93" s="35"/>
      <c r="B93" s="35"/>
      <c r="C93" s="35"/>
      <c r="D93" s="35"/>
      <c r="E93" s="35"/>
      <c r="F93" s="35"/>
      <c r="G93" s="35"/>
      <c r="H93" s="35"/>
      <c r="I93" s="35"/>
      <c r="J93" s="143"/>
      <c r="K93" s="143"/>
      <c r="L93" s="35"/>
      <c r="M93" s="35"/>
      <c r="N93" s="35"/>
      <c r="O93" s="35"/>
      <c r="P93" s="35"/>
      <c r="Q93" s="35"/>
      <c r="V93" s="35"/>
    </row>
    <row r="94" spans="1:22" x14ac:dyDescent="0.2">
      <c r="A94" s="35"/>
      <c r="B94" s="35"/>
      <c r="C94" s="35"/>
      <c r="D94" s="35"/>
      <c r="E94" s="35"/>
      <c r="F94" s="35"/>
      <c r="G94" s="35"/>
      <c r="H94" s="35"/>
      <c r="I94" s="35"/>
      <c r="J94" s="143"/>
      <c r="K94" s="143"/>
      <c r="L94" s="35"/>
      <c r="M94" s="35"/>
      <c r="N94" s="35"/>
      <c r="O94" s="35"/>
      <c r="P94" s="35"/>
      <c r="Q94" s="35"/>
      <c r="V94" s="35"/>
    </row>
    <row r="95" spans="1:22" x14ac:dyDescent="0.2">
      <c r="A95" s="35"/>
      <c r="B95" s="35"/>
      <c r="C95" s="35"/>
      <c r="D95" s="35"/>
      <c r="E95" s="35"/>
      <c r="F95" s="35"/>
      <c r="G95" s="35"/>
      <c r="H95" s="35"/>
      <c r="I95" s="35"/>
      <c r="J95" s="143"/>
      <c r="K95" s="143"/>
      <c r="L95" s="35"/>
      <c r="M95" s="35"/>
      <c r="N95" s="35"/>
      <c r="O95" s="35"/>
      <c r="P95" s="35"/>
      <c r="Q95" s="35"/>
      <c r="V95" s="35"/>
    </row>
    <row r="96" spans="1:22" x14ac:dyDescent="0.2">
      <c r="A96" s="35"/>
      <c r="B96" s="35"/>
      <c r="C96" s="35"/>
      <c r="D96" s="35"/>
      <c r="E96" s="35"/>
      <c r="F96" s="35"/>
      <c r="G96" s="35"/>
      <c r="H96" s="35"/>
      <c r="I96" s="35"/>
      <c r="J96" s="143"/>
      <c r="K96" s="143"/>
      <c r="L96" s="35"/>
      <c r="M96" s="35"/>
      <c r="N96" s="35"/>
      <c r="O96" s="35"/>
      <c r="P96" s="35"/>
      <c r="Q96" s="35"/>
      <c r="V96" s="35"/>
    </row>
    <row r="97" spans="1:22" x14ac:dyDescent="0.2">
      <c r="A97" s="35"/>
      <c r="B97" s="35"/>
      <c r="C97" s="35"/>
      <c r="D97" s="35"/>
      <c r="E97" s="35"/>
      <c r="F97" s="35"/>
      <c r="G97" s="35"/>
      <c r="H97" s="35"/>
      <c r="I97" s="35"/>
      <c r="J97" s="143"/>
      <c r="K97" s="143"/>
      <c r="L97" s="35"/>
      <c r="M97" s="35"/>
      <c r="N97" s="35"/>
      <c r="O97" s="35"/>
      <c r="P97" s="35"/>
      <c r="Q97" s="35"/>
      <c r="V97" s="35"/>
    </row>
    <row r="98" spans="1:22" x14ac:dyDescent="0.2">
      <c r="A98" s="35"/>
      <c r="B98" s="35"/>
      <c r="C98" s="35"/>
      <c r="D98" s="35"/>
      <c r="E98" s="35"/>
      <c r="F98" s="35"/>
      <c r="G98" s="35"/>
      <c r="H98" s="35"/>
      <c r="I98" s="35"/>
      <c r="J98" s="143"/>
      <c r="K98" s="143"/>
      <c r="L98" s="35"/>
      <c r="M98" s="35"/>
      <c r="N98" s="35"/>
      <c r="O98" s="35"/>
      <c r="P98" s="35"/>
      <c r="Q98" s="35"/>
      <c r="V98" s="35"/>
    </row>
    <row r="99" spans="1:22" x14ac:dyDescent="0.2">
      <c r="A99" s="35"/>
      <c r="B99" s="35"/>
      <c r="C99" s="35"/>
      <c r="D99" s="35"/>
      <c r="E99" s="35"/>
      <c r="F99" s="35"/>
      <c r="G99" s="35"/>
      <c r="H99" s="35"/>
      <c r="I99" s="35"/>
      <c r="J99" s="143"/>
      <c r="K99" s="143"/>
      <c r="L99" s="35"/>
      <c r="M99" s="35"/>
      <c r="N99" s="35"/>
      <c r="O99" s="35"/>
      <c r="P99" s="35"/>
      <c r="Q99" s="35"/>
      <c r="V99" s="35"/>
    </row>
    <row r="100" spans="1:22" x14ac:dyDescent="0.2">
      <c r="A100" s="35"/>
      <c r="B100" s="35"/>
      <c r="C100" s="35"/>
      <c r="D100" s="35"/>
      <c r="E100" s="35"/>
      <c r="F100" s="35"/>
      <c r="G100" s="35"/>
      <c r="H100" s="35"/>
      <c r="I100" s="35"/>
      <c r="J100" s="143"/>
      <c r="K100" s="143"/>
      <c r="L100" s="35"/>
      <c r="M100" s="35"/>
      <c r="N100" s="35"/>
      <c r="O100" s="35"/>
      <c r="P100" s="35"/>
      <c r="Q100" s="35"/>
      <c r="V100" s="35"/>
    </row>
    <row r="101" spans="1:22" x14ac:dyDescent="0.2">
      <c r="A101" s="35"/>
      <c r="B101" s="35"/>
      <c r="C101" s="35"/>
      <c r="D101" s="35"/>
      <c r="E101" s="35"/>
      <c r="F101" s="35"/>
      <c r="G101" s="35"/>
      <c r="H101" s="35"/>
      <c r="I101" s="35"/>
      <c r="J101" s="143"/>
      <c r="K101" s="143"/>
      <c r="L101" s="35"/>
      <c r="M101" s="35"/>
      <c r="N101" s="35"/>
      <c r="O101" s="35"/>
      <c r="P101" s="35"/>
      <c r="Q101" s="35"/>
      <c r="V101" s="35"/>
    </row>
    <row r="102" spans="1:22" x14ac:dyDescent="0.2">
      <c r="A102" s="35"/>
      <c r="B102" s="35"/>
      <c r="C102" s="35"/>
      <c r="D102" s="35"/>
      <c r="E102" s="35"/>
      <c r="F102" s="35"/>
      <c r="G102" s="35"/>
      <c r="H102" s="35"/>
      <c r="I102" s="35"/>
      <c r="J102" s="143"/>
      <c r="K102" s="143"/>
      <c r="L102" s="35"/>
      <c r="M102" s="35"/>
      <c r="N102" s="35"/>
      <c r="O102" s="35"/>
      <c r="P102" s="35"/>
      <c r="Q102" s="35"/>
      <c r="V102" s="35"/>
    </row>
    <row r="103" spans="1:22" x14ac:dyDescent="0.2">
      <c r="A103" s="35"/>
      <c r="B103" s="35"/>
      <c r="C103" s="35"/>
      <c r="D103" s="35"/>
      <c r="E103" s="35"/>
      <c r="F103" s="35"/>
      <c r="G103" s="35"/>
      <c r="H103" s="35"/>
      <c r="I103" s="35"/>
      <c r="J103" s="143"/>
      <c r="K103" s="143"/>
      <c r="L103" s="35"/>
      <c r="M103" s="35"/>
      <c r="N103" s="35"/>
      <c r="O103" s="35"/>
      <c r="P103" s="35"/>
      <c r="Q103" s="35"/>
      <c r="V103" s="35"/>
    </row>
    <row r="104" spans="1:22" x14ac:dyDescent="0.2">
      <c r="A104" s="35"/>
      <c r="B104" s="35"/>
      <c r="C104" s="35"/>
      <c r="D104" s="35"/>
      <c r="E104" s="35"/>
      <c r="F104" s="35"/>
      <c r="G104" s="35"/>
      <c r="H104" s="35"/>
      <c r="I104" s="35"/>
      <c r="J104" s="143"/>
      <c r="K104" s="143"/>
      <c r="L104" s="35"/>
      <c r="M104" s="35"/>
      <c r="N104" s="35"/>
      <c r="O104" s="35"/>
      <c r="P104" s="35"/>
      <c r="Q104" s="35"/>
      <c r="V104" s="35"/>
    </row>
    <row r="105" spans="1:22" x14ac:dyDescent="0.2">
      <c r="A105" s="35"/>
      <c r="B105" s="35"/>
      <c r="C105" s="35"/>
      <c r="D105" s="35"/>
      <c r="E105" s="35"/>
      <c r="F105" s="35"/>
      <c r="G105" s="35"/>
      <c r="H105" s="35"/>
      <c r="I105" s="35"/>
      <c r="J105" s="143"/>
      <c r="K105" s="143"/>
      <c r="L105" s="35"/>
      <c r="M105" s="35"/>
      <c r="N105" s="35"/>
      <c r="O105" s="35"/>
      <c r="P105" s="35"/>
      <c r="Q105" s="35"/>
      <c r="V105" s="35"/>
    </row>
    <row r="106" spans="1:22" x14ac:dyDescent="0.2">
      <c r="A106" s="35"/>
      <c r="B106" s="35"/>
      <c r="C106" s="35"/>
      <c r="D106" s="35"/>
      <c r="E106" s="35"/>
      <c r="F106" s="35"/>
      <c r="G106" s="35"/>
      <c r="H106" s="35"/>
      <c r="I106" s="35"/>
      <c r="J106" s="143"/>
      <c r="K106" s="143"/>
      <c r="L106" s="35"/>
      <c r="M106" s="35"/>
      <c r="N106" s="35"/>
      <c r="O106" s="35"/>
      <c r="P106" s="35"/>
      <c r="Q106" s="35"/>
      <c r="V106" s="35"/>
    </row>
    <row r="107" spans="1:22" x14ac:dyDescent="0.2">
      <c r="A107" s="35"/>
      <c r="B107" s="35"/>
      <c r="C107" s="35"/>
      <c r="D107" s="35"/>
      <c r="E107" s="35"/>
      <c r="F107" s="35"/>
      <c r="G107" s="35"/>
      <c r="H107" s="35"/>
      <c r="I107" s="35"/>
      <c r="J107" s="143"/>
      <c r="K107" s="143"/>
      <c r="L107" s="35"/>
      <c r="M107" s="35"/>
      <c r="N107" s="35"/>
      <c r="O107" s="35"/>
      <c r="P107" s="35"/>
      <c r="Q107" s="35"/>
      <c r="V107" s="35"/>
    </row>
    <row r="108" spans="1:22" x14ac:dyDescent="0.2">
      <c r="A108" s="35"/>
      <c r="B108" s="35"/>
      <c r="C108" s="35"/>
      <c r="D108" s="35"/>
      <c r="E108" s="35"/>
      <c r="F108" s="35"/>
      <c r="G108" s="35"/>
      <c r="H108" s="35"/>
      <c r="I108" s="35"/>
      <c r="J108" s="143"/>
      <c r="K108" s="143"/>
      <c r="L108" s="35"/>
      <c r="M108" s="35"/>
      <c r="N108" s="35"/>
      <c r="O108" s="35"/>
      <c r="P108" s="35"/>
      <c r="Q108" s="35"/>
      <c r="V108" s="35"/>
    </row>
    <row r="109" spans="1:22" x14ac:dyDescent="0.2">
      <c r="A109" s="35"/>
      <c r="B109" s="35"/>
      <c r="C109" s="35"/>
      <c r="D109" s="35"/>
      <c r="E109" s="35"/>
      <c r="F109" s="35"/>
      <c r="G109" s="35"/>
      <c r="H109" s="35"/>
      <c r="I109" s="35"/>
      <c r="J109" s="143"/>
      <c r="K109" s="143"/>
      <c r="L109" s="35"/>
      <c r="M109" s="35"/>
      <c r="N109" s="35"/>
      <c r="O109" s="35"/>
      <c r="P109" s="35"/>
      <c r="Q109" s="35"/>
      <c r="V109" s="35"/>
    </row>
    <row r="110" spans="1:22" x14ac:dyDescent="0.2">
      <c r="A110" s="35"/>
      <c r="B110" s="35"/>
      <c r="C110" s="35"/>
      <c r="D110" s="35"/>
      <c r="E110" s="35"/>
      <c r="F110" s="35"/>
      <c r="G110" s="35"/>
      <c r="H110" s="35"/>
      <c r="I110" s="35"/>
      <c r="J110" s="143"/>
      <c r="K110" s="143"/>
      <c r="L110" s="35"/>
      <c r="M110" s="35"/>
      <c r="N110" s="35"/>
      <c r="O110" s="35"/>
      <c r="P110" s="35"/>
      <c r="Q110" s="35"/>
      <c r="V110" s="35"/>
    </row>
    <row r="111" spans="1:22" x14ac:dyDescent="0.2">
      <c r="A111" s="35"/>
      <c r="B111" s="35"/>
      <c r="C111" s="35"/>
      <c r="D111" s="35"/>
      <c r="E111" s="35"/>
      <c r="F111" s="35"/>
      <c r="G111" s="35"/>
      <c r="H111" s="35"/>
      <c r="I111" s="35"/>
      <c r="J111" s="143"/>
      <c r="K111" s="143"/>
      <c r="L111" s="35"/>
      <c r="M111" s="35"/>
      <c r="N111" s="35"/>
      <c r="O111" s="35"/>
      <c r="P111" s="35"/>
      <c r="Q111" s="35"/>
      <c r="V111" s="35"/>
    </row>
    <row r="112" spans="1:22" x14ac:dyDescent="0.2">
      <c r="A112" s="35"/>
      <c r="B112" s="35"/>
      <c r="C112" s="35"/>
      <c r="D112" s="35"/>
      <c r="E112" s="35"/>
      <c r="F112" s="35"/>
      <c r="G112" s="35"/>
      <c r="H112" s="35"/>
      <c r="I112" s="35"/>
      <c r="J112" s="143"/>
      <c r="K112" s="143"/>
      <c r="L112" s="35"/>
      <c r="M112" s="35"/>
      <c r="N112" s="35"/>
      <c r="O112" s="35"/>
      <c r="P112" s="35"/>
      <c r="Q112" s="35"/>
      <c r="V112" s="35"/>
    </row>
    <row r="113" spans="1:22" x14ac:dyDescent="0.2">
      <c r="A113" s="35"/>
      <c r="B113" s="35"/>
      <c r="C113" s="35"/>
      <c r="D113" s="35"/>
      <c r="E113" s="35"/>
      <c r="F113" s="35"/>
      <c r="G113" s="35"/>
      <c r="H113" s="35"/>
      <c r="I113" s="35"/>
      <c r="J113" s="143"/>
      <c r="K113" s="143"/>
      <c r="L113" s="35"/>
      <c r="M113" s="35"/>
      <c r="N113" s="35"/>
      <c r="O113" s="35"/>
      <c r="P113" s="35"/>
      <c r="Q113" s="35"/>
      <c r="V113" s="35"/>
    </row>
    <row r="114" spans="1:22" x14ac:dyDescent="0.2">
      <c r="A114" s="35"/>
      <c r="B114" s="35"/>
      <c r="C114" s="35"/>
      <c r="D114" s="35"/>
      <c r="E114" s="35"/>
      <c r="F114" s="35"/>
      <c r="G114" s="35"/>
      <c r="H114" s="35"/>
      <c r="I114" s="35"/>
      <c r="J114" s="143"/>
      <c r="K114" s="143"/>
      <c r="L114" s="35"/>
      <c r="M114" s="35"/>
      <c r="N114" s="35"/>
      <c r="O114" s="35"/>
      <c r="P114" s="35"/>
      <c r="Q114" s="35"/>
      <c r="V114" s="35"/>
    </row>
    <row r="115" spans="1:22" x14ac:dyDescent="0.2">
      <c r="A115" s="35"/>
      <c r="B115" s="35"/>
      <c r="C115" s="35"/>
      <c r="D115" s="35"/>
      <c r="E115" s="35"/>
      <c r="F115" s="35"/>
      <c r="G115" s="35"/>
      <c r="H115" s="35"/>
      <c r="I115" s="35"/>
      <c r="J115" s="143"/>
      <c r="K115" s="143"/>
      <c r="L115" s="35"/>
      <c r="M115" s="35"/>
      <c r="N115" s="35"/>
      <c r="O115" s="35"/>
      <c r="P115" s="35"/>
      <c r="Q115" s="35"/>
      <c r="V115" s="35"/>
    </row>
    <row r="116" spans="1:22" x14ac:dyDescent="0.2">
      <c r="A116" s="35"/>
      <c r="B116" s="35"/>
      <c r="C116" s="35"/>
      <c r="D116" s="35"/>
      <c r="E116" s="35"/>
      <c r="F116" s="35"/>
      <c r="G116" s="35"/>
      <c r="H116" s="35"/>
      <c r="I116" s="35"/>
      <c r="J116" s="143"/>
      <c r="K116" s="143"/>
      <c r="L116" s="35"/>
      <c r="M116" s="35"/>
      <c r="N116" s="35"/>
      <c r="O116" s="35"/>
      <c r="P116" s="35"/>
      <c r="Q116" s="35"/>
      <c r="V116" s="35"/>
    </row>
    <row r="117" spans="1:22" x14ac:dyDescent="0.2">
      <c r="A117" s="35"/>
      <c r="B117" s="35"/>
      <c r="C117" s="35"/>
      <c r="D117" s="35"/>
      <c r="E117" s="35"/>
      <c r="F117" s="35"/>
      <c r="G117" s="35"/>
      <c r="H117" s="35"/>
      <c r="I117" s="35"/>
      <c r="J117" s="143"/>
      <c r="K117" s="143"/>
      <c r="L117" s="35"/>
      <c r="M117" s="35"/>
      <c r="N117" s="35"/>
      <c r="O117" s="35"/>
      <c r="P117" s="35"/>
      <c r="Q117" s="35"/>
      <c r="V117" s="35"/>
    </row>
    <row r="118" spans="1:22" x14ac:dyDescent="0.2">
      <c r="A118" s="35"/>
      <c r="B118" s="35"/>
      <c r="C118" s="35"/>
      <c r="D118" s="35"/>
      <c r="E118" s="35"/>
      <c r="F118" s="35"/>
      <c r="G118" s="35"/>
      <c r="H118" s="35"/>
      <c r="I118" s="35"/>
      <c r="J118" s="143"/>
      <c r="K118" s="143"/>
      <c r="L118" s="35"/>
      <c r="M118" s="35"/>
      <c r="N118" s="35"/>
      <c r="O118" s="35"/>
      <c r="P118" s="35"/>
      <c r="Q118" s="35"/>
      <c r="V118" s="35"/>
    </row>
    <row r="119" spans="1:22" x14ac:dyDescent="0.2">
      <c r="A119" s="35"/>
      <c r="B119" s="35"/>
      <c r="C119" s="35"/>
      <c r="D119" s="35"/>
      <c r="E119" s="35"/>
      <c r="F119" s="35"/>
      <c r="G119" s="35"/>
      <c r="H119" s="35"/>
      <c r="I119" s="35"/>
      <c r="J119" s="143"/>
      <c r="K119" s="143"/>
      <c r="L119" s="35"/>
      <c r="M119" s="35"/>
      <c r="N119" s="35"/>
      <c r="O119" s="35"/>
      <c r="P119" s="35"/>
      <c r="Q119" s="35"/>
      <c r="V119" s="35"/>
    </row>
    <row r="120" spans="1:22" x14ac:dyDescent="0.2">
      <c r="A120" s="35"/>
      <c r="B120" s="35"/>
      <c r="C120" s="35"/>
      <c r="D120" s="35"/>
      <c r="E120" s="35"/>
      <c r="F120" s="35"/>
      <c r="G120" s="35"/>
      <c r="H120" s="35"/>
      <c r="I120" s="35"/>
      <c r="J120" s="143"/>
      <c r="K120" s="143"/>
      <c r="L120" s="35"/>
      <c r="M120" s="35"/>
      <c r="N120" s="35"/>
      <c r="O120" s="35"/>
      <c r="P120" s="35"/>
      <c r="Q120" s="35"/>
      <c r="V120" s="35"/>
    </row>
    <row r="121" spans="1:22" x14ac:dyDescent="0.2">
      <c r="A121" s="35"/>
      <c r="B121" s="35"/>
      <c r="C121" s="35"/>
      <c r="D121" s="35"/>
      <c r="E121" s="35"/>
      <c r="F121" s="35"/>
      <c r="G121" s="35"/>
      <c r="H121" s="35"/>
      <c r="I121" s="35"/>
      <c r="J121" s="143"/>
      <c r="K121" s="143"/>
      <c r="L121" s="35"/>
      <c r="M121" s="35"/>
      <c r="N121" s="35"/>
      <c r="O121" s="35"/>
      <c r="P121" s="35"/>
      <c r="Q121" s="35"/>
      <c r="V121" s="35"/>
    </row>
    <row r="122" spans="1:22" x14ac:dyDescent="0.2">
      <c r="A122" s="35"/>
      <c r="B122" s="35"/>
      <c r="C122" s="35"/>
      <c r="D122" s="35"/>
      <c r="E122" s="35"/>
      <c r="F122" s="35"/>
      <c r="G122" s="35"/>
      <c r="H122" s="35"/>
      <c r="I122" s="35"/>
      <c r="J122" s="143"/>
      <c r="K122" s="143"/>
      <c r="L122" s="35"/>
      <c r="M122" s="35"/>
      <c r="N122" s="35"/>
      <c r="O122" s="35"/>
      <c r="P122" s="35"/>
      <c r="Q122" s="35"/>
      <c r="V122" s="35"/>
    </row>
    <row r="123" spans="1:22" x14ac:dyDescent="0.2">
      <c r="A123" s="35"/>
      <c r="B123" s="35"/>
      <c r="C123" s="35"/>
      <c r="D123" s="35"/>
      <c r="E123" s="35"/>
      <c r="F123" s="35"/>
      <c r="G123" s="35"/>
      <c r="H123" s="35"/>
      <c r="I123" s="35"/>
      <c r="J123" s="143"/>
      <c r="K123" s="143"/>
      <c r="L123" s="35"/>
      <c r="M123" s="35"/>
      <c r="N123" s="35"/>
      <c r="O123" s="35"/>
      <c r="P123" s="35"/>
      <c r="Q123" s="35"/>
      <c r="V123" s="35"/>
    </row>
    <row r="124" spans="1:22" x14ac:dyDescent="0.2">
      <c r="A124" s="35"/>
      <c r="B124" s="35"/>
      <c r="C124" s="35"/>
      <c r="D124" s="35"/>
      <c r="E124" s="35"/>
      <c r="F124" s="35"/>
      <c r="G124" s="35"/>
      <c r="H124" s="35"/>
      <c r="I124" s="35"/>
      <c r="J124" s="143"/>
      <c r="K124" s="143"/>
      <c r="L124" s="35"/>
      <c r="M124" s="35"/>
      <c r="N124" s="35"/>
      <c r="O124" s="35"/>
      <c r="P124" s="35"/>
      <c r="Q124" s="35"/>
      <c r="V124" s="35"/>
    </row>
    <row r="125" spans="1:22" x14ac:dyDescent="0.2">
      <c r="A125" s="35"/>
      <c r="B125" s="35"/>
      <c r="C125" s="35"/>
      <c r="D125" s="35"/>
      <c r="E125" s="35"/>
      <c r="F125" s="35"/>
      <c r="G125" s="35"/>
      <c r="H125" s="35"/>
      <c r="I125" s="35"/>
      <c r="J125" s="143"/>
      <c r="K125" s="143"/>
      <c r="L125" s="35"/>
      <c r="M125" s="35"/>
      <c r="N125" s="35"/>
      <c r="O125" s="35"/>
      <c r="P125" s="35"/>
      <c r="Q125" s="35"/>
      <c r="V125" s="35"/>
    </row>
    <row r="126" spans="1:22" x14ac:dyDescent="0.2">
      <c r="A126" s="35"/>
      <c r="B126" s="35"/>
      <c r="C126" s="35"/>
      <c r="D126" s="35"/>
      <c r="E126" s="35"/>
      <c r="F126" s="35"/>
      <c r="G126" s="35"/>
      <c r="H126" s="35"/>
      <c r="I126" s="35"/>
      <c r="J126" s="143"/>
      <c r="K126" s="143"/>
      <c r="L126" s="35"/>
      <c r="M126" s="35"/>
      <c r="N126" s="35"/>
      <c r="O126" s="35"/>
      <c r="P126" s="35"/>
      <c r="Q126" s="35"/>
      <c r="V126" s="35"/>
    </row>
    <row r="127" spans="1:22" x14ac:dyDescent="0.2">
      <c r="A127" s="35"/>
      <c r="B127" s="35"/>
      <c r="C127" s="35"/>
      <c r="D127" s="35"/>
      <c r="E127" s="35"/>
      <c r="F127" s="35"/>
      <c r="G127" s="35"/>
      <c r="H127" s="35"/>
      <c r="I127" s="35"/>
      <c r="J127" s="143"/>
      <c r="K127" s="143"/>
      <c r="L127" s="35"/>
      <c r="M127" s="35"/>
      <c r="N127" s="35"/>
      <c r="O127" s="35"/>
      <c r="P127" s="35"/>
      <c r="Q127" s="35"/>
      <c r="V127" s="35"/>
    </row>
    <row r="128" spans="1:22" x14ac:dyDescent="0.2">
      <c r="A128" s="35"/>
      <c r="B128" s="35"/>
      <c r="C128" s="35"/>
      <c r="D128" s="35"/>
      <c r="E128" s="35"/>
      <c r="F128" s="35"/>
      <c r="G128" s="35"/>
      <c r="H128" s="35"/>
      <c r="I128" s="35"/>
      <c r="J128" s="143"/>
      <c r="K128" s="143"/>
      <c r="L128" s="35"/>
      <c r="M128" s="35"/>
      <c r="N128" s="35"/>
      <c r="O128" s="35"/>
      <c r="P128" s="35"/>
      <c r="Q128" s="35"/>
      <c r="V128" s="35"/>
    </row>
    <row r="129" spans="1:22" x14ac:dyDescent="0.2">
      <c r="A129" s="35"/>
      <c r="B129" s="35"/>
      <c r="C129" s="35"/>
      <c r="D129" s="35"/>
      <c r="E129" s="35"/>
      <c r="F129" s="35"/>
      <c r="G129" s="35"/>
      <c r="H129" s="35"/>
      <c r="I129" s="35"/>
      <c r="J129" s="143"/>
      <c r="K129" s="143"/>
      <c r="L129" s="35"/>
      <c r="M129" s="35"/>
      <c r="N129" s="35"/>
      <c r="O129" s="35"/>
      <c r="P129" s="35"/>
      <c r="Q129" s="35"/>
      <c r="V129" s="35"/>
    </row>
  </sheetData>
  <sheetProtection algorithmName="SHA-512" hashValue="oAggXfaoaqdghkNHybN32QnBc0Bh9RSho8AYCSeL8SPoXP0a4Fhhm6wAZKB7daD6Cm982KzPSO5mFga4Azm3Ig==" saltValue="nk3ON+uHMwjxsdwdVbEnoQ==" spinCount="100000" sheet="1" objects="1" scenarios="1"/>
  <protectedRanges>
    <protectedRange sqref="C7 D8" name="restoDelWorksheet_1_1" securityDescriptor="O:WDG:WDD:(A;;CC;;;WD)"/>
    <protectedRange sqref="E10:I10 G13 G83 F14:G15 F84:G84 F26:G29 I26:I29 I32:I45 F47:G49 I47:I49 F53:G61 I53:I61 G85:G86 A10:C10 I66:I75 H11:I18 F32:G45 F30 F11:G12 F17:G18 F85 F66:G75 F23:F24 I20:I22 H20:H30 F20:G22 F19:I19 H32:H75 F31:I31 F77:G82 H77:I86 F76:I76" name="restoDelWorksheet_1" securityDescriptor="O:WDG:WDD:(A;;CC;;;WD)"/>
    <protectedRange sqref="B14:B15" name="restoDelWorksheet_1_2" securityDescriptor="O:WDG:WDD:(A;;CC;;;WD)"/>
    <protectedRange sqref="D10" name="restoDelWorksheet_1_4" securityDescriptor="O:WDG:WDD:(A;;CC;;;WD)"/>
    <protectedRange sqref="I23:I25 G30 I30 F46:G46 I46 F50:G52 I50:I52 F62:G65 I62:I65 F25:G25 G23:G24" name="restoDelWorksheet_1_5" securityDescriptor="O:WDG:WDD:(A;;CC;;;WD)"/>
    <protectedRange sqref="L10:Q10" name="restoDelWorksheet_1_3" securityDescriptor="O:WDG:WDD:(A;;CC;;;WD)"/>
    <protectedRange sqref="K10" name="restoDelWorksheet_1_6" securityDescriptor="O:WDG:WDD:(A;;CC;;;WD)"/>
    <protectedRange sqref="J10" name="restoDelWorksheet_1_6_1" securityDescriptor="O:WDG:WDD:(A;;CC;;;WD)"/>
    <protectedRange sqref="F16:G16" name="restoDelWorksheet_1_1_1" securityDescriptor="O:WDG:WDD:(A;;CC;;;WD)"/>
  </protectedRanges>
  <autoFilter ref="A10:A86" xr:uid="{056CC0D4-3798-43BF-B13E-53879CA66104}">
    <filterColumn colId="0">
      <customFilters>
        <customFilter val="**"/>
      </customFilters>
    </filterColumn>
  </autoFilter>
  <sortState ref="A11:AD171">
    <sortCondition ref="A11:A171"/>
  </sortState>
  <dataConsolidate/>
  <customSheetViews>
    <customSheetView guid="{885128CB-C7E7-4F99-B059-3D33F9918444}" scale="80" showPageBreaks="1" showGridLines="0" printArea="1" showAutoFilter="1" hiddenRows="1" hiddenColumns="1" view="pageLayout" topLeftCell="B1">
      <selection activeCell="B3" sqref="B3:B7"/>
      <colBreaks count="2" manualBreakCount="2">
        <brk id="7" max="142" man="1"/>
        <brk id="9" max="1048575" man="1"/>
      </colBreaks>
      <pageMargins left="0.7" right="0.7" top="1.464375" bottom="0.75" header="0.3" footer="0.3"/>
      <pageSetup paperSize="9" scale="65" orientation="landscape" r:id="rId1"/>
      <headerFooter>
        <oddHeader>&amp;L&amp;G
&amp;9Fecha 02/07/2012&amp;C&amp;12ADMINISTRACIÓN GENERAL DE COMUNICACIONES Y TECNOLOGÍAS DE 
LA INFORMACIÓN
&amp;"-,Bold"&amp;10&amp;F&amp;12
&amp;11Nombrado de Artefactos&amp;R&amp;G
&amp;9
Versión: 1.0</oddHeader>
        <oddFooter>&amp;CPágina &amp;P of &amp;N</oddFooter>
      </headerFooter>
      <autoFilter ref="B1:Y1" xr:uid="{00000000-0000-0000-0000-000000000000}"/>
    </customSheetView>
    <customSheetView guid="{41B348E9-DE08-4F64-948D-855D8EF9DC1D}" scale="80" showGridLines="0" filter="1" showAutoFilter="1" hiddenRows="1" hiddenColumns="1" topLeftCell="B1">
      <pane xSplit="1" ySplit="10" topLeftCell="C11" activePane="bottomRight" state="frozen"/>
      <selection pane="bottomRight" activeCell="L19" sqref="L19"/>
      <colBreaks count="2" manualBreakCount="2">
        <brk id="11" max="142" man="1"/>
        <brk id="13" max="1048575" man="1"/>
      </colBreaks>
      <pageMargins left="0.7" right="0.7" top="1.464375" bottom="0.75" header="0.3" footer="0.3"/>
      <pageSetup paperSize="9" scale="65" orientation="landscape" r:id="rId2"/>
      <headerFooter>
        <oddHeader>&amp;L&amp;G
&amp;9Fecha 06/05/2013&amp;CADMINISTRACIÓN GENERAL DE COMUNICACIONES Y TECNOLOGÍAS DE 
LA INFORMACIÓN
&amp;"-,Bold"&amp;F
&amp;A&amp;R&amp;G
&amp;9
Versión: 3.1</oddHeader>
        <oddFooter>&amp;CPágina &amp;P of &amp;N</oddFooter>
      </headerFooter>
      <autoFilter ref="B1:AA1" xr:uid="{00000000-0000-0000-0000-000000000000}"/>
    </customSheetView>
  </customSheetViews>
  <mergeCells count="6">
    <mergeCell ref="A3:A7"/>
    <mergeCell ref="D6:E6"/>
    <mergeCell ref="D4:E4"/>
    <mergeCell ref="D5:E5"/>
    <mergeCell ref="D3:E3"/>
    <mergeCell ref="C7:H7"/>
  </mergeCells>
  <conditionalFormatting sqref="D18">
    <cfRule type="iconSet" priority="46">
      <iconSet iconSet="3Symbols2" showValue="0">
        <cfvo type="percent" val="0"/>
        <cfvo type="num" val="2"/>
        <cfvo type="num" val="3"/>
      </iconSet>
    </cfRule>
  </conditionalFormatting>
  <conditionalFormatting sqref="D10">
    <cfRule type="iconSet" priority="905">
      <iconSet iconSet="3Symbols2" showValue="0">
        <cfvo type="percent" val="0"/>
        <cfvo type="num" val="2"/>
        <cfvo type="num" val="3"/>
      </iconSet>
    </cfRule>
  </conditionalFormatting>
  <conditionalFormatting sqref="D12">
    <cfRule type="iconSet" priority="907">
      <iconSet iconSet="3Symbols2" showValue="0">
        <cfvo type="percent" val="0"/>
        <cfvo type="num" val="2"/>
        <cfvo type="num" val="3"/>
      </iconSet>
    </cfRule>
  </conditionalFormatting>
  <conditionalFormatting sqref="D87:H65242 D1:H2 D9:H9 D4:D5">
    <cfRule type="iconSet" priority="912">
      <iconSet iconSet="3Symbols2" showValue="0">
        <cfvo type="percent" val="0"/>
        <cfvo type="num" val="2"/>
        <cfvo type="num" val="3"/>
      </iconSet>
    </cfRule>
  </conditionalFormatting>
  <conditionalFormatting sqref="D16">
    <cfRule type="iconSet" priority="15">
      <iconSet iconSet="3Symbols2" showValue="0">
        <cfvo type="percent" val="0"/>
        <cfvo type="num" val="2"/>
        <cfvo type="num" val="3"/>
      </iconSet>
    </cfRule>
  </conditionalFormatting>
  <conditionalFormatting sqref="D13:D14">
    <cfRule type="iconSet" priority="1235">
      <iconSet iconSet="3Symbols2" showValue="0">
        <cfvo type="percent" val="0"/>
        <cfvo type="num" val="2"/>
        <cfvo type="num" val="3"/>
      </iconSet>
    </cfRule>
  </conditionalFormatting>
  <conditionalFormatting sqref="D30">
    <cfRule type="iconSet" priority="12">
      <iconSet iconSet="3Symbols2" showValue="0">
        <cfvo type="percent" val="0"/>
        <cfvo type="num" val="2"/>
        <cfvo type="num" val="3"/>
      </iconSet>
    </cfRule>
  </conditionalFormatting>
  <conditionalFormatting sqref="D46">
    <cfRule type="iconSet" priority="11">
      <iconSet iconSet="3Symbols2" showValue="0">
        <cfvo type="percent" val="0"/>
        <cfvo type="num" val="2"/>
        <cfvo type="num" val="3"/>
      </iconSet>
    </cfRule>
  </conditionalFormatting>
  <conditionalFormatting sqref="D50:D52">
    <cfRule type="iconSet" priority="10">
      <iconSet iconSet="3Symbols2" showValue="0">
        <cfvo type="percent" val="0"/>
        <cfvo type="num" val="2"/>
        <cfvo type="num" val="3"/>
      </iconSet>
    </cfRule>
  </conditionalFormatting>
  <conditionalFormatting sqref="D62:D63">
    <cfRule type="iconSet" priority="9">
      <iconSet iconSet="3Symbols2" showValue="0">
        <cfvo type="percent" val="0"/>
        <cfvo type="num" val="2"/>
        <cfvo type="num" val="3"/>
      </iconSet>
    </cfRule>
  </conditionalFormatting>
  <conditionalFormatting sqref="D64">
    <cfRule type="iconSet" priority="8">
      <iconSet iconSet="3Symbols2" showValue="0">
        <cfvo type="percent" val="0"/>
        <cfvo type="num" val="2"/>
        <cfvo type="num" val="3"/>
      </iconSet>
    </cfRule>
  </conditionalFormatting>
  <conditionalFormatting sqref="D73">
    <cfRule type="iconSet" priority="7">
      <iconSet iconSet="3Symbols2" showValue="0">
        <cfvo type="percent" val="0"/>
        <cfvo type="num" val="2"/>
        <cfvo type="num" val="3"/>
      </iconSet>
    </cfRule>
  </conditionalFormatting>
  <conditionalFormatting sqref="D85:D86">
    <cfRule type="iconSet" priority="6">
      <iconSet iconSet="3Symbols2" showValue="0">
        <cfvo type="percent" val="0"/>
        <cfvo type="num" val="2"/>
        <cfvo type="num" val="3"/>
      </iconSet>
    </cfRule>
  </conditionalFormatting>
  <conditionalFormatting sqref="D65">
    <cfRule type="iconSet" priority="5">
      <iconSet iconSet="3Symbols2" showValue="0">
        <cfvo type="percent" val="0"/>
        <cfvo type="num" val="2"/>
        <cfvo type="num" val="3"/>
      </iconSet>
    </cfRule>
  </conditionalFormatting>
  <conditionalFormatting sqref="D22">
    <cfRule type="iconSet" priority="4">
      <iconSet iconSet="3Symbols2" showValue="0">
        <cfvo type="percent" val="0"/>
        <cfvo type="num" val="2"/>
        <cfvo type="num" val="3"/>
      </iconSet>
    </cfRule>
  </conditionalFormatting>
  <conditionalFormatting sqref="D32:D45 D17 D15 D20:D21 D47:D49 D53:D61 D66:D72 D74:D75 D23:D29 D11 D77:D84">
    <cfRule type="iconSet" priority="1284">
      <iconSet iconSet="3Symbols2" showValue="0">
        <cfvo type="percent" val="0"/>
        <cfvo type="num" val="2"/>
        <cfvo type="num" val="3"/>
      </iconSet>
    </cfRule>
  </conditionalFormatting>
  <conditionalFormatting sqref="D19">
    <cfRule type="iconSet" priority="3">
      <iconSet iconSet="3Symbols2" showValue="0">
        <cfvo type="percent" val="0"/>
        <cfvo type="num" val="2"/>
        <cfvo type="num" val="3"/>
      </iconSet>
    </cfRule>
  </conditionalFormatting>
  <conditionalFormatting sqref="D31">
    <cfRule type="iconSet" priority="2">
      <iconSet iconSet="3Symbols2" showValue="0">
        <cfvo type="percent" val="0"/>
        <cfvo type="num" val="2"/>
        <cfvo type="num" val="3"/>
      </iconSet>
    </cfRule>
  </conditionalFormatting>
  <conditionalFormatting sqref="D76">
    <cfRule type="iconSet" priority="1">
      <iconSet iconSet="3Symbols2" showValue="0">
        <cfvo type="percent" val="0"/>
        <cfvo type="num" val="2"/>
        <cfvo type="num" val="3"/>
      </iconSet>
    </cfRule>
  </conditionalFormatting>
  <dataValidations disablePrompts="1" count="2">
    <dataValidation allowBlank="1" showInputMessage="1" sqref="I9" xr:uid="{00000000-0002-0000-0400-000000000000}"/>
    <dataValidation showInputMessage="1" showErrorMessage="1" sqref="F6:G6" xr:uid="{00000000-0002-0000-0400-000001000000}"/>
  </dataValidations>
  <pageMargins left="0.7" right="0.7" top="1.464375" bottom="0.75" header="0.3" footer="0.3"/>
  <pageSetup paperSize="9" scale="65" orientation="landscape" r:id="rId3"/>
  <headerFooter>
    <oddHeader>&amp;L&amp;G
&amp;9Fecha 06/05/2013&amp;CADMINISTRACIÓN GENERAL DE COMUNICACIONES Y TECNOLOGÍAS DE 
LA INFORMACIÓN
&amp;"-,Bold"&amp;F
&amp;A&amp;R&amp;G
&amp;9
Versión: 3.1</oddHeader>
    <oddFooter>&amp;CPágina &amp;P of &amp;N</oddFooter>
  </headerFooter>
  <ignoredErrors>
    <ignoredError sqref="I10" unlockedFormula="1"/>
    <ignoredError sqref="E23 E14" formula="1"/>
  </ignoredErrors>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400-000002000000}">
          <x14:formula1>
            <xm:f>'C:\Users\RAND6384\Desktop\[Workbook _v11_ok_OMPV2.xlsm]Catalogos'!#REF!</xm:f>
          </x14:formula1>
          <xm:sqref>J11:J86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5" tint="0.39997558519241921"/>
  </sheetPr>
  <dimension ref="A1:K87"/>
  <sheetViews>
    <sheetView showGridLines="0" zoomScale="80" zoomScaleNormal="80" zoomScaleSheetLayoutView="90" zoomScalePageLayoutView="80" workbookViewId="0">
      <selection activeCell="E30" sqref="E30:F30"/>
    </sheetView>
  </sheetViews>
  <sheetFormatPr baseColWidth="10" defaultColWidth="9.140625" defaultRowHeight="12.75" x14ac:dyDescent="0.2"/>
  <cols>
    <col min="1" max="1" width="47.42578125" style="1" customWidth="1"/>
    <col min="2" max="2" width="26.7109375" style="2" customWidth="1"/>
    <col min="3" max="3" width="28.42578125" style="2" customWidth="1"/>
    <col min="4" max="4" width="42.5703125" style="2" customWidth="1"/>
    <col min="5" max="5" width="59" style="24" customWidth="1"/>
    <col min="6" max="6" width="20" style="24" customWidth="1"/>
    <col min="7" max="7" width="19.5703125" style="2" hidden="1" customWidth="1"/>
    <col min="8" max="8" width="31.140625" style="2" hidden="1" customWidth="1"/>
    <col min="9" max="9" width="29" style="3" hidden="1" customWidth="1"/>
    <col min="10" max="10" width="42.5703125" style="12" hidden="1" customWidth="1"/>
    <col min="11" max="11" width="52.28515625" style="12" customWidth="1"/>
    <col min="12" max="12" width="9.140625" style="1" customWidth="1"/>
    <col min="13" max="13" width="13.140625" style="1" customWidth="1"/>
    <col min="14" max="14" width="9.140625" style="1" customWidth="1"/>
    <col min="15" max="15" width="15.28515625" style="1" customWidth="1"/>
    <col min="16" max="16" width="9.140625" style="1" customWidth="1"/>
    <col min="17" max="16384" width="9.140625" style="1"/>
  </cols>
  <sheetData>
    <row r="1" spans="1:11" ht="15.75" customHeight="1" x14ac:dyDescent="0.2">
      <c r="J1" s="326"/>
    </row>
    <row r="2" spans="1:11" ht="14.25" hidden="1" customHeight="1" thickBot="1" x14ac:dyDescent="0.25">
      <c r="A2" s="193"/>
    </row>
    <row r="3" spans="1:11" ht="24.75" hidden="1" customHeight="1" thickBot="1" x14ac:dyDescent="0.25">
      <c r="A3" s="616" t="s">
        <v>246</v>
      </c>
      <c r="B3" s="152" t="s">
        <v>109</v>
      </c>
      <c r="C3" s="153" t="s">
        <v>526</v>
      </c>
      <c r="D3" s="115" t="s">
        <v>123</v>
      </c>
      <c r="E3" s="115" t="s">
        <v>282</v>
      </c>
      <c r="F3" s="115" t="s">
        <v>1180</v>
      </c>
      <c r="G3" s="190"/>
      <c r="H3" s="190"/>
      <c r="I3" s="24"/>
      <c r="J3" s="24"/>
      <c r="K3" s="92"/>
    </row>
    <row r="4" spans="1:11" s="4" customFormat="1" ht="20.25" hidden="1" customHeight="1" thickBot="1" x14ac:dyDescent="0.25">
      <c r="A4" s="617"/>
      <c r="B4" s="153">
        <f>'Hoja Captura'!C12</f>
        <v>20181203</v>
      </c>
      <c r="C4" s="153" t="s">
        <v>527</v>
      </c>
      <c r="D4" s="153" t="str">
        <f>'Hoja Captura'!C3</f>
        <v>El Consorcio - CDS</v>
      </c>
      <c r="E4" s="153">
        <f>'Hoja Captura'!C4</f>
        <v>0</v>
      </c>
      <c r="F4" s="153">
        <f>'Nombrado Artefactos'!B6</f>
        <v>363</v>
      </c>
      <c r="G4" s="190"/>
      <c r="H4" s="190"/>
      <c r="I4" s="24"/>
      <c r="J4" s="24"/>
      <c r="K4" s="92"/>
    </row>
    <row r="5" spans="1:11" s="4" customFormat="1" ht="12" hidden="1" customHeight="1" thickBot="1" x14ac:dyDescent="0.25">
      <c r="A5" s="617"/>
      <c r="B5" s="115" t="s">
        <v>528</v>
      </c>
      <c r="C5" s="115" t="s">
        <v>520</v>
      </c>
      <c r="D5" s="115" t="s">
        <v>500</v>
      </c>
      <c r="E5" s="190"/>
      <c r="F5" s="115" t="s">
        <v>316</v>
      </c>
      <c r="G5" s="190"/>
      <c r="H5" s="190"/>
      <c r="I5" s="12"/>
      <c r="J5" s="12"/>
      <c r="K5" s="92"/>
    </row>
    <row r="6" spans="1:11" ht="4.5" hidden="1" customHeight="1" thickBot="1" x14ac:dyDescent="0.25">
      <c r="A6" s="618"/>
      <c r="B6" s="191">
        <f>'Hoja Captura'!D12</f>
        <v>43437</v>
      </c>
      <c r="C6" s="153" t="str">
        <f>CONCATENATE(TEXT(B6,"mm"),TEXT(B6,"aaaa"))</f>
        <v>122018</v>
      </c>
      <c r="D6" s="153" t="str">
        <f>IF(D4&gt;0,VLOOKUP(D4,Catalogos!I3:J5,2,0))</f>
        <v>CON</v>
      </c>
      <c r="E6" s="190"/>
      <c r="F6" s="153" t="str">
        <f>'Nombrado Artefactos'!I6</f>
        <v>IDEWEB</v>
      </c>
      <c r="G6" s="190"/>
      <c r="H6" s="190"/>
      <c r="I6" s="12"/>
      <c r="K6" s="92"/>
    </row>
    <row r="7" spans="1:11" s="35" customFormat="1" x14ac:dyDescent="0.2">
      <c r="B7" s="30"/>
      <c r="C7" s="31"/>
      <c r="D7" s="32"/>
      <c r="E7" s="33"/>
      <c r="F7" s="316"/>
      <c r="G7" s="317"/>
      <c r="H7" s="307"/>
      <c r="I7" s="34"/>
      <c r="J7" s="64"/>
      <c r="K7" s="64"/>
    </row>
    <row r="8" spans="1:11" s="64" customFormat="1" ht="41.25" customHeight="1" x14ac:dyDescent="0.25">
      <c r="A8" s="59" t="s">
        <v>0</v>
      </c>
      <c r="B8" s="59" t="s">
        <v>235</v>
      </c>
      <c r="C8" s="59" t="s">
        <v>2</v>
      </c>
      <c r="D8" s="315" t="s">
        <v>290</v>
      </c>
      <c r="E8" s="620" t="str">
        <f>UPPER("Comentarios")</f>
        <v>COMENTARIOS</v>
      </c>
      <c r="F8" s="620"/>
      <c r="G8" s="315" t="s">
        <v>1182</v>
      </c>
      <c r="H8" s="315" t="str">
        <f>UPPER("Longitud Nomenclatura")</f>
        <v>LONGITUD NOMENCLATURA</v>
      </c>
      <c r="I8" s="315" t="s">
        <v>1221</v>
      </c>
      <c r="J8" s="315" t="s">
        <v>1222</v>
      </c>
    </row>
    <row r="9" spans="1:11" s="25" customFormat="1" ht="31.5" customHeight="1" x14ac:dyDescent="0.25">
      <c r="A9" s="551" t="s">
        <v>429</v>
      </c>
      <c r="B9" s="14" t="s">
        <v>198</v>
      </c>
      <c r="C9" s="562" t="s">
        <v>198</v>
      </c>
      <c r="D9" s="406" t="str">
        <f>IF(I9=0, CONCATENATE(J9), IF(I9=1, CONCATENATE(B9,"_",$D$6,"_",$B$4), IF(I9=2, CONCATENATE(B9,"_",$B$4), IF(I9=3, CONCATENATE(B9,"_P",$F$4,"_",$B$4,"_",$F$6), IF(I9=4, CONCATENATE(B9,"_",$D$6,"_",$B$4,"_",$F$6), IF(I9=5,CONCATENATE(B9,"_",$D$6,"_P",$F$4,"_",$B$4,"_",$F$6), IF(I9=6, CONCATENATE(B9,"_",$B$4,"_",$F$6), IF(I9=7,CONCATENATE(B9,"_",$D$6,"_P",$F$4), IF(I9=8, CONCATENATE(B9,"_P",$F$4,"_",$B$4), No se tiene nomenclatura para este artefacto)))))))))</f>
        <v>OLA_20181203</v>
      </c>
      <c r="E9" s="619" t="s">
        <v>417</v>
      </c>
      <c r="F9" s="619"/>
      <c r="G9" s="13"/>
      <c r="H9" s="71">
        <f t="shared" ref="H9:H64" si="0">LEN(D9)</f>
        <v>12</v>
      </c>
      <c r="I9" s="14">
        <v>2</v>
      </c>
      <c r="J9" s="551"/>
    </row>
    <row r="10" spans="1:11" s="25" customFormat="1" ht="28.5" customHeight="1" x14ac:dyDescent="0.25">
      <c r="A10" s="551" t="s">
        <v>1189</v>
      </c>
      <c r="B10" s="14" t="s">
        <v>366</v>
      </c>
      <c r="C10" s="562" t="s">
        <v>206</v>
      </c>
      <c r="D10" s="492" t="str">
        <f>IF(I10=0, CONCATENATE(J10), IF(I10=1, CONCATENATE(B10,"_",$D$6,"_",$B$4), IF(I10=2, CONCATENATE(B10,"_",$B$4), IF(I10=3, CONCATENATE(B10,"_P",$F$4,"_",$B$4,"_",$F$6), IF(I10=4, CONCATENATE(B10,"_",$D$6,"_",$B$4,"_",$F$6), IF(I10=5,CONCATENATE(B10,"_",$D$6,"_P",$F$4,"_",$B$4,"_",$F$6), IF(I10=6, CONCATENATE(B10,"_",$B$4,"_",$F$6), IF(I10=7,CONCATENATE(B10,"_",$D$6,"_P",$F$4), IF(I10=8, CONCATENATE(B10,"_P",$F$4,"_",$B$4), No se tiene nomenclatura para este artefacto)))))))))</f>
        <v>RPOLA_CON_20181203</v>
      </c>
      <c r="E10" s="619" t="s">
        <v>418</v>
      </c>
      <c r="F10" s="619"/>
      <c r="G10" s="13"/>
      <c r="H10" s="71">
        <f t="shared" si="0"/>
        <v>18</v>
      </c>
      <c r="I10" s="14">
        <v>1</v>
      </c>
      <c r="J10" s="551"/>
    </row>
    <row r="11" spans="1:11" s="25" customFormat="1" ht="25.5" customHeight="1" x14ac:dyDescent="0.25">
      <c r="A11" s="551" t="s">
        <v>1190</v>
      </c>
      <c r="B11" s="14" t="s">
        <v>449</v>
      </c>
      <c r="C11" s="562" t="s">
        <v>207</v>
      </c>
      <c r="D11" s="492" t="str">
        <f>IF(I11=0, CONCATENATE(J11), IF(I11=1, CONCATENATE(B11,"_",$D$6,"_",$B$4), IF(I11=2, CONCATENATE(B11,"_",$B$4), IF(I11=3, CONCATENATE(B11,"_P",$F$4,"_",$B$4,"_",$F$6), IF(I11=4, CONCATENATE(B11,"_",$D$6,"_",$B$4,"_",$F$6), IF(I11=5,CONCATENATE(B11,"_",$D$6,"_P",$F$4,"_",$B$4,"_",$F$6), IF(I11=6, CONCATENATE(B11,"_",$B$4,"_",$F$6), IF(I11=7,CONCATENATE(B11,"_",$D$6,"_P",$F$4), IF(I11=8, CONCATENATE(B11,"_P",$F$4,"_",$B$4), No se tiene nomenclatura para este artefacto)))))))))</f>
        <v>RPAP_CON_20181203</v>
      </c>
      <c r="E11" s="619" t="s">
        <v>418</v>
      </c>
      <c r="F11" s="619"/>
      <c r="G11" s="13"/>
      <c r="H11" s="71">
        <f t="shared" si="0"/>
        <v>17</v>
      </c>
      <c r="I11" s="14">
        <v>1</v>
      </c>
      <c r="J11" s="551"/>
    </row>
    <row r="12" spans="1:11" s="25" customFormat="1" ht="25.5" customHeight="1" x14ac:dyDescent="0.25">
      <c r="A12" s="551" t="s">
        <v>318</v>
      </c>
      <c r="B12" s="14" t="s">
        <v>319</v>
      </c>
      <c r="C12" s="562" t="s">
        <v>320</v>
      </c>
      <c r="D12" s="492" t="str">
        <f>IF(I12=0, CONCATENATE(J12), IF(I12=1, CONCATENATE(B12,"_",$D$6,"_",$B$4), IF(I12=2, CONCATENATE(B12,"_",$B$4), IF(I12=3, CONCATENATE(B12,"_P",$F$4,"_",$B$4,"_",$F$6), IF(I12=4, CONCATENATE(B12,"_",$D$6,"_",$B$4,"_",$F$6), IF(I12=5,CONCATENATE(B12,"_",$D$6,"_P",$F$4,"_",$B$4,"_",$F$6), IF(I12=6, CONCATENATE(B12,"_",$B$4,"_",$F$6), IF(I12=7,CONCATENATE(B12,"_",$D$6,"_P",$F$4), IF(I12=8, CONCATENATE(B12,"_P",$F$4,"_",$B$4), No se tiene nomenclatura para este artefacto)))))))))</f>
        <v>CATDIC_20181203</v>
      </c>
      <c r="E12" s="619" t="s">
        <v>416</v>
      </c>
      <c r="F12" s="619"/>
      <c r="G12" s="13"/>
      <c r="H12" s="71">
        <f t="shared" si="0"/>
        <v>15</v>
      </c>
      <c r="I12" s="324">
        <v>2</v>
      </c>
      <c r="J12" s="26"/>
    </row>
    <row r="13" spans="1:11" s="25" customFormat="1" ht="38.25" customHeight="1" x14ac:dyDescent="0.25">
      <c r="A13" s="551" t="s">
        <v>1191</v>
      </c>
      <c r="B13" s="14" t="s">
        <v>451</v>
      </c>
      <c r="C13" s="562" t="s">
        <v>209</v>
      </c>
      <c r="D13" s="492" t="str">
        <f>IF(I13=0, CONCATENATE(J13), IF(I13=1, CONCATENATE(B13,"_",$D$6,"_",$B$4), IF(I13=2, CONCATENATE(B13,"_",$B$4), IF(I13=3, CONCATENATE(B13,"_P",$F$4,"_",$B$4,"_",$F$6), IF(I13=4, CONCATENATE(B13,"_",$D$6,"_",$B$4,"_",$F$6), IF(I13=5,CONCATENATE(B13,"_",$D$6,"_P",$F$4,"_",$B$4,"_",$F$6), IF(I13=6, CONCATENATE(B13,"_",$B$4,"_",$F$6), IF(I13=7,CONCATENATE(B13,"_",$D$6,"_P",$F$4), IF(I13=8, CONCATENATE(B13,"_P",$F$4,"_",$B$4), No se tiene nomenclatura para este artefacto)))))))))</f>
        <v>RepConsolidadoServ_CDS1,2y3_20181203</v>
      </c>
      <c r="E13" s="619" t="s">
        <v>418</v>
      </c>
      <c r="F13" s="619"/>
      <c r="G13" s="13"/>
      <c r="H13" s="71">
        <f t="shared" si="0"/>
        <v>36</v>
      </c>
      <c r="I13" s="327">
        <v>0</v>
      </c>
      <c r="J13" s="47" t="str">
        <f>'Entregables Contractuales'!F6</f>
        <v>RepConsolidadoServ_CDS1,2y3_20181203</v>
      </c>
    </row>
    <row r="14" spans="1:11" s="25" customFormat="1" ht="25.5" customHeight="1" x14ac:dyDescent="0.25">
      <c r="A14" s="551" t="s">
        <v>1211</v>
      </c>
      <c r="B14" s="14" t="s">
        <v>452</v>
      </c>
      <c r="C14" s="562" t="s">
        <v>210</v>
      </c>
      <c r="D14" s="492" t="str">
        <f>IF(I14=0, CONCATENATE(J14), IF(I14=1, CONCATENATE(B14,"_",$D$6,"_",$B$4), IF(I14=2, CONCATENATE(B14,"_",$B$4), IF(I14=3, CONCATENATE(B14,"_P",$F$4,"_",$B$4,"_",$F$6), IF(I14=4, CONCATENATE(B14,"_",$D$6,"_",$B$4,"_",$F$6), IF(I14=5,CONCATENATE(B14,"_",$D$6,"_P",$F$4,"_",$B$4,"_",$F$6), IF(I14=6, CONCATENATE(B14,"_",$B$4,"_",$F$6), IF(I14=7,CONCATENATE(B14,"_",$D$6,"_P",$F$4), IF(I14=8, CONCATENATE(B14,"_P",$F$4,"_",$B$4), No se tiene nomenclatura para este artefacto)))))))))</f>
        <v>RPCFM_CON_20181203</v>
      </c>
      <c r="E14" s="619" t="s">
        <v>419</v>
      </c>
      <c r="F14" s="619"/>
      <c r="G14" s="13"/>
      <c r="H14" s="71">
        <f t="shared" si="0"/>
        <v>18</v>
      </c>
      <c r="I14" s="14">
        <v>1</v>
      </c>
      <c r="J14" s="26"/>
    </row>
    <row r="15" spans="1:11" s="25" customFormat="1" ht="25.5" customHeight="1" x14ac:dyDescent="0.25">
      <c r="A15" s="551" t="s">
        <v>1195</v>
      </c>
      <c r="B15" s="14" t="s">
        <v>357</v>
      </c>
      <c r="C15" s="562" t="s">
        <v>321</v>
      </c>
      <c r="D15" s="492" t="str">
        <f>IF(I15=0, CONCATENATE(J15), IF(I15=1, CONCATENATE(B15,"_",$D$6,"_",$B$4), IF(I15=2, CONCATENATE(B15,"_",$B$4), IF(I15=3, CONCATENATE(B15,"_P",$F$4,"_",$B$4,"_",$F$6), IF(I15=4, CONCATENATE(B15,"_",$D$6,"_",$B$4,"_",$F$6), IF(I15=5,CONCATENATE(B15,"_",$D$6,"_P",$F$4,"_",$B$4,"_",$F$6), IF(I15=6, CONCATENATE(B15,"_",$B$4,"_",$F$6), IF(I15=7,CONCATENATE(B15,"_",$D$6,"_P",$F$4), IF(I15=8, CONCATENATE(B15,"_P",$F$4,"_",$B$4), No se tiene nomenclatura para este artefacto)))))))))</f>
        <v>CRIMED_CDS1,2y3_20181203</v>
      </c>
      <c r="E15" s="619" t="s">
        <v>417</v>
      </c>
      <c r="F15" s="619"/>
      <c r="G15" s="13"/>
      <c r="H15" s="71">
        <f t="shared" si="0"/>
        <v>24</v>
      </c>
      <c r="I15" s="14">
        <v>0</v>
      </c>
      <c r="J15" s="26" t="str">
        <f>'Entregables Contractuales'!F9</f>
        <v>CRIMED_CDS1,2y3_20181203</v>
      </c>
    </row>
    <row r="16" spans="1:11" s="25" customFormat="1" ht="29.25" customHeight="1" x14ac:dyDescent="0.25">
      <c r="A16" s="551" t="s">
        <v>407</v>
      </c>
      <c r="B16" s="14" t="s">
        <v>408</v>
      </c>
      <c r="C16" s="562" t="s">
        <v>409</v>
      </c>
      <c r="D16" s="492" t="str">
        <f>IF(I16=0, CONCATENATE(J16), IF(I16=1, CONCATENATE(B16,"_",$D$6,"_",$B$4), IF(I16=2, CONCATENATE(B16,"_",$B$4), IF(I16=3, CONCATENATE(B16,"_P",$F$4,"_",$B$4,"_",$F$6), IF(I16=4, CONCATENATE(B16,"_",$D$6,"_",$B$4,"_",$F$6), IF(I16=5,CONCATENATE(B16,"_",$D$6,"_P",$F$4,"_",$B$4,"_",$F$6), IF(I16=6, CONCATENATE(B16,"_",$B$4,"_",$F$6), IF(I16=7,CONCATENATE(B16,"_",$D$6,"_P",$F$4), IF(I16=8, CONCATENATE(B16,"_P",$F$4,"_",$B$4), No se tiene nomenclatura para este artefacto)))))))))</f>
        <v>DESPROC_CON_20181203</v>
      </c>
      <c r="E16" s="619" t="s">
        <v>427</v>
      </c>
      <c r="F16" s="619"/>
      <c r="G16" s="13"/>
      <c r="H16" s="71">
        <f t="shared" si="0"/>
        <v>20</v>
      </c>
      <c r="I16" s="14">
        <v>1</v>
      </c>
      <c r="J16" s="551"/>
    </row>
    <row r="17" spans="1:10" s="25" customFormat="1" ht="32.25" customHeight="1" x14ac:dyDescent="0.25">
      <c r="A17" s="551" t="s">
        <v>472</v>
      </c>
      <c r="B17" s="14" t="s">
        <v>410</v>
      </c>
      <c r="C17" s="562" t="s">
        <v>411</v>
      </c>
      <c r="D17" s="492" t="str">
        <f>IF(I17=0, CONCATENATE(J17), IF(I17=1, CONCATENATE(B17,"_",$D$6,"_",$B$4), IF(I17=2, CONCATENATE(B17,"_",$B$4), IF(I17=3, CONCATENATE(B17,"_P",$F$4,"_",$B$4,"_",$F$6), IF(I17=4, CONCATENATE(B17,"_",$D$6,"_",$B$4,"_",$F$6), IF(I17=5,CONCATENATE(B17,"_",$D$6,"_P",$F$4,"_",$B$4,"_",$F$6), IF(I17=6, CONCATENATE(B17,"_",$B$4,"_",$F$6), IF(I17=7,CONCATENATE(B17,"_",$D$6,"_P",$F$4), IF(I17=8, CONCATENATE(B17,"_P",$F$4,"_",$B$4), No se tiene nomenclatura para este artefacto)))))))))</f>
        <v>RSO_CON_20181203</v>
      </c>
      <c r="E17" s="619" t="s">
        <v>412</v>
      </c>
      <c r="F17" s="619"/>
      <c r="G17" s="13"/>
      <c r="H17" s="71">
        <f t="shared" si="0"/>
        <v>16</v>
      </c>
      <c r="I17" s="14">
        <v>1</v>
      </c>
      <c r="J17" s="551"/>
    </row>
    <row r="18" spans="1:10" s="57" customFormat="1" ht="28.5" customHeight="1" x14ac:dyDescent="0.25">
      <c r="A18" s="551" t="s">
        <v>1187</v>
      </c>
      <c r="B18" s="14" t="s">
        <v>458</v>
      </c>
      <c r="C18" s="562" t="s">
        <v>204</v>
      </c>
      <c r="D18" s="492" t="str">
        <f>IF(I18=0, CONCATENATE(J18), IF(I18=1, CONCATENATE(B18,"_",$D$6,"_",$B$4), IF(I18=2, CONCATENATE(B18,"_",$B$4), IF(I18=3, CONCATENATE(B18,"_P",$F$4,"_",$B$4,"_",$F$6), IF(I18=4, CONCATENATE(B18,"_",$D$6,"_",$B$4,"_",$F$6), IF(I18=5,CONCATENATE(B18,"_",$D$6,"_P",$F$4,"_",$B$4,"_",$F$6), IF(I18=6, CONCATENATE(B18,"_",$B$4,"_",$F$6), IF(I18=7,CONCATENATE(B18,"_",$D$6,"_P",$F$4), IF(I18=8, CONCATENATE(B18,"_P",$F$4,"_",$B$4), No se tiene nomenclatura para este artefacto)))))))))</f>
        <v>RPNS_CON_20181203</v>
      </c>
      <c r="E18" s="619" t="s">
        <v>474</v>
      </c>
      <c r="F18" s="619"/>
      <c r="G18" s="13"/>
      <c r="H18" s="71">
        <f t="shared" si="0"/>
        <v>17</v>
      </c>
      <c r="I18" s="324">
        <v>1</v>
      </c>
      <c r="J18" s="551"/>
    </row>
    <row r="19" spans="1:10" s="25" customFormat="1" ht="25.5" customHeight="1" x14ac:dyDescent="0.25">
      <c r="A19" s="551" t="s">
        <v>323</v>
      </c>
      <c r="B19" s="14" t="s">
        <v>358</v>
      </c>
      <c r="C19" s="562" t="s">
        <v>324</v>
      </c>
      <c r="D19" s="492" t="str">
        <f>IF(I19=0, CONCATENATE(J19), IF(I19=1, CONCATENATE(B19,"_",$D$6,"_",$B$4), IF(I19=2, CONCATENATE(B19,"_",$B$4), IF(I19=3, CONCATENATE(B19,"_P",$F$4,"_",$B$4,"_",$F$6), IF(I19=4, CONCATENATE(B19,"_",$D$6,"_",$B$4,"_",$F$6), IF(I19=5,CONCATENATE(B19,"_",$D$6,"_P",$F$4,"_",$B$4,"_",$F$6), IF(I19=6, CONCATENATE(B19,"_",$B$4,"_",$F$6), IF(I19=7,CONCATENATE(B19,"_",$D$6,"_P",$F$4), IF(I19=8, CONCATENATE(B19,"_P",$F$4,"_",$B$4), No se tiene nomenclatura para este artefacto)))))))))</f>
        <v>ESPRU_20181203</v>
      </c>
      <c r="E19" s="619" t="s">
        <v>419</v>
      </c>
      <c r="F19" s="619"/>
      <c r="G19" s="13"/>
      <c r="H19" s="71">
        <f t="shared" si="0"/>
        <v>14</v>
      </c>
      <c r="I19" s="14">
        <v>2</v>
      </c>
      <c r="J19" s="26"/>
    </row>
    <row r="20" spans="1:10" s="25" customFormat="1" ht="29.25" customHeight="1" x14ac:dyDescent="0.25">
      <c r="A20" s="551" t="s">
        <v>422</v>
      </c>
      <c r="B20" s="14" t="s">
        <v>360</v>
      </c>
      <c r="C20" s="562" t="s">
        <v>325</v>
      </c>
      <c r="D20" s="492" t="str">
        <f>IF(I20=0, CONCATENATE(J20), IF(I20=1, CONCATENATE(B20,"_",$D$6,"_",$B$4), IF(I20=2, CONCATENATE(B20,"_",$B$4), IF(I20=3, CONCATENATE(B20,"_P",$F$4,"_",$B$4,"_",$F$6), IF(I20=4, CONCATENATE(B20,"_",$D$6,"_",$B$4,"_",$F$6), IF(I20=5,CONCATENATE(B20,"_",$D$6,"_P",$F$4,"_",$B$4,"_",$F$6), IF(I20=6, CONCATENATE(B20,"_",$B$4,"_",$F$6), IF(I20=7,CONCATENATE(B20,"_",$D$6,"_P",$F$4), IF(I20=8, CONCATENATE(B20,"_P",$F$4,"_",$B$4), No se tiene nomenclatura para este artefacto)))))))))</f>
        <v>GMECSMC_20181203</v>
      </c>
      <c r="E20" s="619" t="s">
        <v>420</v>
      </c>
      <c r="F20" s="619"/>
      <c r="G20" s="13"/>
      <c r="H20" s="71">
        <f t="shared" si="0"/>
        <v>16</v>
      </c>
      <c r="I20" s="327">
        <v>2</v>
      </c>
      <c r="J20" s="26"/>
    </row>
    <row r="21" spans="1:10" s="25" customFormat="1" ht="29.25" customHeight="1" x14ac:dyDescent="0.25">
      <c r="A21" s="551" t="s">
        <v>423</v>
      </c>
      <c r="B21" s="14" t="s">
        <v>443</v>
      </c>
      <c r="C21" s="562" t="s">
        <v>444</v>
      </c>
      <c r="D21" s="492" t="str">
        <f>IF(I21=0, CONCATENATE(J21), IF(I21=1, CONCATENATE(B21,"_",$D$6,"_",$B$4), IF(I21=2, CONCATENATE(B21,"_",$B$4), IF(I21=3, CONCATENATE(B21,"_P",$F$4,"_",$B$4,"_",$F$6), IF(I21=4, CONCATENATE(B21,"_",$D$6,"_",$B$4,"_",$F$6), IF(I21=5,CONCATENATE(B21,"_",$D$6,"_P",$F$4,"_",$B$4,"_",$F$6), IF(I21=6, CONCATENATE(B21,"_",$B$4,"_",$F$6), IF(I21=7,CONCATENATE(B21,"_",$D$6,"_P",$F$4), IF(I21=8, CONCATENATE(B21,"_P",$F$4,"_",$B$4), No se tiene nomenclatura para este artefacto)))))))))</f>
        <v>IRAC_CON_P363</v>
      </c>
      <c r="E21" s="619" t="s">
        <v>419</v>
      </c>
      <c r="F21" s="619"/>
      <c r="G21" s="13"/>
      <c r="H21" s="71">
        <f t="shared" si="0"/>
        <v>13</v>
      </c>
      <c r="I21" s="14">
        <v>7</v>
      </c>
      <c r="J21" s="26" t="str">
        <f>'Entregables Contractuales'!F16</f>
        <v>IRAC_CDS1,2y3_20181203</v>
      </c>
    </row>
    <row r="22" spans="1:10" s="25" customFormat="1" ht="29.25" customHeight="1" x14ac:dyDescent="0.25">
      <c r="A22" s="551" t="s">
        <v>1246</v>
      </c>
      <c r="B22" s="14" t="s">
        <v>1248</v>
      </c>
      <c r="C22" s="562" t="s">
        <v>1247</v>
      </c>
      <c r="D22" s="492" t="str">
        <f>IF(I22=0, CONCATENATE(J22), IF(I22=1, CONCATENATE(B22,"_",$D$6,"_",$B$4), IF(I22=2, CONCATENATE(B22,"_",$B$4), IF(I22=3, CONCATENATE(B22,"_P",$F$4,"_",$B$4,"_",$F$6), IF(I22=4, CONCATENATE(B22,"_",$D$6,"_",$B$4,"_",$F$6), IF(I22=5,CONCATENATE(B22,"_",$D$6,"_P",$F$4,"_",$B$4,"_",$F$6), IF(I22=6, CONCATENATE(B22,"_",$B$4,"_",$F$6), IF(I22=7,CONCATENATE(B22,"_",$D$6,"_P",$F$4), IF(I22=8, CONCATENATE(B22,"_P",$F$4,"_",$B$4), No se tiene nomenclatura para este artefacto)))))))))</f>
        <v>IRAC_CO_CON_20181203</v>
      </c>
      <c r="E22" s="619" t="s">
        <v>419</v>
      </c>
      <c r="F22" s="619"/>
      <c r="G22" s="334"/>
      <c r="H22" s="71">
        <f t="shared" si="0"/>
        <v>20</v>
      </c>
      <c r="I22" s="14">
        <v>1</v>
      </c>
      <c r="J22" s="335"/>
    </row>
    <row r="23" spans="1:10" s="25" customFormat="1" ht="42.75" customHeight="1" x14ac:dyDescent="0.25">
      <c r="A23" s="551" t="s">
        <v>481</v>
      </c>
      <c r="B23" s="14" t="s">
        <v>482</v>
      </c>
      <c r="C23" s="562" t="s">
        <v>483</v>
      </c>
      <c r="D23" s="492" t="str">
        <f>IF(I23=0, CONCATENATE(J23), IF(I23=1, CONCATENATE(B23,"_",$D$6,"_",$B$4), IF(I23=2, CONCATENATE(B23,"_",$B$4), IF(I23=3, CONCATENATE(B23,"_P",$F$4,"_",$B$4,"_",$F$6), IF(I23=4, CONCATENATE(B23,"_",$D$6,"_",$B$4,"_",$F$6), IF(I23=5,CONCATENATE(B23,"_",$D$6,"_P",$F$4,"_",$B$4,"_",$F$6), IF(I23=6, CONCATENATE(B23,"_",$B$4,"_",$F$6), IF(I23=7,CONCATENATE(B23,"_",$D$6,"_P",$F$4), IF(I23=8, CONCATENATE(B23,"_P",$F$4,"_",$B$4), No se tiene nomenclatura para este artefacto)))))))))</f>
        <v>Codigo del Servicio_Código del Aplicativo_Componente_LenguajeProgramación_RCC_Proveedor_FechaEjecución_LBI</v>
      </c>
      <c r="E23" s="619" t="s">
        <v>434</v>
      </c>
      <c r="F23" s="619"/>
      <c r="G23" s="13"/>
      <c r="H23" s="71">
        <f t="shared" si="0"/>
        <v>106</v>
      </c>
      <c r="I23" s="68">
        <v>0</v>
      </c>
      <c r="J23" s="328" t="s">
        <v>1245</v>
      </c>
    </row>
    <row r="24" spans="1:10" s="25" customFormat="1" ht="25.5" customHeight="1" x14ac:dyDescent="0.25">
      <c r="A24" s="551" t="s">
        <v>328</v>
      </c>
      <c r="B24" s="14" t="s">
        <v>362</v>
      </c>
      <c r="C24" s="562" t="s">
        <v>329</v>
      </c>
      <c r="D24" s="492" t="str">
        <f>IF(I24=0, CONCATENATE(J24), IF(I24=1, CONCATENATE(B24,"_",$D$6,"_",$B$4), IF(I24=2, CONCATENATE(B24,"_",$B$4), IF(I24=3, CONCATENATE(B24,"_P",$F$4,"_",$B$4,"_",$F$6), IF(I24=4, CONCATENATE(B24,"_",$D$6,"_",$B$4,"_",$F$6), IF(I24=5,CONCATENATE(B24,"_",$D$6,"_P",$F$4,"_",$B$4,"_",$F$6), IF(I24=6, CONCATENATE(B24,"_",$B$4,"_",$F$6), IF(I24=7,CONCATENATE(B24,"_",$D$6,"_P",$F$4), IF(I24=8, CONCATENATE(B24,"_P",$F$4,"_",$B$4), No se tiene nomenclatura para este artefacto)))))))))</f>
        <v>LSTART_20181203</v>
      </c>
      <c r="E24" s="619" t="s">
        <v>415</v>
      </c>
      <c r="F24" s="619"/>
      <c r="G24" s="13"/>
      <c r="H24" s="71">
        <f t="shared" si="0"/>
        <v>15</v>
      </c>
      <c r="I24" s="327">
        <v>2</v>
      </c>
      <c r="J24" s="26"/>
    </row>
    <row r="25" spans="1:10" s="25" customFormat="1" ht="25.5" customHeight="1" x14ac:dyDescent="0.25">
      <c r="A25" s="551" t="s">
        <v>326</v>
      </c>
      <c r="B25" s="14" t="s">
        <v>361</v>
      </c>
      <c r="C25" s="562" t="s">
        <v>327</v>
      </c>
      <c r="D25" s="492" t="str">
        <f>IF(I25=0, CONCATENATE(J25), IF(I25=1, CONCATENATE(B25,"_",$D$6,"_",$B$4), IF(I25=2, CONCATENATE(B25,"_",$B$4), IF(I25=3, CONCATENATE(B25,"_P",$F$4,"_",$B$4,"_",$F$6), IF(I25=4, CONCATENATE(B25,"_",$D$6,"_",$B$4,"_",$F$6), IF(I25=5,CONCATENATE(B25,"_",$D$6,"_P",$F$4,"_",$B$4,"_",$F$6), IF(I25=6, CONCATENATE(B25,"_",$B$4,"_",$F$6), IF(I25=7,CONCATENATE(B25,"_",$D$6,"_P",$F$4), IF(I25=8, CONCATENATE(B25,"_P",$F$4,"_",$B$4), No se tiene nomenclatura para este artefacto)))))))))</f>
        <v>LSTASIS_20181203</v>
      </c>
      <c r="E25" s="619" t="s">
        <v>415</v>
      </c>
      <c r="F25" s="619"/>
      <c r="G25" s="13"/>
      <c r="H25" s="71">
        <f t="shared" si="0"/>
        <v>16</v>
      </c>
      <c r="I25" s="71">
        <v>2</v>
      </c>
      <c r="J25" s="26"/>
    </row>
    <row r="26" spans="1:10" s="25" customFormat="1" ht="45" customHeight="1" x14ac:dyDescent="0.25">
      <c r="A26" s="551" t="s">
        <v>330</v>
      </c>
      <c r="B26" s="14" t="s">
        <v>373</v>
      </c>
      <c r="C26" s="562" t="s">
        <v>331</v>
      </c>
      <c r="D26" s="492" t="str">
        <f>IF(I26=0, CONCATENATE(J26), IF(I26=1, CONCATENATE(B26,"_",$D$6,"_",$B$4), IF(I26=2, CONCATENATE(B26,"_",$B$4), IF(I26=3, CONCATENATE(B26,"_P",$F$4,"_",$B$4,"_",$F$6), IF(I26=4, CONCATENATE(B26,"_",$D$6,"_",$B$4,"_",$F$6), IF(I26=5,CONCATENATE(B26,"_",$D$6,"_P",$F$4,"_",$B$4,"_",$F$6), IF(I26=6, CONCATENATE(B26,"_",$B$4,"_",$F$6), IF(I26=7,CONCATENATE(B26,"_",$D$6,"_P",$F$4), IF(I26=8, CONCATENATE(B26,"_P",$F$4,"_",$B$4), No se tiene nomenclatura para este artefacto)))))))))</f>
        <v>LVER_20181203</v>
      </c>
      <c r="E26" s="619" t="s">
        <v>421</v>
      </c>
      <c r="F26" s="619"/>
      <c r="G26" s="13"/>
      <c r="H26" s="71">
        <f t="shared" si="0"/>
        <v>13</v>
      </c>
      <c r="I26" s="327">
        <v>2</v>
      </c>
      <c r="J26" s="26"/>
    </row>
    <row r="27" spans="1:10" s="25" customFormat="1" ht="44.25" customHeight="1" x14ac:dyDescent="0.25">
      <c r="A27" s="551" t="s">
        <v>424</v>
      </c>
      <c r="B27" s="14" t="s">
        <v>401</v>
      </c>
      <c r="C27" s="562" t="s">
        <v>225</v>
      </c>
      <c r="D27" s="492" t="str">
        <f>IF(I27=0, CONCATENATE(J27), IF(I27=1, CONCATENATE(B27,"_",$D$6,"_",$B$4), IF(I27=2, CONCATENATE(B27,"_",$B$4), IF(I27=3, CONCATENATE(B27,"_P",$F$4,"_",$B$4,"_",$F$6), IF(I27=4, CONCATENATE(B27,"_",$D$6,"_",$B$4,"_",$F$6), IF(I27=5,CONCATENATE(B27,"_",$D$6,"_P",$F$4,"_",$B$4,"_",$F$6), IF(I27=6, CONCATENATE(B27,"_",$B$4,"_",$F$6), IF(I27=7,CONCATENATE(B27,"_",$D$6,"_P",$F$4), IF(I27=8, CONCATENATE(B27,"_P",$F$4,"_",$B$4), No se tiene nomenclatura para este artefacto)))))))))</f>
        <v>LVPRC_P363_20181203_IDEWEB</v>
      </c>
      <c r="E27" s="619" t="s">
        <v>419</v>
      </c>
      <c r="F27" s="619"/>
      <c r="G27" s="13" t="s">
        <v>1183</v>
      </c>
      <c r="H27" s="71">
        <f t="shared" si="0"/>
        <v>26</v>
      </c>
      <c r="I27" s="324">
        <v>3</v>
      </c>
      <c r="J27" s="26"/>
    </row>
    <row r="28" spans="1:10" s="25" customFormat="1" ht="25.5" customHeight="1" x14ac:dyDescent="0.25">
      <c r="A28" s="551" t="s">
        <v>202</v>
      </c>
      <c r="B28" s="14" t="s">
        <v>363</v>
      </c>
      <c r="C28" s="562" t="s">
        <v>213</v>
      </c>
      <c r="D28" s="492" t="str">
        <f>IF(I28=0, CONCATENATE(J28), IF(I28=1, CONCATENATE(B28,"_",$D$6,"_",$B$4), IF(I28=2, CONCATENATE(B28,"_",$B$4), IF(I28=3, CONCATENATE(B28,"_P",$F$4,"_",$B$4,"_",$F$6), IF(I28=4, CONCATENATE(B28,"_",$D$6,"_",$B$4,"_",$F$6), IF(I28=5,CONCATENATE(B28,"_",$D$6,"_P",$F$4,"_",$B$4,"_",$F$6), IF(I28=6, CONCATENATE(B28,"_",$B$4,"_",$F$6), IF(I28=7,CONCATENATE(B28,"_",$D$6,"_P",$F$4), IF(I28=8, CONCATENATE(B28,"_P",$F$4,"_",$B$4), No se tiene nomenclatura para este artefacto)))))))))</f>
        <v>LSTVRFCC_CON_20181203</v>
      </c>
      <c r="E28" s="621" t="s">
        <v>418</v>
      </c>
      <c r="F28" s="621"/>
      <c r="G28" s="26"/>
      <c r="H28" s="71">
        <f t="shared" si="0"/>
        <v>21</v>
      </c>
      <c r="I28" s="327">
        <v>1</v>
      </c>
      <c r="J28" s="26"/>
    </row>
    <row r="29" spans="1:10" s="25" customFormat="1" ht="25.5" customHeight="1" x14ac:dyDescent="0.25">
      <c r="A29" s="551" t="s">
        <v>425</v>
      </c>
      <c r="B29" s="14" t="s">
        <v>402</v>
      </c>
      <c r="C29" s="562" t="s">
        <v>226</v>
      </c>
      <c r="D29" s="492" t="str">
        <f>IF(I29=0, CONCATENATE(J29), IF(I29=1, CONCATENATE(B29,"_",$D$6,"_",$B$4), IF(I29=2, CONCATENATE(B29,"_",$B$4), IF(I29=3, CONCATENATE(B29,"_P",$F$4,"_",$B$4,"_",$F$6), IF(I29=4, CONCATENATE(B29,"_",$D$6,"_",$B$4,"_",$F$6), IF(I29=5,CONCATENATE(B29,"_",$D$6,"_P",$F$4,"_",$B$4,"_",$F$6), IF(I29=6, CONCATENATE(B29,"_",$B$4,"_",$F$6), IF(I29=7,CONCATENATE(B29,"_",$D$6,"_P",$F$4), IF(I29=8, CONCATENATE(B29,"_P",$F$4,"_",$B$4), No se tiene nomenclatura para este artefacto)))))))))</f>
        <v>LVPRD_P363_20181203_IDEWEB</v>
      </c>
      <c r="E29" s="619" t="s">
        <v>419</v>
      </c>
      <c r="F29" s="619"/>
      <c r="G29" s="13" t="s">
        <v>1184</v>
      </c>
      <c r="H29" s="71">
        <f t="shared" si="0"/>
        <v>26</v>
      </c>
      <c r="I29" s="324">
        <v>3</v>
      </c>
      <c r="J29" s="26"/>
    </row>
    <row r="30" spans="1:10" s="25" customFormat="1" ht="25.5" customHeight="1" x14ac:dyDescent="0.25">
      <c r="A30" s="551" t="s">
        <v>433</v>
      </c>
      <c r="B30" s="14" t="s">
        <v>252</v>
      </c>
      <c r="C30" s="562" t="s">
        <v>253</v>
      </c>
      <c r="D30" s="492" t="str">
        <f>IF(I30=0, CONCATENATE(J30), IF(I30=1, CONCATENATE(B30,"_",$D$6,"_",$B$4), IF(I30=2, CONCATENATE(B30,"_",$B$4), IF(I30=3, CONCATENATE(B30,"_P",$F$4,"_",$B$4,"_",$F$6), IF(I30=4, CONCATENATE(B30,"_",$D$6,"_",$B$4,"_",$F$6), IF(I30=5,CONCATENATE(B30,"_",$D$6,"_P",$F$4,"_",$B$4,"_",$F$6), IF(I30=6, CONCATENATE(B30,"_",$B$4,"_",$F$6), IF(I30=7,CONCATENATE(B30,"_",$D$6,"_P",$F$4), IF(I30=8, CONCATENATE(B30,"_P",$F$4,"_",$B$4), No se tiene nomenclatura para este artefacto)))))))))</f>
        <v>MPPND_20181203_IDEWEB</v>
      </c>
      <c r="E30" s="619" t="s">
        <v>421</v>
      </c>
      <c r="F30" s="619"/>
      <c r="G30" s="13"/>
      <c r="H30" s="71">
        <f t="shared" si="0"/>
        <v>21</v>
      </c>
      <c r="I30" s="14">
        <v>6</v>
      </c>
      <c r="J30" s="26"/>
    </row>
    <row r="31" spans="1:10" s="25" customFormat="1" ht="39.75" customHeight="1" x14ac:dyDescent="0.25">
      <c r="A31" s="551" t="s">
        <v>393</v>
      </c>
      <c r="B31" s="14" t="s">
        <v>464</v>
      </c>
      <c r="C31" s="562" t="s">
        <v>395</v>
      </c>
      <c r="D31" s="492" t="str">
        <f>IF(I31=0, CONCATENATE(J31), IF(I31=1, CONCATENATE(B31,"_",$D$6,"_",$B$4), IF(I31=2, CONCATENATE(B31,"_",$B$4), IF(I31=3, CONCATENATE(B31,"_P",$F$4,"_",$B$4,"_",$F$6), IF(I31=4, CONCATENATE(B31,"_",$D$6,"_",$B$4,"_",$F$6), IF(I31=5,CONCATENATE(B31,"_",$D$6,"_P",$F$4,"_",$B$4,"_",$F$6), IF(I31=6, CONCATENATE(B31,"_",$B$4,"_",$F$6), IF(I31=7,CONCATENATE(B31,"_",$D$6,"_P",$F$4), IF(I31=8, CONCATENATE(B31,"_P",$F$4,"_",$B$4), No se tiene nomenclatura para este artefacto)))))))))</f>
        <v>Código del Servicio_Código del Aplicativo_Componente_Lenguaje_Acrónimo del Producto (RCC)_Proveedor_Fecha_PPM_Consecutivo</v>
      </c>
      <c r="E31" s="619" t="s">
        <v>419</v>
      </c>
      <c r="F31" s="619"/>
      <c r="G31" s="13"/>
      <c r="H31" s="71">
        <f t="shared" si="0"/>
        <v>121</v>
      </c>
      <c r="I31" s="327">
        <v>0</v>
      </c>
      <c r="J31" s="328" t="s">
        <v>1244</v>
      </c>
    </row>
    <row r="32" spans="1:10" s="25" customFormat="1" ht="28.5" customHeight="1" x14ac:dyDescent="0.25">
      <c r="A32" s="551" t="s">
        <v>244</v>
      </c>
      <c r="B32" s="14" t="s">
        <v>370</v>
      </c>
      <c r="C32" s="562" t="s">
        <v>371</v>
      </c>
      <c r="D32" s="492" t="str">
        <f>IF(I32=0, CONCATENATE(J32), IF(I32=1, CONCATENATE(B32,"_",$D$6,"_",$B$4), IF(I32=2, CONCATENATE(B32,"_",$B$4), IF(I32=3, CONCATENATE(B32,"_P",$F$4,"_",$B$4,"_",$F$6), IF(I32=4, CONCATENATE(B32,"_",$D$6,"_",$B$4,"_",$F$6), IF(I32=5,CONCATENATE(B32,"_",$D$6,"_P",$F$4,"_",$B$4,"_",$F$6), IF(I32=6, CONCATENATE(B32,"_",$B$4,"_",$F$6), IF(I32=7,CONCATENATE(B32,"_",$D$6,"_P",$F$4), IF(I32=8, CONCATENATE(B32,"_P",$F$4,"_",$B$4), No se tiene nomenclatura para este artefacto)))))))))</f>
        <v>NOTFLL_20181203</v>
      </c>
      <c r="E32" s="619" t="s">
        <v>421</v>
      </c>
      <c r="F32" s="619"/>
      <c r="G32" s="13"/>
      <c r="H32" s="71">
        <f t="shared" si="0"/>
        <v>15</v>
      </c>
      <c r="I32" s="14">
        <v>2</v>
      </c>
      <c r="J32" s="26"/>
    </row>
    <row r="33" spans="1:10" s="25" customFormat="1" ht="25.5" customHeight="1" x14ac:dyDescent="0.25">
      <c r="A33" s="551" t="s">
        <v>396</v>
      </c>
      <c r="B33" s="14" t="s">
        <v>397</v>
      </c>
      <c r="C33" s="562" t="s">
        <v>397</v>
      </c>
      <c r="D33" s="492" t="str">
        <f>IF(I33=0, CONCATENATE(J33), IF(I33=1, CONCATENATE(B33,"_",$D$6,"_",$B$4), IF(I33=2, CONCATENATE(B33,"_",$B$4), IF(I33=3, CONCATENATE(B33,"_P",$F$4,"_",$B$4,"_",$F$6), IF(I33=4, CONCATENATE(B33,"_",$D$6,"_",$B$4,"_",$F$6), IF(I33=5,CONCATENATE(B33,"_",$D$6,"_P",$F$4,"_",$B$4,"_",$F$6), IF(I33=6, CONCATENATE(B33,"_",$B$4,"_",$F$6), IF(I33=7,CONCATENATE(B33,"_",$D$6,"_P",$F$4), IF(I33=8, CONCATENATE(B33,"_P",$F$4,"_",$B$4), No se tiene nomenclatura para este artefacto)))))))))</f>
        <v>PlanCalidadCO_CON_20181203</v>
      </c>
      <c r="E33" s="621" t="s">
        <v>398</v>
      </c>
      <c r="F33" s="621"/>
      <c r="G33" s="26"/>
      <c r="H33" s="71">
        <f t="shared" si="0"/>
        <v>26</v>
      </c>
      <c r="I33" s="14">
        <v>1</v>
      </c>
      <c r="J33" s="26"/>
    </row>
    <row r="34" spans="1:10" s="25" customFormat="1" ht="25.5" customHeight="1" x14ac:dyDescent="0.25">
      <c r="A34" s="551" t="s">
        <v>426</v>
      </c>
      <c r="B34" s="14" t="s">
        <v>336</v>
      </c>
      <c r="C34" s="562" t="s">
        <v>337</v>
      </c>
      <c r="D34" s="492" t="str">
        <f>IF(I34=0, CONCATENATE(J34), IF(I34=1, CONCATENATE(B34,"_",$D$6,"_",$B$4), IF(I34=2, CONCATENATE(B34,"_",$B$4), IF(I34=3, CONCATENATE(B34,"_P",$F$4,"_",$B$4,"_",$F$6), IF(I34=4, CONCATENATE(B34,"_",$D$6,"_",$B$4,"_",$F$6), IF(I34=5,CONCATENATE(B34,"_",$D$6,"_P",$F$4,"_",$B$4,"_",$F$6), IF(I34=6, CONCATENATE(B34,"_",$B$4,"_",$F$6), IF(I34=7,CONCATENATE(B34,"_",$D$6,"_P",$F$4), IF(I34=8, CONCATENATE(B34,"_P",$F$4,"_",$B$4), No se tiene nomenclatura para este artefacto)))))))))</f>
        <v>PlanMejoraAplicativo_CDS1,2y3_20181203</v>
      </c>
      <c r="E34" s="619" t="s">
        <v>418</v>
      </c>
      <c r="F34" s="619"/>
      <c r="G34" s="13"/>
      <c r="H34" s="71">
        <f t="shared" si="0"/>
        <v>38</v>
      </c>
      <c r="I34" s="14">
        <v>0</v>
      </c>
      <c r="J34" s="26" t="str">
        <f>'Entregables Contractuales'!F21</f>
        <v>PlanMejoraAplicativo_CDS1,2y3_20181203</v>
      </c>
    </row>
    <row r="35" spans="1:10" s="25" customFormat="1" ht="25.5" customHeight="1" x14ac:dyDescent="0.25">
      <c r="A35" s="551" t="s">
        <v>1194</v>
      </c>
      <c r="B35" s="14" t="s">
        <v>445</v>
      </c>
      <c r="C35" s="562" t="s">
        <v>332</v>
      </c>
      <c r="D35" s="492" t="str">
        <f>IF(I35=0, CONCATENATE(J35), IF(I35=1, CONCATENATE(B35,"_",$D$6,"_",$B$4), IF(I35=2, CONCATENATE(B35,"_",$B$4), IF(I35=3, CONCATENATE(B35,"_P",$F$4,"_",$B$4,"_",$F$6), IF(I35=4, CONCATENATE(B35,"_",$D$6,"_",$B$4,"_",$F$6), IF(I35=5,CONCATENATE(B35,"_",$D$6,"_P",$F$4,"_",$B$4,"_",$F$6), IF(I35=6, CONCATENATE(B35,"_",$B$4,"_",$F$6), IF(I35=7,CONCATENATE(B35,"_",$D$6,"_P",$F$4), IF(I35=8, CONCATENATE(B35,"_P",$F$4,"_",$B$4), No se tiene nomenclatura para este artefacto)))))))))</f>
        <v>PlanAccionCumplirNS_CDS1,2y3_20181203</v>
      </c>
      <c r="E35" s="619" t="s">
        <v>418</v>
      </c>
      <c r="F35" s="619"/>
      <c r="G35" s="13"/>
      <c r="H35" s="71">
        <f t="shared" si="0"/>
        <v>37</v>
      </c>
      <c r="I35" s="14">
        <v>0</v>
      </c>
      <c r="J35" s="26" t="str">
        <f>'Entregables Contractuales'!F22</f>
        <v>PlanAccionCumplirNS_CDS1,2y3_20181203</v>
      </c>
    </row>
    <row r="36" spans="1:10" s="25" customFormat="1" ht="25.5" customHeight="1" x14ac:dyDescent="0.25">
      <c r="A36" s="551" t="s">
        <v>334</v>
      </c>
      <c r="B36" s="14" t="s">
        <v>399</v>
      </c>
      <c r="C36" s="562" t="s">
        <v>335</v>
      </c>
      <c r="D36" s="492" t="str">
        <f>IF(I36=0, CONCATENATE(J36), IF(I36=1, CONCATENATE(B36,"_",$D$6,"_",$B$4), IF(I36=2, CONCATENATE(B36,"_",$B$4), IF(I36=3, CONCATENATE(B36,"_P",$F$4,"_",$B$4,"_",$F$6), IF(I36=4, CONCATENATE(B36,"_",$D$6,"_",$B$4,"_",$F$6), IF(I36=5,CONCATENATE(B36,"_",$D$6,"_P",$F$4,"_",$B$4,"_",$F$6), IF(I36=6, CONCATENATE(B36,"_",$B$4,"_",$F$6), IF(I36=7,CONCATENATE(B36,"_",$D$6,"_P",$F$4), IF(I36=8, CONCATENATE(B36,"_P",$F$4,"_",$B$4), No se tiene nomenclatura para este artefacto)))))))))</f>
        <v>PCAL_P363_20181203</v>
      </c>
      <c r="E36" s="619" t="s">
        <v>419</v>
      </c>
      <c r="F36" s="619"/>
      <c r="G36" s="13"/>
      <c r="H36" s="71">
        <f t="shared" si="0"/>
        <v>18</v>
      </c>
      <c r="I36" s="14">
        <v>8</v>
      </c>
      <c r="J36" s="26" t="str">
        <f>'Entregables Contractuales'!F23</f>
        <v>PCAL_CDS1,2y3_20181203</v>
      </c>
    </row>
    <row r="37" spans="1:10" s="25" customFormat="1" ht="25.5" customHeight="1" x14ac:dyDescent="0.25">
      <c r="A37" s="551" t="s">
        <v>338</v>
      </c>
      <c r="B37" s="14" t="s">
        <v>339</v>
      </c>
      <c r="C37" s="562" t="s">
        <v>340</v>
      </c>
      <c r="D37" s="492" t="str">
        <f>IF(I37=0, CONCATENATE(J37), IF(I37=1, CONCATENATE(B37,"_",$D$6,"_",$B$4), IF(I37=2, CONCATENATE(B37,"_",$B$4), IF(I37=3, CONCATENATE(B37,"_P",$F$4,"_",$B$4,"_",$F$6), IF(I37=4, CONCATENATE(B37,"_",$D$6,"_",$B$4,"_",$F$6), IF(I37=5,CONCATENATE(B37,"_",$D$6,"_P",$F$4,"_",$B$4,"_",$F$6), IF(I37=6, CONCATENATE(B37,"_",$B$4,"_",$F$6), IF(I37=7,CONCATENATE(B37,"_",$D$6,"_P",$F$4), IF(I37=8, CONCATENATE(B37,"_P",$F$4,"_",$B$4), No se tiene nomenclatura para este artefacto)))))))))</f>
        <v>PLEN_20181203</v>
      </c>
      <c r="E37" s="619" t="s">
        <v>415</v>
      </c>
      <c r="F37" s="619"/>
      <c r="G37" s="13"/>
      <c r="H37" s="71">
        <f t="shared" si="0"/>
        <v>13</v>
      </c>
      <c r="I37" s="14">
        <v>2</v>
      </c>
      <c r="J37" s="26"/>
    </row>
    <row r="38" spans="1:10" s="25" customFormat="1" ht="25.5" customHeight="1" x14ac:dyDescent="0.25">
      <c r="A38" s="551" t="s">
        <v>199</v>
      </c>
      <c r="B38" s="14" t="s">
        <v>212</v>
      </c>
      <c r="C38" s="562" t="s">
        <v>200</v>
      </c>
      <c r="D38" s="492" t="str">
        <f>IF(I38=0, CONCATENATE(J38), IF(I38=1, CONCATENATE(B38,"_",$D$6,"_",$B$4), IF(I38=2, CONCATENATE(B38,"_",$B$4), IF(I38=3, CONCATENATE(B38,"_P",$F$4,"_",$B$4,"_",$F$6), IF(I38=4, CONCATENATE(B38,"_",$D$6,"_",$B$4,"_",$F$6), IF(I38=5,CONCATENATE(B38,"_",$D$6,"_P",$F$4,"_",$B$4,"_",$F$6), IF(I38=6, CONCATENATE(B38,"_",$B$4,"_",$F$6), IF(I38=7,CONCATENATE(B38,"_",$D$6,"_P",$F$4), IF(I38=8, CONCATENATE(B38,"_P",$F$4,"_",$B$4), No se tiene nomenclatura para este artefacto)))))))))</f>
        <v>PEP_20181203</v>
      </c>
      <c r="E38" s="619" t="s">
        <v>427</v>
      </c>
      <c r="F38" s="619"/>
      <c r="G38" s="13"/>
      <c r="H38" s="71">
        <f t="shared" si="0"/>
        <v>12</v>
      </c>
      <c r="I38" s="100">
        <v>2</v>
      </c>
      <c r="J38" s="26"/>
    </row>
    <row r="39" spans="1:10" s="25" customFormat="1" ht="25.5" customHeight="1" x14ac:dyDescent="0.25">
      <c r="A39" s="551" t="s">
        <v>333</v>
      </c>
      <c r="B39" s="14" t="s">
        <v>255</v>
      </c>
      <c r="C39" s="562" t="s">
        <v>256</v>
      </c>
      <c r="D39" s="492" t="str">
        <f>IF(I39=0, CONCATENATE(J39), IF(I39=1, CONCATENATE(B39,"_",$D$6,"_",$B$4), IF(I39=2, CONCATENATE(B39,"_",$B$4), IF(I39=3, CONCATENATE(B39,"_P",$F$4,"_",$B$4,"_",$F$6), IF(I39=4, CONCATENATE(B39,"_",$D$6,"_",$B$4,"_",$F$6), IF(I39=5,CONCATENATE(B39,"_",$D$6,"_P",$F$4,"_",$B$4,"_",$F$6), IF(I39=6, CONCATENATE(B39,"_",$B$4,"_",$F$6), IF(I39=7,CONCATENATE(B39,"_",$D$6,"_P",$F$4), IF(I39=8, CONCATENATE(B39,"_P",$F$4,"_",$B$4), No se tiene nomenclatura para este artefacto)))))))))</f>
        <v>PACO_20181203</v>
      </c>
      <c r="E39" s="619" t="s">
        <v>247</v>
      </c>
      <c r="F39" s="619"/>
      <c r="G39" s="13"/>
      <c r="H39" s="71">
        <f t="shared" si="0"/>
        <v>13</v>
      </c>
      <c r="I39" s="14">
        <v>2</v>
      </c>
      <c r="J39" s="26"/>
    </row>
    <row r="40" spans="1:10" s="25" customFormat="1" ht="25.5" customHeight="1" x14ac:dyDescent="0.25">
      <c r="A40" s="551" t="s">
        <v>1192</v>
      </c>
      <c r="B40" s="14" t="s">
        <v>211</v>
      </c>
      <c r="C40" s="562" t="s">
        <v>201</v>
      </c>
      <c r="D40" s="492" t="str">
        <f>IF(I40=0, CONCATENATE(J40), IF(I40=1, CONCATENATE(B40,"_",$D$6,"_",$B$4), IF(I40=2, CONCATENATE(B40,"_",$B$4), IF(I40=3, CONCATENATE(B40,"_P",$F$4,"_",$B$4,"_",$F$6), IF(I40=4, CONCATENATE(B40,"_",$D$6,"_",$B$4,"_",$F$6), IF(I40=5,CONCATENATE(B40,"_",$D$6,"_P",$F$4,"_",$B$4,"_",$F$6), IF(I40=6, CONCATENATE(B40,"_",$B$4,"_",$F$6), IF(I40=7,CONCATENATE(B40,"_",$D$6,"_P",$F$4), IF(I40=8, CONCATENATE(B40,"_P",$F$4,"_",$B$4), No se tiene nomenclatura para este artefacto)))))))))</f>
        <v>PIMP_CON_20181203</v>
      </c>
      <c r="E40" s="619" t="s">
        <v>427</v>
      </c>
      <c r="F40" s="619"/>
      <c r="G40" s="13"/>
      <c r="H40" s="71">
        <f t="shared" si="0"/>
        <v>17</v>
      </c>
      <c r="I40" s="14">
        <v>1</v>
      </c>
      <c r="J40" s="551"/>
    </row>
    <row r="41" spans="1:10" s="25" customFormat="1" ht="25.5" customHeight="1" x14ac:dyDescent="0.25">
      <c r="A41" s="551" t="s">
        <v>413</v>
      </c>
      <c r="B41" s="14" t="s">
        <v>414</v>
      </c>
      <c r="C41" s="562" t="s">
        <v>414</v>
      </c>
      <c r="D41" s="492" t="str">
        <f>IF(I41=0, CONCATENATE(J41), IF(I41=1, CONCATENATE(B41,"_",$D$6,"_",$B$4), IF(I41=2, CONCATENATE(B41,"_",$B$4), IF(I41=3, CONCATENATE(B41,"_P",$F$4,"_",$B$4,"_",$F$6), IF(I41=4, CONCATENATE(B41,"_",$D$6,"_",$B$4,"_",$F$6), IF(I41=5,CONCATENATE(B41,"_",$D$6,"_P",$F$4,"_",$B$4,"_",$F$6), IF(I41=6, CONCATENATE(B41,"_",$B$4,"_",$F$6), IF(I41=7,CONCATENATE(B41,"_",$D$6,"_P",$F$4), IF(I41=8, CONCATENATE(B41,"_P",$F$4,"_",$B$4), No se tiene nomenclatura para este artefacto)))))))))</f>
        <v>PlanIntegral_CDS1,2y3_20181203</v>
      </c>
      <c r="E41" s="619" t="s">
        <v>435</v>
      </c>
      <c r="F41" s="619"/>
      <c r="G41" s="13"/>
      <c r="H41" s="71">
        <f t="shared" si="0"/>
        <v>30</v>
      </c>
      <c r="I41" s="14">
        <v>0</v>
      </c>
      <c r="J41" s="26" t="str">
        <f>'Entregables Contractuales'!F29</f>
        <v>PlanIntegral_CDS1,2y3_20181203</v>
      </c>
    </row>
    <row r="42" spans="1:10" s="25" customFormat="1" ht="25.5" customHeight="1" x14ac:dyDescent="0.25">
      <c r="A42" s="551" t="s">
        <v>428</v>
      </c>
      <c r="B42" s="14" t="s">
        <v>447</v>
      </c>
      <c r="C42" s="562" t="s">
        <v>448</v>
      </c>
      <c r="D42" s="492" t="str">
        <f>IF(I42=0, CONCATENATE(J42), IF(I42=1, CONCATENATE(B42,"_",$D$6,"_",$B$4), IF(I42=2, CONCATENATE(B42,"_",$B$4), IF(I42=3, CONCATENATE(B42,"_P",$F$4,"_",$B$4,"_",$F$6), IF(I42=4, CONCATENATE(B42,"_",$D$6,"_",$B$4,"_",$F$6), IF(I42=5,CONCATENATE(B42,"_",$D$6,"_P",$F$4,"_",$B$4,"_",$F$6), IF(I42=6, CONCATENATE(B42,"_",$B$4,"_",$F$6), IF(I42=7,CONCATENATE(B42,"_",$D$6,"_P",$F$4), IF(I42=8, CONCATENATE(B42,"_P",$F$4,"_",$B$4), No se tiene nomenclatura para este artefacto)))))))))</f>
        <v>PRSSI_CON_20181203_IDEWEB</v>
      </c>
      <c r="E42" s="619" t="s">
        <v>415</v>
      </c>
      <c r="F42" s="619"/>
      <c r="G42" s="13"/>
      <c r="H42" s="71">
        <f t="shared" si="0"/>
        <v>25</v>
      </c>
      <c r="I42" s="14">
        <v>4</v>
      </c>
      <c r="J42" s="26"/>
    </row>
    <row r="43" spans="1:10" s="25" customFormat="1" ht="25.5" customHeight="1" x14ac:dyDescent="0.25">
      <c r="A43" s="551" t="s">
        <v>341</v>
      </c>
      <c r="B43" s="14" t="s">
        <v>1179</v>
      </c>
      <c r="C43" s="562" t="s">
        <v>446</v>
      </c>
      <c r="D43" s="492" t="str">
        <f>IF(I43=0, CONCATENATE(J43), IF(I43=1, CONCATENATE(B43,"_",$D$6,"_",$B$4), IF(I43=2, CONCATENATE(B43,"_",$B$4), IF(I43=3, CONCATENATE(B43,"_P",$F$4,"_",$B$4,"_",$F$6), IF(I43=4, CONCATENATE(B43,"_",$D$6,"_",$B$4,"_",$F$6), IF(I43=5,CONCATENATE(B43,"_",$D$6,"_P",$F$4,"_",$B$4,"_",$F$6), IF(I43=6, CONCATENATE(B43,"_",$B$4,"_",$F$6), IF(I43=7,CONCATENATE(B43,"_",$D$6,"_P",$F$4), IF(I43=8, CONCATENATE(B43,"_P",$F$4,"_",$B$4), No se tiene nomenclatura para este artefacto)))))))))</f>
        <v>PREJE_CON_20181203_IDEWEB</v>
      </c>
      <c r="E43" s="619" t="s">
        <v>415</v>
      </c>
      <c r="F43" s="619"/>
      <c r="G43" s="13"/>
      <c r="H43" s="71">
        <f t="shared" si="0"/>
        <v>25</v>
      </c>
      <c r="I43" s="14">
        <v>4</v>
      </c>
      <c r="J43" s="26"/>
    </row>
    <row r="44" spans="1:10" s="25" customFormat="1" ht="25.5" customHeight="1" x14ac:dyDescent="0.25">
      <c r="A44" s="551" t="s">
        <v>1177</v>
      </c>
      <c r="B44" s="14" t="s">
        <v>1178</v>
      </c>
      <c r="C44" s="562" t="s">
        <v>1181</v>
      </c>
      <c r="D44" s="492" t="str">
        <f>IF(I44=0, CONCATENATE(J44), IF(I44=1, CONCATENATE(B44,"_",$D$6,"_",$B$4), IF(I44=2, CONCATENATE(B44,"_",$B$4), IF(I44=3, CONCATENATE(B44,"_P",$F$4,"_",$B$4,"_",$F$6), IF(I44=4, CONCATENATE(B44,"_",$D$6,"_",$B$4,"_",$F$6), IF(I44=5,CONCATENATE(B44,"_",$D$6,"_P",$F$4,"_",$B$4,"_",$F$6), IF(I44=6, CONCATENATE(B44,"_",$B$4,"_",$F$6), IF(I44=7,CONCATENATE(B44,"_",$D$6,"_P",$F$4), IF(I44=8, CONCATENATE(B44,"_P",$F$4,"_",$B$4), No se tiene nomenclatura para este artefacto)))))))))</f>
        <v>PRSEM_CON_20181203_IDEWEB</v>
      </c>
      <c r="E44" s="619" t="s">
        <v>415</v>
      </c>
      <c r="F44" s="619"/>
      <c r="G44" s="13"/>
      <c r="H44" s="71">
        <f t="shared" si="0"/>
        <v>25</v>
      </c>
      <c r="I44" s="14">
        <v>4</v>
      </c>
      <c r="J44" s="26"/>
    </row>
    <row r="45" spans="1:10" s="25" customFormat="1" ht="25.5" customHeight="1" x14ac:dyDescent="0.25">
      <c r="A45" s="551" t="s">
        <v>127</v>
      </c>
      <c r="B45" s="14" t="s">
        <v>372</v>
      </c>
      <c r="C45" s="562" t="s">
        <v>322</v>
      </c>
      <c r="D45" s="492" t="str">
        <f>IF(I45=0, CONCATENATE(J45), IF(I45=1, CONCATENATE(B45,"_",$D$6,"_",$B$4), IF(I45=2, CONCATENATE(B45,"_",$B$4), IF(I45=3, CONCATENATE(B45,"_P",$F$4,"_",$B$4,"_",$F$6), IF(I45=4, CONCATENATE(B45,"_",$D$6,"_",$B$4,"_",$F$6), IF(I45=5,CONCATENATE(B45,"_",$D$6,"_P",$F$4,"_",$B$4,"_",$F$6), IF(I45=6, CONCATENATE(B45,"_",$B$4,"_",$F$6), IF(I45=7,CONCATENATE(B45,"_",$D$6,"_P",$F$4), IF(I45=8, CONCATENATE(B45,"_P",$F$4,"_",$B$4), No se tiene nomenclatura para este artefacto)))))))))</f>
        <v>PROPINTEL_CON_20181203</v>
      </c>
      <c r="E45" s="619" t="s">
        <v>418</v>
      </c>
      <c r="F45" s="619"/>
      <c r="G45" s="13"/>
      <c r="H45" s="71">
        <f t="shared" si="0"/>
        <v>22</v>
      </c>
      <c r="I45" s="324">
        <v>1</v>
      </c>
      <c r="J45" s="551"/>
    </row>
    <row r="46" spans="1:10" s="25" customFormat="1" ht="25.5" customHeight="1" x14ac:dyDescent="0.25">
      <c r="A46" s="551" t="s">
        <v>405</v>
      </c>
      <c r="B46" s="14" t="s">
        <v>1689</v>
      </c>
      <c r="C46" s="562" t="s">
        <v>499</v>
      </c>
      <c r="D46" s="492" t="str">
        <f>IF(I46=0, CONCATENATE(J46), IF(I46=1, CONCATENATE(B46,"_",$D$6,"_",$B$4), IF(I46=2, CONCATENATE(B46,"_",$B$4), IF(I46=3, CONCATENATE(B46,"_P",$F$4,"_",$B$4,"_",$F$6), IF(I46=4, CONCATENATE(B46,"_",$D$6,"_",$B$4,"_",$F$6), IF(I46=5,CONCATENATE(B46,"_",$D$6,"_P",$F$4,"_",$B$4,"_",$F$6), IF(I46=6, CONCATENATE(B46,"_",$B$4,"_",$F$6), IF(I46=7,CONCATENATE(B46,"_",$D$6,"_P",$F$4), IF(I46=8, CONCATENATE(B46,"_P",$F$4,"_",$B$4), No se tiene nomenclatura para este artefacto)))))))))</f>
        <v>ProyecPresup_CDS1,2y3_20181203</v>
      </c>
      <c r="E46" s="619" t="s">
        <v>418</v>
      </c>
      <c r="F46" s="619"/>
      <c r="G46" s="550"/>
      <c r="H46" s="71">
        <f t="shared" si="0"/>
        <v>30</v>
      </c>
      <c r="I46" s="324">
        <v>0</v>
      </c>
      <c r="J46" s="551" t="str">
        <f>'Entregables Contractuales'!F32</f>
        <v>ProyecPresup_CDS1,2y3_20181203</v>
      </c>
    </row>
    <row r="47" spans="1:10" s="25" customFormat="1" ht="30" customHeight="1" x14ac:dyDescent="0.25">
      <c r="A47" s="551" t="s">
        <v>471</v>
      </c>
      <c r="B47" s="14" t="s">
        <v>368</v>
      </c>
      <c r="C47" s="562" t="s">
        <v>232</v>
      </c>
      <c r="D47" s="492" t="str">
        <f>IF(I47=0, CONCATENATE(J47), IF(I47=1, CONCATENATE(B47,"_",$D$6,"_",$B$4), IF(I47=2, CONCATENATE(B47,"_",$B$4), IF(I47=3, CONCATENATE(B47,"_P",$F$4,"_",$B$4,"_",$F$6), IF(I47=4, CONCATENATE(B47,"_",$D$6,"_",$B$4,"_",$F$6), IF(I47=5,CONCATENATE(B47,"_",$D$6,"_P",$F$4,"_",$B$4,"_",$F$6), IF(I47=6, CONCATENATE(B47,"_",$B$4,"_",$F$6), IF(I47=7,CONCATENATE(B47,"_",$D$6,"_P",$F$4), IF(I47=8, CONCATENATE(B47,"_P",$F$4,"_",$B$4), No se tiene nomenclatura para este artefacto)))))))))</f>
        <v>RPRC_CON_20181203</v>
      </c>
      <c r="E47" s="619" t="s">
        <v>418</v>
      </c>
      <c r="F47" s="619"/>
      <c r="G47" s="13"/>
      <c r="H47" s="71">
        <f t="shared" si="0"/>
        <v>17</v>
      </c>
      <c r="I47" s="100">
        <v>1</v>
      </c>
      <c r="J47" s="551"/>
    </row>
    <row r="48" spans="1:10" s="25" customFormat="1" ht="25.5" customHeight="1" x14ac:dyDescent="0.25">
      <c r="A48" s="551" t="s">
        <v>432</v>
      </c>
      <c r="B48" s="14" t="s">
        <v>462</v>
      </c>
      <c r="C48" s="562" t="s">
        <v>463</v>
      </c>
      <c r="D48" s="492" t="str">
        <f>IF(I48=0, CONCATENATE(J48), IF(I48=1, CONCATENATE(B48,"_",$D$6,"_",$B$4), IF(I48=2, CONCATENATE(B48,"_",$B$4), IF(I48=3, CONCATENATE(B48,"_P",$F$4,"_",$B$4,"_",$F$6), IF(I48=4, CONCATENATE(B48,"_",$D$6,"_",$B$4,"_",$F$6), IF(I48=5,CONCATENATE(B48,"_",$D$6,"_P",$F$4,"_",$B$4,"_",$F$6), IF(I48=6, CONCATENATE(B48,"_",$B$4,"_",$F$6), IF(I48=7,CONCATENATE(B48,"_",$D$6,"_P",$F$4), IF(I48=8, CONCATENATE(B48,"_P",$F$4,"_",$B$4), No se tiene nomenclatura para este artefacto)))))))))</f>
        <v>RPSPT_20181203</v>
      </c>
      <c r="E48" s="619" t="s">
        <v>418</v>
      </c>
      <c r="F48" s="619"/>
      <c r="G48" s="13"/>
      <c r="H48" s="71">
        <f t="shared" si="0"/>
        <v>14</v>
      </c>
      <c r="I48" s="14">
        <v>2</v>
      </c>
      <c r="J48" s="26"/>
    </row>
    <row r="49" spans="1:10" s="25" customFormat="1" ht="25.5" customHeight="1" x14ac:dyDescent="0.25">
      <c r="A49" s="551" t="s">
        <v>406</v>
      </c>
      <c r="B49" s="14" t="s">
        <v>1690</v>
      </c>
      <c r="C49" s="562" t="s">
        <v>545</v>
      </c>
      <c r="D49" s="492" t="str">
        <f>IF(I49=0, CONCATENATE(J49), IF(I49=1, CONCATENATE(B49,"_",$D$6,"_",$B$4), IF(I49=2, CONCATENATE(B49,"_",$B$4), IF(I49=3, CONCATENATE(B49,"_P",$F$4,"_",$B$4,"_",$F$6), IF(I49=4, CONCATENATE(B49,"_",$D$6,"_",$B$4,"_",$F$6), IF(I49=5,CONCATENATE(B49,"_",$D$6,"_P",$F$4,"_",$B$4,"_",$F$6), IF(I49=6, CONCATENATE(B49,"_",$B$4,"_",$F$6), IF(I49=7,CONCATENATE(B49,"_",$D$6,"_P",$F$4), IF(I49=8, CONCATENATE(B49,"_P",$F$4,"_",$B$4), No se tiene nomenclatura para este artefacto)))))))))</f>
        <v>RepAvanPresup_CDS1,2y3_20181203</v>
      </c>
      <c r="E49" s="619" t="s">
        <v>418</v>
      </c>
      <c r="F49" s="619"/>
      <c r="G49" s="550"/>
      <c r="H49" s="71">
        <f t="shared" si="0"/>
        <v>31</v>
      </c>
      <c r="I49" s="14">
        <v>0</v>
      </c>
      <c r="J49" s="551" t="str">
        <f>'Entregables Contractuales'!F33</f>
        <v>RepAvanPresup_CDS1,2y3_20181203</v>
      </c>
    </row>
    <row r="50" spans="1:10" s="25" customFormat="1" ht="25.5" customHeight="1" x14ac:dyDescent="0.25">
      <c r="A50" s="551" t="s">
        <v>477</v>
      </c>
      <c r="B50" s="14" t="s">
        <v>453</v>
      </c>
      <c r="C50" s="562" t="s">
        <v>346</v>
      </c>
      <c r="D50" s="492" t="str">
        <f>IF(I50=0, CONCATENATE(J50), IF(I50=1, CONCATENATE(B50,"_",$D$6,"_",$B$4), IF(I50=2, CONCATENATE(B50,"_",$B$4), IF(I50=3, CONCATENATE(B50,"_P",$F$4,"_",$B$4,"_",$F$6), IF(I50=4, CONCATENATE(B50,"_",$D$6,"_",$B$4,"_",$F$6), IF(I50=5,CONCATENATE(B50,"_",$D$6,"_P",$F$4,"_",$B$4,"_",$F$6), IF(I50=6, CONCATENATE(B50,"_",$B$4,"_",$F$6), IF(I50=7,CONCATENATE(B50,"_",$D$6,"_P",$F$4), IF(I50=8, CONCATENATE(B50,"_P",$F$4,"_",$B$4), No se tiene nomenclatura para este artefacto)))))))))</f>
        <v>RPCENT_20181203</v>
      </c>
      <c r="E50" s="619" t="s">
        <v>430</v>
      </c>
      <c r="F50" s="619"/>
      <c r="G50" s="13"/>
      <c r="H50" s="71">
        <f t="shared" si="0"/>
        <v>15</v>
      </c>
      <c r="I50" s="14">
        <v>2</v>
      </c>
      <c r="J50" s="26"/>
    </row>
    <row r="51" spans="1:10" s="25" customFormat="1" ht="29.25" customHeight="1" x14ac:dyDescent="0.25">
      <c r="A51" s="551" t="s">
        <v>1188</v>
      </c>
      <c r="B51" s="14" t="s">
        <v>455</v>
      </c>
      <c r="C51" s="562" t="s">
        <v>205</v>
      </c>
      <c r="D51" s="492" t="str">
        <f>IF(I51=0, CONCATENATE(J51), IF(I51=1, CONCATENATE(B51,"_",$D$6,"_",$B$4), IF(I51=2, CONCATENATE(B51,"_",$B$4), IF(I51=3, CONCATENATE(B51,"_P",$F$4,"_",$B$4,"_",$F$6), IF(I51=4, CONCATENATE(B51,"_",$D$6,"_",$B$4,"_",$F$6), IF(I51=5,CONCATENATE(B51,"_",$D$6,"_P",$F$4,"_",$B$4,"_",$F$6), IF(I51=6, CONCATENATE(B51,"_",$B$4,"_",$F$6), IF(I51=7,CONCATENATE(B51,"_",$D$6,"_P",$F$4), IF(I51=8, CONCATENATE(B51,"_P",$F$4,"_",$B$4), No se tiene nomenclatura para este artefacto)))))))))</f>
        <v>DeducPenaliz_CDS1,2y3_20181203</v>
      </c>
      <c r="E51" s="619" t="s">
        <v>418</v>
      </c>
      <c r="F51" s="619"/>
      <c r="G51" s="13"/>
      <c r="H51" s="71">
        <f t="shared" si="0"/>
        <v>30</v>
      </c>
      <c r="I51" s="14">
        <v>0</v>
      </c>
      <c r="J51" s="26" t="str">
        <f>'Entregables Contractuales'!F34</f>
        <v>DeducPenaliz_CDS1,2y3_20181203</v>
      </c>
    </row>
    <row r="52" spans="1:10" s="25" customFormat="1" ht="29.25" customHeight="1" x14ac:dyDescent="0.25">
      <c r="A52" s="551" t="s">
        <v>131</v>
      </c>
      <c r="B52" s="14" t="s">
        <v>359</v>
      </c>
      <c r="C52" s="562" t="s">
        <v>1212</v>
      </c>
      <c r="D52" s="492" t="str">
        <f>IF(I52=0, CONCATENATE(J52), IF(I52=1, CONCATENATE(B52,"_",$D$6,"_",$B$4), IF(I52=2, CONCATENATE(B52,"_",$B$4), IF(I52=3, CONCATENATE(B52,"_P",$F$4,"_",$B$4,"_",$F$6), IF(I52=4, CONCATENATE(B52,"_",$D$6,"_",$B$4,"_",$F$6), IF(I52=5,CONCATENATE(B52,"_",$D$6,"_P",$F$4,"_",$B$4,"_",$F$6), IF(I52=6, CONCATENATE(B52,"_",$B$4,"_",$F$6), IF(I52=7,CONCATENATE(B52,"_",$D$6,"_P",$F$4), IF(I52=8, CONCATENATE(B52,"_P",$F$4,"_",$B$4), No se tiene nomenclatura para este artefacto)))))))))</f>
        <v>Garantías_CDS1,2y3_20181203</v>
      </c>
      <c r="E52" s="619" t="s">
        <v>418</v>
      </c>
      <c r="F52" s="619"/>
      <c r="G52" s="13"/>
      <c r="H52" s="71">
        <f t="shared" si="0"/>
        <v>27</v>
      </c>
      <c r="I52" s="14">
        <v>0</v>
      </c>
      <c r="J52" s="26" t="str">
        <f>'Entregables Contractuales'!F36</f>
        <v>Garantías_CDS1,2y3_20181203</v>
      </c>
    </row>
    <row r="53" spans="1:10" s="25" customFormat="1" ht="25.5" customHeight="1" x14ac:dyDescent="0.25">
      <c r="A53" s="551" t="s">
        <v>349</v>
      </c>
      <c r="B53" s="14" t="s">
        <v>365</v>
      </c>
      <c r="C53" s="562" t="s">
        <v>350</v>
      </c>
      <c r="D53" s="492" t="str">
        <f>IF(I53=0, CONCATENATE(J53), IF(I53=1, CONCATENATE(B53,"_",$D$6,"_",$B$4), IF(I53=2, CONCATENATE(B53,"_",$B$4), IF(I53=3, CONCATENATE(B53,"_P",$F$4,"_",$B$4,"_",$F$6), IF(I53=4, CONCATENATE(B53,"_",$D$6,"_",$B$4,"_",$F$6), IF(I53=5,CONCATENATE(B53,"_",$D$6,"_P",$F$4,"_",$B$4,"_",$F$6), IF(I53=6, CONCATENATE(B53,"_",$B$4,"_",$F$6), IF(I53=7,CONCATENATE(B53,"_",$D$6,"_P",$F$4), IF(I53=8, CONCATENATE(B53,"_P",$F$4,"_",$B$4), No se tiene nomenclatura para este artefacto)))))))))</f>
        <v>RPHLLZ_CON_20181203</v>
      </c>
      <c r="E53" s="619" t="s">
        <v>247</v>
      </c>
      <c r="F53" s="619"/>
      <c r="G53" s="13"/>
      <c r="H53" s="71">
        <f t="shared" si="0"/>
        <v>19</v>
      </c>
      <c r="I53" s="14">
        <v>1</v>
      </c>
      <c r="J53" s="26"/>
    </row>
    <row r="54" spans="1:10" s="37" customFormat="1" ht="25.5" customHeight="1" x14ac:dyDescent="0.2">
      <c r="A54" s="551" t="s">
        <v>126</v>
      </c>
      <c r="B54" s="14" t="s">
        <v>456</v>
      </c>
      <c r="C54" s="562" t="s">
        <v>375</v>
      </c>
      <c r="D54" s="492" t="str">
        <f>IF(I54=0, CONCATENATE(J54), IF(I54=1, CONCATENATE(B54,"_",$D$6,"_",$B$4), IF(I54=2, CONCATENATE(B54,"_",$B$4), IF(I54=3, CONCATENATE(B54,"_P",$F$4,"_",$B$4,"_",$F$6), IF(I54=4, CONCATENATE(B54,"_",$D$6,"_",$B$4,"_",$F$6), IF(I54=5,CONCATENATE(B54,"_",$D$6,"_P",$F$4,"_",$B$4,"_",$F$6), IF(I54=6, CONCATENATE(B54,"_",$B$4,"_",$F$6), IF(I54=7,CONCATENATE(B54,"_",$D$6,"_P",$F$4), IF(I54=8, CONCATENATE(B54,"_P",$F$4,"_",$B$4), No se tiene nomenclatura para este artefacto)))))))))</f>
        <v>RPINCSN_CON_20181203</v>
      </c>
      <c r="E54" s="619" t="s">
        <v>418</v>
      </c>
      <c r="F54" s="619"/>
      <c r="G54" s="13"/>
      <c r="H54" s="71">
        <f t="shared" si="0"/>
        <v>20</v>
      </c>
      <c r="I54" s="14">
        <v>1</v>
      </c>
      <c r="J54" s="551"/>
    </row>
    <row r="55" spans="1:10" s="308" customFormat="1" ht="25.5" customHeight="1" x14ac:dyDescent="0.2">
      <c r="A55" s="551" t="s">
        <v>342</v>
      </c>
      <c r="B55" s="14" t="s">
        <v>450</v>
      </c>
      <c r="C55" s="562" t="s">
        <v>343</v>
      </c>
      <c r="D55" s="492" t="str">
        <f>IF(I55=0, CONCATENATE(J55), IF(I55=1, CONCATENATE(B55,"_",$D$6,"_",$B$4), IF(I55=2, CONCATENATE(B55,"_",$B$4), IF(I55=3, CONCATENATE(B55,"_P",$F$4,"_",$B$4,"_",$F$6), IF(I55=4, CONCATENATE(B55,"_",$D$6,"_",$B$4,"_",$F$6), IF(I55=5,CONCATENATE(B55,"_",$D$6,"_P",$F$4,"_",$B$4,"_",$F$6), IF(I55=6, CONCATENATE(B55,"_",$B$4,"_",$F$6), IF(I55=7,CONCATENATE(B55,"_",$D$6,"_P",$F$4), IF(I55=8, CONCATENATE(B55,"_P",$F$4,"_",$B$4), No se tiene nomenclatura para este artefacto)))))))))</f>
        <v>RPDEM_CON_20181203</v>
      </c>
      <c r="E55" s="619" t="s">
        <v>430</v>
      </c>
      <c r="F55" s="619"/>
      <c r="G55" s="13"/>
      <c r="H55" s="71">
        <f t="shared" si="0"/>
        <v>18</v>
      </c>
      <c r="I55" s="14">
        <v>1</v>
      </c>
      <c r="J55" s="26"/>
    </row>
    <row r="56" spans="1:10" s="37" customFormat="1" ht="25.5" customHeight="1" x14ac:dyDescent="0.2">
      <c r="A56" s="551" t="s">
        <v>132</v>
      </c>
      <c r="B56" s="14" t="s">
        <v>457</v>
      </c>
      <c r="C56" s="562" t="s">
        <v>208</v>
      </c>
      <c r="D56" s="492" t="str">
        <f>IF(I56=0, CONCATENATE(J56), IF(I56=1, CONCATENATE(B56,"_",$D$6,"_",$B$4), IF(I56=2, CONCATENATE(B56,"_",$B$4), IF(I56=3, CONCATENATE(B56,"_P",$F$4,"_",$B$4,"_",$F$6), IF(I56=4, CONCATENATE(B56,"_",$D$6,"_",$B$4,"_",$F$6), IF(I56=5,CONCATENATE(B56,"_",$D$6,"_P",$F$4,"_",$B$4,"_",$F$6), IF(I56=6, CONCATENATE(B56,"_",$B$4,"_",$F$6), IF(I56=7,CONCATENATE(B56,"_",$D$6,"_P",$F$4), IF(I56=8, CONCATENATE(B56,"_P",$F$4,"_",$B$4), No se tiene nomenclatura para este artefacto)))))))))</f>
        <v>RepMetMed_CDS1,2y3_20181203</v>
      </c>
      <c r="E56" s="619" t="s">
        <v>418</v>
      </c>
      <c r="F56" s="619"/>
      <c r="G56" s="13"/>
      <c r="H56" s="71">
        <f t="shared" si="0"/>
        <v>27</v>
      </c>
      <c r="I56" s="14">
        <v>0</v>
      </c>
      <c r="J56" s="329" t="str">
        <f>'Entregables Contractuales'!F37</f>
        <v>RepMetMed_CDS1,2y3_20181203</v>
      </c>
    </row>
    <row r="57" spans="1:10" s="308" customFormat="1" ht="25.5" customHeight="1" x14ac:dyDescent="0.2">
      <c r="A57" s="551" t="s">
        <v>347</v>
      </c>
      <c r="B57" s="14" t="s">
        <v>454</v>
      </c>
      <c r="C57" s="562" t="s">
        <v>348</v>
      </c>
      <c r="D57" s="492" t="str">
        <f>IF(I57=0, CONCATENATE(J57), IF(I57=1, CONCATENATE(B57,"_",$D$6,"_",$B$4), IF(I57=2, CONCATENATE(B57,"_",$B$4), IF(I57=3, CONCATENATE(B57,"_P",$F$4,"_",$B$4,"_",$F$6), IF(I57=4, CONCATENATE(B57,"_",$D$6,"_",$B$4,"_",$F$6), IF(I57=5,CONCATENATE(B57,"_",$D$6,"_P",$F$4,"_",$B$4,"_",$F$6), IF(I57=6, CONCATENATE(B57,"_",$B$4,"_",$F$6), IF(I57=7,CONCATENATE(B57,"_",$D$6,"_P",$F$4), IF(I57=8, CONCATENATE(B57,"_P",$F$4,"_",$B$4), No se tiene nomenclatura para este artefacto)))))))))</f>
        <v>RPPDM_CON_20181203</v>
      </c>
      <c r="E57" s="619" t="s">
        <v>430</v>
      </c>
      <c r="F57" s="619"/>
      <c r="G57" s="13"/>
      <c r="H57" s="71">
        <f t="shared" si="0"/>
        <v>18</v>
      </c>
      <c r="I57" s="14">
        <v>1</v>
      </c>
      <c r="J57" s="26"/>
    </row>
    <row r="58" spans="1:10" s="37" customFormat="1" ht="25.5" customHeight="1" x14ac:dyDescent="0.2">
      <c r="A58" s="551" t="s">
        <v>353</v>
      </c>
      <c r="B58" s="14" t="s">
        <v>461</v>
      </c>
      <c r="C58" s="562" t="s">
        <v>203</v>
      </c>
      <c r="D58" s="492" t="str">
        <f>IF(I58=0, CONCATENATE(J58), IF(I58=1, CONCATENATE(B58,"_",$D$6,"_",$B$4), IF(I58=2, CONCATENATE(B58,"_",$B$4), IF(I58=3, CONCATENATE(B58,"_P",$F$4,"_",$B$4,"_",$F$6), IF(I58=4, CONCATENATE(B58,"_",$D$6,"_",$B$4,"_",$F$6), IF(I58=5,CONCATENATE(B58,"_",$D$6,"_P",$F$4,"_",$B$4,"_",$F$6), IF(I58=6, CONCATENATE(B58,"_",$B$4,"_",$F$6), IF(I58=7,CONCATENATE(B58,"_",$D$6,"_P",$F$4), IF(I58=8, CONCATENATE(B58,"_P",$F$4,"_",$B$4), No se tiene nomenclatura para este artefacto)))))))))</f>
        <v>RPREP_CON_20181203</v>
      </c>
      <c r="E58" s="619" t="s">
        <v>427</v>
      </c>
      <c r="F58" s="619"/>
      <c r="G58" s="13"/>
      <c r="H58" s="71">
        <f t="shared" si="0"/>
        <v>18</v>
      </c>
      <c r="I58" s="324">
        <v>1</v>
      </c>
      <c r="J58" s="329"/>
    </row>
    <row r="59" spans="1:10" s="37" customFormat="1" ht="25.5" customHeight="1" x14ac:dyDescent="0.2">
      <c r="A59" s="551" t="s">
        <v>354</v>
      </c>
      <c r="B59" s="14" t="s">
        <v>394</v>
      </c>
      <c r="C59" s="562" t="s">
        <v>196</v>
      </c>
      <c r="D59" s="492" t="str">
        <f>IF(I59=0, CONCATENATE(J59), IF(I59=1, CONCATENATE(B59,"_",$D$6,"_",$B$4), IF(I59=2, CONCATENATE(B59,"_",$B$4), IF(I59=3, CONCATENATE(B59,"_P",$F$4,"_",$B$4,"_",$F$6), IF(I59=4, CONCATENATE(B59,"_",$D$6,"_",$B$4,"_",$F$6), IF(I59=5,CONCATENATE(B59,"_",$D$6,"_P",$F$4,"_",$B$4,"_",$F$6), IF(I59=6, CONCATENATE(B59,"_",$B$4,"_",$F$6), IF(I59=7,CONCATENATE(B59,"_",$D$6,"_P",$F$4), IF(I59=8, CONCATENATE(B59,"_P",$F$4,"_",$B$4), No se tiene nomenclatura para este artefacto)))))))))</f>
        <v>RPRVR_CON_20181203</v>
      </c>
      <c r="E59" s="619" t="s">
        <v>247</v>
      </c>
      <c r="F59" s="619"/>
      <c r="G59" s="13"/>
      <c r="H59" s="71">
        <f t="shared" si="0"/>
        <v>18</v>
      </c>
      <c r="I59" s="324">
        <v>1</v>
      </c>
      <c r="J59" s="329"/>
    </row>
    <row r="60" spans="1:10" s="37" customFormat="1" ht="34.5" customHeight="1" x14ac:dyDescent="0.2">
      <c r="A60" s="551" t="s">
        <v>473</v>
      </c>
      <c r="B60" s="14" t="s">
        <v>369</v>
      </c>
      <c r="C60" s="562" t="s">
        <v>391</v>
      </c>
      <c r="D60" s="492" t="str">
        <f>IF(I60=0, CONCATENATE(J60), IF(I60=1, CONCATENATE(B60,"_",$D$6,"_",$B$4), IF(I60=2, CONCATENATE(B60,"_",$B$4), IF(I60=3, CONCATENATE(B60,"_P",$F$4,"_",$B$4,"_",$F$6), IF(I60=4, CONCATENATE(B60,"_",$D$6,"_",$B$4,"_",$F$6), IF(I60=5,CONCATENATE(B60,"_",$D$6,"_P",$F$4,"_",$B$4,"_",$F$6), IF(I60=6, CONCATENATE(B60,"_",$B$4,"_",$F$6), IF(I60=7,CONCATENATE(B60,"_",$D$6,"_P",$F$4), IF(I60=8, CONCATENATE(B60,"_P",$F$4,"_",$B$4), No se tiene nomenclatura para este artefacto)))))))))</f>
        <v>RPRV_CON_P363_20181203_IDEWEB</v>
      </c>
      <c r="E60" s="619" t="s">
        <v>541</v>
      </c>
      <c r="F60" s="619"/>
      <c r="G60" s="13"/>
      <c r="H60" s="71">
        <f t="shared" si="0"/>
        <v>29</v>
      </c>
      <c r="I60" s="324">
        <v>5</v>
      </c>
      <c r="J60" s="329"/>
    </row>
    <row r="61" spans="1:10" s="37" customFormat="1" ht="25.5" customHeight="1" x14ac:dyDescent="0.2">
      <c r="A61" s="551" t="s">
        <v>1185</v>
      </c>
      <c r="B61" s="14" t="s">
        <v>1186</v>
      </c>
      <c r="C61" s="562" t="s">
        <v>391</v>
      </c>
      <c r="D61" s="492" t="str">
        <f>IF(I61=0, CONCATENATE(J61), IF(I61=1, CONCATENATE(B61,"_",$D$6,"_",$B$4), IF(I61=2, CONCATENATE(B61,"_",$B$4), IF(I61=3, CONCATENATE(B61,"_P",$F$4,"_",$B$4,"_",$F$6), IF(I61=4, CONCATENATE(B61,"_",$D$6,"_",$B$4,"_",$F$6), IF(I61=5,CONCATENATE(B61,"_",$D$6,"_P",$F$4,"_",$B$4,"_",$F$6), IF(I61=6, CONCATENATE(B61,"_",$B$4,"_",$F$6), IF(I61=7,CONCATENATE(B61,"_",$D$6,"_P",$F$4), IF(I61=8, CONCATENATE(B61,"_P",$F$4,"_",$B$4), No se tiene nomenclatura para este artefacto)))))))))</f>
        <v>RPRVCO_CON_P363_20181203_IDEWEB</v>
      </c>
      <c r="E61" s="619" t="s">
        <v>419</v>
      </c>
      <c r="F61" s="619"/>
      <c r="G61" s="13"/>
      <c r="H61" s="71">
        <f t="shared" si="0"/>
        <v>31</v>
      </c>
      <c r="I61" s="14">
        <v>5</v>
      </c>
      <c r="J61" s="329"/>
    </row>
    <row r="62" spans="1:10" s="37" customFormat="1" ht="34.5" customHeight="1" x14ac:dyDescent="0.2">
      <c r="A62" s="551" t="s">
        <v>344</v>
      </c>
      <c r="B62" s="14" t="s">
        <v>364</v>
      </c>
      <c r="C62" s="562" t="s">
        <v>345</v>
      </c>
      <c r="D62" s="492" t="str">
        <f>IF(I62=0, CONCATENATE(J62), IF(I62=1, CONCATENATE(B62,"_",$D$6,"_",$B$4), IF(I62=2, CONCATENATE(B62,"_",$B$4), IF(I62=3, CONCATENATE(B62,"_P",$F$4,"_",$B$4,"_",$F$6), IF(I62=4, CONCATENATE(B62,"_",$D$6,"_",$B$4,"_",$F$6), IF(I62=5,CONCATENATE(B62,"_",$D$6,"_P",$F$4,"_",$B$4,"_",$F$6), IF(I62=6, CONCATENATE(B62,"_",$B$4,"_",$F$6), IF(I62=7,CONCATENATE(B62,"_",$D$6,"_P",$F$4), IF(I62=8, CONCATENATE(B62,"_P",$F$4,"_",$B$4), No se tiene nomenclatura para este artefacto)))))))))</f>
        <v>RPRVCF_20181203</v>
      </c>
      <c r="E62" s="619" t="s">
        <v>430</v>
      </c>
      <c r="F62" s="619"/>
      <c r="G62" s="13"/>
      <c r="H62" s="71">
        <f t="shared" si="0"/>
        <v>15</v>
      </c>
      <c r="I62" s="14">
        <v>2</v>
      </c>
      <c r="J62" s="329"/>
    </row>
    <row r="63" spans="1:10" s="37" customFormat="1" ht="35.25" customHeight="1" x14ac:dyDescent="0.2">
      <c r="A63" s="551" t="s">
        <v>351</v>
      </c>
      <c r="B63" s="14" t="s">
        <v>367</v>
      </c>
      <c r="C63" s="562" t="s">
        <v>352</v>
      </c>
      <c r="D63" s="492" t="str">
        <f>IF(I63=0, CONCATENATE(J63), IF(I63=1, CONCATENATE(B63,"_",$D$6,"_",$B$4), IF(I63=2, CONCATENATE(B63,"_",$B$4), IF(I63=3, CONCATENATE(B63,"_P",$F$4,"_",$B$4,"_",$F$6), IF(I63=4, CONCATENATE(B63,"_",$D$6,"_",$B$4,"_",$F$6), IF(I63=5,CONCATENATE(B63,"_",$D$6,"_P",$F$4,"_",$B$4,"_",$F$6), IF(I63=6, CONCATENATE(B63,"_",$B$4,"_",$F$6), IF(I63=7,CONCATENATE(B63,"_",$D$6,"_P",$F$4), IF(I63=8, CONCATENATE(B63,"_P",$F$4,"_",$B$4), No se tiene nomenclatura para este artefacto)))))))))</f>
        <v>RPSIC_20181203</v>
      </c>
      <c r="E63" s="619" t="s">
        <v>431</v>
      </c>
      <c r="F63" s="619"/>
      <c r="G63" s="13"/>
      <c r="H63" s="71">
        <f t="shared" si="0"/>
        <v>14</v>
      </c>
      <c r="I63" s="14">
        <v>2</v>
      </c>
      <c r="J63" s="26"/>
    </row>
    <row r="64" spans="1:10" s="37" customFormat="1" ht="23.25" customHeight="1" x14ac:dyDescent="0.2">
      <c r="A64" s="551" t="s">
        <v>1193</v>
      </c>
      <c r="B64" s="14" t="s">
        <v>459</v>
      </c>
      <c r="C64" s="562" t="s">
        <v>460</v>
      </c>
      <c r="D64" s="492" t="str">
        <f>IF(I64=0, CONCATENATE(J64), IF(I64=1, CONCATENATE(B64,"_",$D$6,"_",$B$4), IF(I64=2, CONCATENATE(B64,"_",$B$4), IF(I64=3, CONCATENATE(B64,"_P",$F$4,"_",$B$4,"_",$F$6), IF(I64=4, CONCATENATE(B64,"_",$D$6,"_",$B$4,"_",$F$6), IF(I64=5,CONCATENATE(B64,"_",$D$6,"_P",$F$4,"_",$B$4,"_",$F$6), IF(I64=6, CONCATENATE(B64,"_",$B$4,"_",$F$6), IF(I64=7,CONCATENATE(B64,"_",$D$6,"_P",$F$4), IF(I64=8, CONCATENATE(B64,"_P",$F$4,"_",$B$4), No se tiene nomenclatura para este artefacto)))))))))</f>
        <v>RepReutilComp_CDS1,2y3_20181203</v>
      </c>
      <c r="E64" s="619" t="s">
        <v>418</v>
      </c>
      <c r="F64" s="619"/>
      <c r="G64" s="13"/>
      <c r="H64" s="71">
        <f t="shared" si="0"/>
        <v>31</v>
      </c>
      <c r="I64" s="14">
        <v>0</v>
      </c>
      <c r="J64" s="329" t="str">
        <f>'Entregables Contractuales'!F53</f>
        <v>RepReutilComp_CDS1,2y3_20181203</v>
      </c>
    </row>
    <row r="65" spans="2:11" s="37" customFormat="1" x14ac:dyDescent="0.2">
      <c r="B65" s="38"/>
      <c r="C65" s="38"/>
      <c r="D65" s="38"/>
      <c r="E65" s="39"/>
      <c r="F65" s="39"/>
      <c r="G65" s="38"/>
      <c r="H65" s="38"/>
      <c r="I65" s="40"/>
      <c r="J65" s="325"/>
      <c r="K65" s="325"/>
    </row>
    <row r="66" spans="2:11" s="37" customFormat="1" x14ac:dyDescent="0.2">
      <c r="B66" s="38"/>
      <c r="C66" s="38"/>
      <c r="D66" s="38"/>
      <c r="E66" s="39"/>
      <c r="F66" s="39"/>
      <c r="G66" s="38"/>
      <c r="H66" s="38"/>
      <c r="I66" s="40"/>
      <c r="J66" s="325"/>
      <c r="K66" s="325"/>
    </row>
    <row r="67" spans="2:11" s="37" customFormat="1" x14ac:dyDescent="0.2">
      <c r="B67" s="38"/>
      <c r="C67" s="38"/>
      <c r="D67" s="38"/>
      <c r="E67" s="39"/>
      <c r="F67" s="39"/>
      <c r="G67" s="38"/>
      <c r="H67" s="38"/>
      <c r="I67" s="40"/>
      <c r="J67" s="325"/>
      <c r="K67" s="325"/>
    </row>
    <row r="68" spans="2:11" s="37" customFormat="1" x14ac:dyDescent="0.2">
      <c r="B68" s="38"/>
      <c r="C68" s="38"/>
      <c r="D68" s="38"/>
      <c r="E68" s="39"/>
      <c r="F68" s="39"/>
      <c r="G68" s="38"/>
      <c r="H68" s="38"/>
      <c r="I68" s="40"/>
      <c r="J68" s="325"/>
      <c r="K68" s="325"/>
    </row>
    <row r="69" spans="2:11" s="37" customFormat="1" x14ac:dyDescent="0.2">
      <c r="B69" s="38"/>
      <c r="C69" s="38"/>
      <c r="D69" s="38"/>
      <c r="E69" s="39"/>
      <c r="F69" s="39"/>
      <c r="G69" s="38"/>
      <c r="H69" s="38"/>
      <c r="I69" s="40"/>
      <c r="J69" s="325"/>
      <c r="K69" s="325"/>
    </row>
    <row r="70" spans="2:11" s="37" customFormat="1" x14ac:dyDescent="0.2">
      <c r="B70" s="38"/>
      <c r="C70" s="38"/>
      <c r="D70" s="38"/>
      <c r="E70" s="39"/>
      <c r="F70" s="39"/>
      <c r="G70" s="38"/>
      <c r="H70" s="38"/>
      <c r="I70" s="40"/>
      <c r="J70" s="325"/>
      <c r="K70" s="325"/>
    </row>
    <row r="71" spans="2:11" s="37" customFormat="1" x14ac:dyDescent="0.2">
      <c r="B71" s="38"/>
      <c r="C71" s="38"/>
      <c r="D71" s="38"/>
      <c r="E71" s="39"/>
      <c r="F71" s="39"/>
      <c r="G71" s="38"/>
      <c r="H71" s="38"/>
      <c r="I71" s="40"/>
      <c r="J71" s="325"/>
      <c r="K71" s="325"/>
    </row>
    <row r="72" spans="2:11" s="37" customFormat="1" x14ac:dyDescent="0.2">
      <c r="B72" s="38"/>
      <c r="C72" s="38"/>
      <c r="D72" s="38"/>
      <c r="E72" s="39"/>
      <c r="F72" s="39"/>
      <c r="G72" s="38"/>
      <c r="H72" s="38"/>
      <c r="I72" s="40"/>
      <c r="J72" s="325"/>
      <c r="K72" s="325"/>
    </row>
    <row r="73" spans="2:11" s="37" customFormat="1" x14ac:dyDescent="0.2">
      <c r="B73" s="38"/>
      <c r="C73" s="38"/>
      <c r="D73" s="38"/>
      <c r="E73" s="39"/>
      <c r="F73" s="39"/>
      <c r="G73" s="38"/>
      <c r="H73" s="38"/>
      <c r="I73" s="40"/>
      <c r="J73" s="325"/>
      <c r="K73" s="325"/>
    </row>
    <row r="74" spans="2:11" s="37" customFormat="1" x14ac:dyDescent="0.2">
      <c r="B74" s="38"/>
      <c r="C74" s="38"/>
      <c r="D74" s="38"/>
      <c r="E74" s="39"/>
      <c r="F74" s="39"/>
      <c r="G74" s="38"/>
      <c r="H74" s="38"/>
      <c r="I74" s="40"/>
      <c r="J74" s="325"/>
      <c r="K74" s="325"/>
    </row>
    <row r="75" spans="2:11" s="37" customFormat="1" x14ac:dyDescent="0.2">
      <c r="B75" s="38"/>
      <c r="C75" s="38"/>
      <c r="D75" s="38"/>
      <c r="E75" s="39"/>
      <c r="F75" s="39"/>
      <c r="G75" s="38"/>
      <c r="H75" s="38"/>
      <c r="I75" s="40"/>
      <c r="J75" s="325"/>
      <c r="K75" s="325"/>
    </row>
    <row r="76" spans="2:11" s="37" customFormat="1" x14ac:dyDescent="0.2">
      <c r="B76" s="38"/>
      <c r="C76" s="38"/>
      <c r="D76" s="38"/>
      <c r="E76" s="39"/>
      <c r="F76" s="39"/>
      <c r="G76" s="38"/>
      <c r="H76" s="38"/>
      <c r="I76" s="40"/>
      <c r="J76" s="325"/>
      <c r="K76" s="325"/>
    </row>
    <row r="77" spans="2:11" s="37" customFormat="1" x14ac:dyDescent="0.2">
      <c r="B77" s="38"/>
      <c r="C77" s="38"/>
      <c r="D77" s="38"/>
      <c r="E77" s="39"/>
      <c r="F77" s="39"/>
      <c r="G77" s="38"/>
      <c r="H77" s="38"/>
      <c r="I77" s="40"/>
      <c r="J77" s="325"/>
      <c r="K77" s="325"/>
    </row>
    <row r="78" spans="2:11" s="37" customFormat="1" x14ac:dyDescent="0.2">
      <c r="B78" s="38"/>
      <c r="C78" s="38"/>
      <c r="D78" s="38"/>
      <c r="E78" s="39"/>
      <c r="F78" s="39"/>
      <c r="G78" s="38"/>
      <c r="H78" s="38"/>
      <c r="I78" s="40"/>
      <c r="J78" s="325"/>
      <c r="K78" s="325"/>
    </row>
    <row r="79" spans="2:11" s="37" customFormat="1" x14ac:dyDescent="0.2">
      <c r="B79" s="38"/>
      <c r="C79" s="38"/>
      <c r="D79" s="38"/>
      <c r="E79" s="39"/>
      <c r="F79" s="39"/>
      <c r="G79" s="38"/>
      <c r="H79" s="38"/>
      <c r="I79" s="40"/>
      <c r="J79" s="325"/>
      <c r="K79" s="325"/>
    </row>
    <row r="80" spans="2:11" s="37" customFormat="1" x14ac:dyDescent="0.2">
      <c r="B80" s="38"/>
      <c r="C80" s="38"/>
      <c r="D80" s="38"/>
      <c r="E80" s="39"/>
      <c r="F80" s="39"/>
      <c r="G80" s="38"/>
      <c r="H80" s="38"/>
      <c r="I80" s="40"/>
      <c r="J80" s="325"/>
      <c r="K80" s="325"/>
    </row>
    <row r="81" spans="2:11" s="37" customFormat="1" x14ac:dyDescent="0.2">
      <c r="B81" s="38"/>
      <c r="C81" s="38"/>
      <c r="D81" s="38"/>
      <c r="E81" s="39"/>
      <c r="F81" s="39"/>
      <c r="G81" s="38"/>
      <c r="H81" s="38"/>
      <c r="I81" s="40"/>
      <c r="J81" s="325"/>
      <c r="K81" s="325"/>
    </row>
    <row r="82" spans="2:11" s="37" customFormat="1" x14ac:dyDescent="0.2">
      <c r="B82" s="38"/>
      <c r="C82" s="38"/>
      <c r="D82" s="38"/>
      <c r="E82" s="39"/>
      <c r="F82" s="39"/>
      <c r="G82" s="38"/>
      <c r="H82" s="38"/>
      <c r="I82" s="40"/>
      <c r="J82" s="325"/>
      <c r="K82" s="325"/>
    </row>
    <row r="83" spans="2:11" s="37" customFormat="1" x14ac:dyDescent="0.2">
      <c r="B83" s="38"/>
      <c r="C83" s="38"/>
      <c r="D83" s="38"/>
      <c r="E83" s="39"/>
      <c r="F83" s="39"/>
      <c r="G83" s="38"/>
      <c r="H83" s="38"/>
      <c r="I83" s="40"/>
      <c r="J83" s="325"/>
      <c r="K83" s="325"/>
    </row>
    <row r="84" spans="2:11" s="37" customFormat="1" x14ac:dyDescent="0.2">
      <c r="B84" s="38"/>
      <c r="C84" s="38"/>
      <c r="D84" s="38"/>
      <c r="E84" s="39"/>
      <c r="F84" s="39"/>
      <c r="G84" s="38"/>
      <c r="H84" s="38"/>
      <c r="I84" s="40"/>
      <c r="J84" s="325"/>
      <c r="K84" s="325"/>
    </row>
    <row r="85" spans="2:11" s="37" customFormat="1" x14ac:dyDescent="0.2">
      <c r="B85" s="38"/>
      <c r="C85" s="38"/>
      <c r="D85" s="38"/>
      <c r="E85" s="39"/>
      <c r="F85" s="39"/>
      <c r="G85" s="38"/>
      <c r="H85" s="38"/>
      <c r="I85" s="40"/>
      <c r="J85" s="325"/>
      <c r="K85" s="325"/>
    </row>
    <row r="86" spans="2:11" s="37" customFormat="1" x14ac:dyDescent="0.2">
      <c r="B86" s="2"/>
      <c r="C86" s="2"/>
      <c r="D86" s="2"/>
      <c r="E86" s="24"/>
      <c r="F86" s="24"/>
      <c r="G86" s="2"/>
      <c r="H86" s="2"/>
      <c r="I86" s="3"/>
      <c r="J86" s="325"/>
      <c r="K86" s="325"/>
    </row>
    <row r="87" spans="2:11" s="37" customFormat="1" x14ac:dyDescent="0.2">
      <c r="B87" s="2"/>
      <c r="C87" s="2"/>
      <c r="D87" s="2"/>
      <c r="E87" s="24"/>
      <c r="F87" s="24"/>
      <c r="G87" s="2"/>
      <c r="H87" s="2"/>
      <c r="I87" s="3"/>
      <c r="J87" s="325"/>
      <c r="K87" s="325"/>
    </row>
  </sheetData>
  <sheetProtection algorithmName="SHA-512" hashValue="kOPJhubUyQJg8vkeEyHqW1CXLmjFp0svd9xYQbQn6HGMNclFfPYThph1nZS5NPyDfEjb7z4RS9P/rBXn7tVFEA==" saltValue="Be63C6d8wJ8P4Xb9YL4Bnw==" spinCount="100000" sheet="1" objects="1" scenarios="1"/>
  <protectedRanges>
    <protectedRange sqref="I7 A8:H8" name="restoDelWorksheet_1" securityDescriptor="O:WDG:WDD:(A;;CC;;;WD)"/>
    <protectedRange sqref="F9:H9 F10:G17 H10:H64 F20:G64" name="restoDelWorksheet_1_1" securityDescriptor="O:WDG:WDD:(A;;CC;;;WD)"/>
    <protectedRange sqref="C4" name="restoDelWorksheet_1_2" securityDescriptor="O:WDG:WDD:(A;;CC;;;WD)"/>
  </protectedRanges>
  <sortState ref="A9:K64">
    <sortCondition ref="A9:A64"/>
  </sortState>
  <dataConsolidate/>
  <customSheetViews>
    <customSheetView guid="{41B348E9-DE08-4F64-948D-855D8EF9DC1D}" scale="90" showGridLines="0" showAutoFilter="1" hiddenColumns="1" topLeftCell="B46">
      <selection activeCell="C57" sqref="C57"/>
      <colBreaks count="2" manualBreakCount="2">
        <brk id="9" max="142" man="1"/>
        <brk id="10" max="1048575" man="1"/>
      </colBreaks>
      <pageMargins left="0.7" right="0.7" top="1.464375" bottom="0.75" header="0.3" footer="0.3"/>
      <pageSetup paperSize="9" scale="65" orientation="landscape" r:id="rId1"/>
      <headerFooter>
        <oddHeader>&amp;L&amp;G
&amp;9Fecha 06/05/2013&amp;CADMINISTRACIÓN GENERAL DE COMUNICACIONES Y TECNOLOGÍAS DE 
LA INFORMACIÓN
&amp;"-,Bold"&amp;F
&amp;A&amp;R&amp;G
&amp;9
Versión: 3.1</oddHeader>
        <oddFooter>&amp;CPágina &amp;P of &amp;N</oddFooter>
      </headerFooter>
      <autoFilter ref="B1:M1" xr:uid="{00000000-0000-0000-0000-000000000000}"/>
    </customSheetView>
  </customSheetViews>
  <mergeCells count="58">
    <mergeCell ref="E45:F45"/>
    <mergeCell ref="E47:F47"/>
    <mergeCell ref="E48:F48"/>
    <mergeCell ref="E41:F41"/>
    <mergeCell ref="E42:F42"/>
    <mergeCell ref="E32:F32"/>
    <mergeCell ref="E34:F34"/>
    <mergeCell ref="E38:F38"/>
    <mergeCell ref="E35:F35"/>
    <mergeCell ref="E44:F44"/>
    <mergeCell ref="E63:F63"/>
    <mergeCell ref="E64:F64"/>
    <mergeCell ref="E57:F57"/>
    <mergeCell ref="E56:F56"/>
    <mergeCell ref="E25:F25"/>
    <mergeCell ref="E27:F27"/>
    <mergeCell ref="E28:F28"/>
    <mergeCell ref="E33:F33"/>
    <mergeCell ref="E30:F30"/>
    <mergeCell ref="E36:F36"/>
    <mergeCell ref="E43:F43"/>
    <mergeCell ref="E26:F26"/>
    <mergeCell ref="E46:F46"/>
    <mergeCell ref="E49:F49"/>
    <mergeCell ref="E62:F62"/>
    <mergeCell ref="E40:F40"/>
    <mergeCell ref="E13:F13"/>
    <mergeCell ref="E14:F14"/>
    <mergeCell ref="E54:F54"/>
    <mergeCell ref="E55:F55"/>
    <mergeCell ref="E8:F8"/>
    <mergeCell ref="E24:F24"/>
    <mergeCell ref="E20:F20"/>
    <mergeCell ref="E15:F15"/>
    <mergeCell ref="E17:F17"/>
    <mergeCell ref="E16:F16"/>
    <mergeCell ref="E23:F23"/>
    <mergeCell ref="E21:F21"/>
    <mergeCell ref="E18:F18"/>
    <mergeCell ref="E19:F19"/>
    <mergeCell ref="E22:F22"/>
    <mergeCell ref="E31:F31"/>
    <mergeCell ref="A3:A6"/>
    <mergeCell ref="E39:F39"/>
    <mergeCell ref="E59:F59"/>
    <mergeCell ref="E60:F60"/>
    <mergeCell ref="E61:F61"/>
    <mergeCell ref="E58:F58"/>
    <mergeCell ref="E50:F50"/>
    <mergeCell ref="E51:F51"/>
    <mergeCell ref="E52:F52"/>
    <mergeCell ref="E53:F53"/>
    <mergeCell ref="E29:F29"/>
    <mergeCell ref="E37:F37"/>
    <mergeCell ref="E10:F10"/>
    <mergeCell ref="E9:F9"/>
    <mergeCell ref="E11:F11"/>
    <mergeCell ref="E12:F12"/>
  </mergeCells>
  <conditionalFormatting sqref="E63">
    <cfRule type="iconSet" priority="1">
      <iconSet iconSet="3Symbols2" showValue="0">
        <cfvo type="percent" val="0"/>
        <cfvo type="num" val="2"/>
        <cfvo type="num" val="3"/>
      </iconSet>
    </cfRule>
  </conditionalFormatting>
  <conditionalFormatting sqref="E65:F65517 E1:F2 E7:F7">
    <cfRule type="iconSet" priority="1079">
      <iconSet iconSet="3Symbols2" showValue="0">
        <cfvo type="percent" val="0"/>
        <cfvo type="num" val="2"/>
        <cfvo type="num" val="3"/>
      </iconSet>
    </cfRule>
  </conditionalFormatting>
  <pageMargins left="0.7" right="0.7" top="1.464375" bottom="0.75" header="0.3" footer="0.3"/>
  <pageSetup paperSize="9" scale="65" orientation="landscape" r:id="rId2"/>
  <headerFooter>
    <oddHeader>&amp;L&amp;G
&amp;9Fecha 06/05/2013&amp;CADMINISTRACIÓN GENERAL DE COMUNICACIONES Y TECNOLOGÍAS DE 
LA INFORMACIÓN
&amp;"-,Bold"&amp;F
&amp;A&amp;R&amp;G
&amp;9
Versión: 3.1</oddHeader>
    <oddFooter>&amp;CPágina &amp;P of &amp;N</oddFooter>
  </headerFooter>
  <colBreaks count="1" manualBreakCount="1">
    <brk id="8" max="142" man="1"/>
  </colBreaks>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4BACC6"/>
  </sheetPr>
  <dimension ref="B1:P45"/>
  <sheetViews>
    <sheetView showGridLines="0" topLeftCell="A20" zoomScale="85" zoomScaleNormal="85" zoomScaleSheetLayoutView="100" zoomScalePageLayoutView="80" workbookViewId="0">
      <selection activeCell="J23" sqref="J23"/>
    </sheetView>
  </sheetViews>
  <sheetFormatPr baseColWidth="10" defaultColWidth="8.85546875" defaultRowHeight="12.75" x14ac:dyDescent="0.2"/>
  <cols>
    <col min="1" max="1" width="3.5703125" style="20" customWidth="1"/>
    <col min="2" max="2" width="54.140625" style="20" customWidth="1"/>
    <col min="3" max="3" width="12.140625" style="20" customWidth="1"/>
    <col min="4" max="4" width="14.7109375" style="20" customWidth="1"/>
    <col min="5" max="5" width="14.85546875" style="20" customWidth="1"/>
    <col min="6" max="6" width="11.7109375" style="20" customWidth="1"/>
    <col min="7" max="7" width="15.5703125" style="20" bestFit="1" customWidth="1"/>
    <col min="8" max="8" width="25.42578125" style="20" customWidth="1"/>
    <col min="9" max="9" width="22.42578125" style="20" customWidth="1"/>
    <col min="10" max="10" width="62.28515625" style="20" customWidth="1"/>
    <col min="11" max="11" width="13.28515625" style="21" customWidth="1"/>
    <col min="12" max="12" width="24.7109375" style="21" customWidth="1"/>
    <col min="13" max="13" width="25.5703125" style="21" customWidth="1"/>
    <col min="14" max="14" width="39.85546875" style="21" customWidth="1"/>
    <col min="15" max="15" width="33.140625" style="21" hidden="1" customWidth="1"/>
    <col min="16" max="16" width="15.85546875" style="20" hidden="1" customWidth="1"/>
    <col min="17" max="18" width="8.85546875" style="20" customWidth="1"/>
    <col min="19" max="16384" width="8.85546875" style="20"/>
  </cols>
  <sheetData>
    <row r="1" spans="2:16" ht="15.75" thickBot="1" x14ac:dyDescent="0.25">
      <c r="B1" s="193"/>
      <c r="N1" s="20"/>
      <c r="O1" s="20"/>
      <c r="P1" s="5"/>
    </row>
    <row r="2" spans="2:16" ht="12.75" customHeight="1" x14ac:dyDescent="0.2">
      <c r="B2" s="636" t="s">
        <v>180</v>
      </c>
      <c r="C2" s="171" t="s">
        <v>169</v>
      </c>
      <c r="D2" s="171"/>
      <c r="E2" s="171"/>
      <c r="F2" s="155"/>
      <c r="G2" s="155"/>
      <c r="H2" s="155"/>
      <c r="I2" s="155"/>
      <c r="J2" s="172"/>
      <c r="K2" s="204"/>
      <c r="L2" s="205"/>
      <c r="M2" s="206"/>
      <c r="N2" s="20"/>
      <c r="O2" s="20"/>
      <c r="P2" s="5"/>
    </row>
    <row r="3" spans="2:16" x14ac:dyDescent="0.2">
      <c r="B3" s="637"/>
      <c r="C3" s="156" t="s">
        <v>168</v>
      </c>
      <c r="D3" s="156"/>
      <c r="E3" s="156"/>
      <c r="F3" s="625" t="s">
        <v>170</v>
      </c>
      <c r="G3" s="625"/>
      <c r="H3" s="625"/>
      <c r="I3" s="625"/>
      <c r="J3" s="625"/>
      <c r="K3" s="206"/>
      <c r="L3" s="207"/>
      <c r="M3" s="208"/>
      <c r="N3" s="625"/>
      <c r="O3" s="625"/>
      <c r="P3" s="625"/>
    </row>
    <row r="4" spans="2:16" x14ac:dyDescent="0.2">
      <c r="B4" s="637"/>
      <c r="C4" s="156">
        <v>3</v>
      </c>
      <c r="D4" s="156"/>
      <c r="E4" s="156"/>
      <c r="F4" s="625" t="s">
        <v>171</v>
      </c>
      <c r="G4" s="625"/>
      <c r="H4" s="625"/>
      <c r="I4" s="625"/>
      <c r="J4" s="625"/>
      <c r="K4" s="206"/>
      <c r="L4" s="207"/>
      <c r="M4" s="208"/>
      <c r="N4" s="625"/>
      <c r="O4" s="625"/>
      <c r="P4" s="625"/>
    </row>
    <row r="5" spans="2:16" ht="13.5" customHeight="1" x14ac:dyDescent="0.2">
      <c r="B5" s="637"/>
      <c r="C5" s="156">
        <v>4</v>
      </c>
      <c r="D5" s="156"/>
      <c r="E5" s="156"/>
      <c r="F5" s="625" t="s">
        <v>172</v>
      </c>
      <c r="G5" s="625"/>
      <c r="H5" s="625"/>
      <c r="I5" s="625"/>
      <c r="J5" s="625"/>
      <c r="K5" s="206"/>
      <c r="L5" s="207"/>
      <c r="M5" s="209"/>
      <c r="N5" s="625"/>
      <c r="O5" s="625"/>
      <c r="P5" s="625"/>
    </row>
    <row r="6" spans="2:16" x14ac:dyDescent="0.2">
      <c r="B6" s="637"/>
      <c r="C6" s="156" t="s">
        <v>173</v>
      </c>
      <c r="D6" s="156"/>
      <c r="E6" s="156"/>
      <c r="F6" s="625" t="s">
        <v>174</v>
      </c>
      <c r="G6" s="625"/>
      <c r="H6" s="625"/>
      <c r="I6" s="625"/>
      <c r="J6" s="625"/>
      <c r="K6" s="206"/>
      <c r="L6" s="207"/>
      <c r="M6" s="209"/>
      <c r="N6" s="625"/>
      <c r="O6" s="625"/>
      <c r="P6" s="625"/>
    </row>
    <row r="7" spans="2:16" x14ac:dyDescent="0.2">
      <c r="B7" s="652" t="s">
        <v>181</v>
      </c>
      <c r="C7" s="156" t="s">
        <v>175</v>
      </c>
      <c r="D7" s="156"/>
      <c r="E7" s="156"/>
      <c r="F7" s="625" t="s">
        <v>176</v>
      </c>
      <c r="G7" s="625"/>
      <c r="H7" s="625"/>
      <c r="I7" s="625"/>
      <c r="J7" s="625"/>
      <c r="K7" s="206"/>
      <c r="L7" s="207"/>
      <c r="M7" s="209"/>
      <c r="N7" s="625"/>
      <c r="O7" s="625"/>
      <c r="P7" s="625"/>
    </row>
    <row r="8" spans="2:16" ht="15" customHeight="1" x14ac:dyDescent="0.2">
      <c r="B8" s="652"/>
      <c r="C8" s="156">
        <v>9</v>
      </c>
      <c r="D8" s="156"/>
      <c r="E8" s="156"/>
      <c r="F8" s="625" t="s">
        <v>177</v>
      </c>
      <c r="G8" s="625"/>
      <c r="H8" s="625"/>
      <c r="I8" s="625"/>
      <c r="J8" s="625"/>
      <c r="K8" s="206"/>
      <c r="L8" s="207"/>
      <c r="M8" s="209"/>
      <c r="N8" s="625"/>
      <c r="O8" s="625"/>
      <c r="P8" s="625"/>
    </row>
    <row r="9" spans="2:16" ht="12.75" customHeight="1" x14ac:dyDescent="0.2">
      <c r="B9" s="652"/>
      <c r="C9" s="156" t="s">
        <v>178</v>
      </c>
      <c r="D9" s="156"/>
      <c r="E9" s="156"/>
      <c r="F9" s="625" t="s">
        <v>1620</v>
      </c>
      <c r="G9" s="625"/>
      <c r="H9" s="625"/>
      <c r="I9" s="625"/>
      <c r="J9" s="625"/>
      <c r="K9" s="206"/>
      <c r="L9" s="207"/>
      <c r="M9" s="209"/>
      <c r="N9" s="625"/>
      <c r="O9" s="625"/>
      <c r="P9" s="625"/>
    </row>
    <row r="10" spans="2:16" ht="28.5" customHeight="1" x14ac:dyDescent="0.2">
      <c r="B10" s="653"/>
      <c r="C10" s="158">
        <v>12</v>
      </c>
      <c r="D10" s="158"/>
      <c r="E10" s="158"/>
      <c r="F10" s="626" t="s">
        <v>488</v>
      </c>
      <c r="G10" s="626"/>
      <c r="H10" s="626"/>
      <c r="I10" s="626"/>
      <c r="J10" s="626"/>
      <c r="K10" s="173"/>
      <c r="L10" s="174"/>
      <c r="M10" s="210"/>
      <c r="N10" s="627"/>
      <c r="O10" s="627"/>
      <c r="P10" s="627"/>
    </row>
    <row r="11" spans="2:16" ht="25.5" x14ac:dyDescent="0.2">
      <c r="B11" s="157" t="s">
        <v>99</v>
      </c>
      <c r="C11" s="643" t="s">
        <v>194</v>
      </c>
      <c r="D11" s="644"/>
      <c r="E11" s="644"/>
      <c r="F11" s="644"/>
      <c r="G11" s="645"/>
      <c r="H11" s="157" t="s">
        <v>163</v>
      </c>
      <c r="I11" s="554"/>
      <c r="J11" s="36" t="s">
        <v>162</v>
      </c>
      <c r="K11" s="211" t="s">
        <v>179</v>
      </c>
      <c r="L11" s="212" t="s">
        <v>164</v>
      </c>
      <c r="M11" s="132"/>
      <c r="N11" s="175"/>
      <c r="O11" s="27"/>
      <c r="P11" s="5"/>
    </row>
    <row r="12" spans="2:16" ht="15.75" customHeight="1" x14ac:dyDescent="0.2">
      <c r="B12" s="176" t="str">
        <f>'Hoja Captura'!C5</f>
        <v>_28_Declaraciones_y_Pagos_Informativas_y_Pagos_Provisionales</v>
      </c>
      <c r="C12" s="646" t="str">
        <f>IF(B12&gt;0,LOOKUP(B12,Catalogos!C4:G32,Catalogos!F4:F32),"")</f>
        <v>DL</v>
      </c>
      <c r="D12" s="647"/>
      <c r="E12" s="647"/>
      <c r="F12" s="647"/>
      <c r="G12" s="648"/>
      <c r="H12" s="177" t="str">
        <f>'Hoja Captura'!C13</f>
        <v>ACDMA</v>
      </c>
      <c r="I12" s="177"/>
      <c r="J12" s="195" t="str">
        <f>IF(H12&gt;0,LOOKUP(H12,Catalogos!N4:O10,Catalogos!O4:O10),"")</f>
        <v>C</v>
      </c>
      <c r="K12" s="178" t="str">
        <f>'Hoja Captura'!C14</f>
        <v>EQUIPOS CENTRALES</v>
      </c>
      <c r="L12" s="213" t="str">
        <f>IF(K12&gt;0,LOOKUP(K12,Catalogos!N14:O18,Catalogos!O14:O18),"")</f>
        <v>C</v>
      </c>
      <c r="M12" s="132"/>
      <c r="N12" s="179"/>
      <c r="O12" s="28"/>
      <c r="P12" s="5"/>
    </row>
    <row r="13" spans="2:16" ht="15" customHeight="1" x14ac:dyDescent="0.2">
      <c r="B13" s="157" t="s">
        <v>165</v>
      </c>
      <c r="C13" s="639" t="s">
        <v>166</v>
      </c>
      <c r="D13" s="639"/>
      <c r="E13" s="640" t="s">
        <v>167</v>
      </c>
      <c r="F13" s="641"/>
      <c r="G13" s="642"/>
      <c r="H13" s="159" t="s">
        <v>108</v>
      </c>
      <c r="I13" s="555"/>
      <c r="J13" s="157" t="s">
        <v>490</v>
      </c>
      <c r="K13" s="211" t="s">
        <v>501</v>
      </c>
      <c r="L13" s="214" t="s">
        <v>110</v>
      </c>
      <c r="M13" s="132"/>
      <c r="N13" s="175"/>
      <c r="O13" s="27"/>
      <c r="P13" s="5"/>
    </row>
    <row r="14" spans="2:16" s="475" customFormat="1" ht="15" x14ac:dyDescent="0.2">
      <c r="B14" s="473" t="str">
        <f>TEXT('Hoja Captura'!D12, "aa")</f>
        <v>18</v>
      </c>
      <c r="C14" s="638" t="str">
        <f>TEXT(C15,"00")</f>
        <v>49</v>
      </c>
      <c r="D14" s="638"/>
      <c r="E14" s="649">
        <f>WEEKDAY('Hoja Captura'!D12,2)</f>
        <v>1</v>
      </c>
      <c r="F14" s="650"/>
      <c r="G14" s="651"/>
      <c r="H14" s="180">
        <f>'Hoja Captura'!C16</f>
        <v>1</v>
      </c>
      <c r="I14" s="180"/>
      <c r="J14" s="116" t="str">
        <f>'Hoja Captura'!C15</f>
        <v>DE</v>
      </c>
      <c r="K14" s="178" t="str">
        <f>'Nombrado Artefactos'!F6</f>
        <v>28</v>
      </c>
      <c r="L14" s="215" t="str">
        <f>'Nombrado Artefactos'!B4</f>
        <v>382</v>
      </c>
      <c r="M14" s="216"/>
      <c r="N14" s="179"/>
      <c r="O14" s="29"/>
      <c r="P14" s="474"/>
    </row>
    <row r="15" spans="2:16" s="475" customFormat="1" ht="15" x14ac:dyDescent="0.2">
      <c r="B15" s="476"/>
      <c r="C15" s="478">
        <f>WEEKNUM('Hoja Captura'!D12,)</f>
        <v>49</v>
      </c>
      <c r="D15" s="182"/>
      <c r="E15" s="183"/>
      <c r="F15" s="183"/>
      <c r="G15" s="183"/>
      <c r="H15" s="183"/>
      <c r="I15" s="183"/>
      <c r="J15" s="184"/>
      <c r="K15" s="217"/>
      <c r="L15" s="218"/>
      <c r="M15" s="219"/>
      <c r="N15" s="185"/>
      <c r="O15" s="186"/>
      <c r="P15" s="477"/>
    </row>
    <row r="16" spans="2:16" ht="21.75" customHeight="1" thickBot="1" x14ac:dyDescent="0.25">
      <c r="B16" s="187"/>
      <c r="C16" s="181"/>
      <c r="D16" s="187"/>
      <c r="E16" s="187"/>
      <c r="F16" s="187"/>
      <c r="G16" s="187"/>
      <c r="H16" s="187"/>
      <c r="I16" s="187"/>
      <c r="J16" s="187"/>
      <c r="K16" s="188"/>
      <c r="L16" s="188"/>
      <c r="M16" s="188"/>
      <c r="N16" s="189"/>
      <c r="O16" s="189"/>
      <c r="P16" s="187"/>
    </row>
    <row r="17" spans="2:16" ht="24.75" customHeight="1" x14ac:dyDescent="0.2">
      <c r="B17" s="196" t="s">
        <v>0</v>
      </c>
      <c r="C17" s="196" t="s">
        <v>1</v>
      </c>
      <c r="D17" s="196" t="s">
        <v>192</v>
      </c>
      <c r="E17" s="196" t="s">
        <v>193</v>
      </c>
      <c r="F17" s="196" t="s">
        <v>254</v>
      </c>
      <c r="G17" s="196" t="s">
        <v>304</v>
      </c>
      <c r="H17" s="196" t="s">
        <v>305</v>
      </c>
      <c r="I17" s="553" t="s">
        <v>1695</v>
      </c>
      <c r="J17" s="196" t="s">
        <v>290</v>
      </c>
      <c r="K17" s="634" t="str">
        <f>UPPER("Comentarios")</f>
        <v>COMENTARIOS</v>
      </c>
      <c r="L17" s="634"/>
      <c r="M17" s="635"/>
      <c r="N17" s="202" t="s">
        <v>535</v>
      </c>
      <c r="O17" s="203" t="s">
        <v>536</v>
      </c>
      <c r="P17" s="201" t="s">
        <v>546</v>
      </c>
    </row>
    <row r="18" spans="2:16" ht="27" customHeight="1" x14ac:dyDescent="0.2">
      <c r="B18" s="80" t="s">
        <v>439</v>
      </c>
      <c r="C18" s="100" t="s">
        <v>3</v>
      </c>
      <c r="D18" s="72">
        <v>3</v>
      </c>
      <c r="E18" s="72">
        <v>3</v>
      </c>
      <c r="F18" s="72">
        <v>3</v>
      </c>
      <c r="G18" s="72">
        <v>3</v>
      </c>
      <c r="H18" s="72">
        <v>3</v>
      </c>
      <c r="I18" s="72">
        <v>3</v>
      </c>
      <c r="J18" s="78" t="str">
        <f>'Nombrado Artefactos'!E12</f>
        <v>28_382_ANSL_CON_P363</v>
      </c>
      <c r="K18" s="622" t="s">
        <v>1213</v>
      </c>
      <c r="L18" s="629"/>
      <c r="M18" s="630"/>
      <c r="N18" s="83" t="s">
        <v>1789</v>
      </c>
      <c r="O18" s="154" t="s">
        <v>442</v>
      </c>
      <c r="P18" s="82"/>
    </row>
    <row r="19" spans="2:16" ht="38.25" customHeight="1" x14ac:dyDescent="0.2">
      <c r="B19" s="80" t="s">
        <v>485</v>
      </c>
      <c r="C19" s="75" t="s">
        <v>185</v>
      </c>
      <c r="D19" s="75">
        <v>3</v>
      </c>
      <c r="E19" s="75">
        <v>3</v>
      </c>
      <c r="F19" s="75">
        <v>3</v>
      </c>
      <c r="G19" s="76">
        <v>3</v>
      </c>
      <c r="H19" s="76">
        <v>3</v>
      </c>
      <c r="I19" s="76">
        <v>3</v>
      </c>
      <c r="J19" s="80"/>
      <c r="K19" s="622" t="s">
        <v>556</v>
      </c>
      <c r="L19" s="629"/>
      <c r="M19" s="630"/>
      <c r="N19" s="83" t="s">
        <v>1783</v>
      </c>
      <c r="O19" s="154" t="s">
        <v>442</v>
      </c>
      <c r="P19" s="71"/>
    </row>
    <row r="20" spans="2:16" ht="39.75" customHeight="1" x14ac:dyDescent="0.2">
      <c r="B20" s="80" t="s">
        <v>29</v>
      </c>
      <c r="C20" s="100" t="s">
        <v>30</v>
      </c>
      <c r="D20" s="76">
        <v>3</v>
      </c>
      <c r="E20" s="76">
        <v>3</v>
      </c>
      <c r="F20" s="76">
        <v>3</v>
      </c>
      <c r="G20" s="76">
        <v>3</v>
      </c>
      <c r="H20" s="76">
        <v>3</v>
      </c>
      <c r="I20" s="76">
        <v>3</v>
      </c>
      <c r="J20" s="77" t="str">
        <f>'Nombrado Artefactos'!E33</f>
        <v>28_382_FCU</v>
      </c>
      <c r="K20" s="622" t="s">
        <v>1214</v>
      </c>
      <c r="L20" s="629"/>
      <c r="M20" s="630"/>
      <c r="N20" s="26"/>
      <c r="O20" s="151"/>
      <c r="P20" s="82"/>
    </row>
    <row r="21" spans="2:16" ht="48.75" customHeight="1" x14ac:dyDescent="0.2">
      <c r="B21" s="80" t="s">
        <v>1797</v>
      </c>
      <c r="C21" s="75" t="s">
        <v>113</v>
      </c>
      <c r="D21" s="75">
        <v>3</v>
      </c>
      <c r="E21" s="75">
        <v>3</v>
      </c>
      <c r="F21" s="75">
        <v>3</v>
      </c>
      <c r="G21" s="75">
        <v>3</v>
      </c>
      <c r="H21" s="75">
        <v>3</v>
      </c>
      <c r="I21" s="76">
        <v>3</v>
      </c>
      <c r="J21" s="80" t="str">
        <f>CONCATENATE("Folio del Incidente_",P21)</f>
        <v>Folio del Incidente_dts</v>
      </c>
      <c r="K21" s="622" t="s">
        <v>553</v>
      </c>
      <c r="L21" s="629"/>
      <c r="M21" s="630"/>
      <c r="N21" s="83" t="s">
        <v>1774</v>
      </c>
      <c r="O21" s="154" t="s">
        <v>416</v>
      </c>
      <c r="P21" s="71" t="s">
        <v>547</v>
      </c>
    </row>
    <row r="22" spans="2:16" ht="38.25" customHeight="1" x14ac:dyDescent="0.2">
      <c r="B22" s="80" t="s">
        <v>137</v>
      </c>
      <c r="C22" s="75" t="s">
        <v>250</v>
      </c>
      <c r="D22" s="75">
        <v>3</v>
      </c>
      <c r="E22" s="75">
        <v>3</v>
      </c>
      <c r="F22" s="75">
        <v>3</v>
      </c>
      <c r="G22" s="75">
        <v>0</v>
      </c>
      <c r="H22" s="75">
        <v>3</v>
      </c>
      <c r="I22" s="75">
        <v>0</v>
      </c>
      <c r="J22" s="80"/>
      <c r="K22" s="622" t="s">
        <v>553</v>
      </c>
      <c r="L22" s="629"/>
      <c r="M22" s="630"/>
      <c r="N22" s="83" t="s">
        <v>227</v>
      </c>
      <c r="O22" s="154"/>
      <c r="P22" s="71" t="s">
        <v>548</v>
      </c>
    </row>
    <row r="23" spans="2:16" ht="78" customHeight="1" x14ac:dyDescent="0.2">
      <c r="B23" s="80" t="s">
        <v>135</v>
      </c>
      <c r="C23" s="75" t="s">
        <v>140</v>
      </c>
      <c r="D23" s="75">
        <v>3</v>
      </c>
      <c r="E23" s="75">
        <v>3</v>
      </c>
      <c r="F23" s="75">
        <v>3</v>
      </c>
      <c r="G23" s="75">
        <v>3</v>
      </c>
      <c r="H23" s="75">
        <v>3</v>
      </c>
      <c r="I23" s="75">
        <v>3</v>
      </c>
      <c r="J23" s="80" t="str">
        <f>CONCATENATE(C12,J12,L12,,B14,C14,E14,J14,H14,".",P23)</f>
        <v>DLCC18491DE1.dp</v>
      </c>
      <c r="K23" s="628" t="s">
        <v>552</v>
      </c>
      <c r="L23" s="629"/>
      <c r="M23" s="630"/>
      <c r="N23" s="83" t="s">
        <v>1790</v>
      </c>
      <c r="O23" s="154"/>
      <c r="P23" s="71" t="s">
        <v>549</v>
      </c>
    </row>
    <row r="24" spans="2:16" ht="42" customHeight="1" x14ac:dyDescent="0.2">
      <c r="B24" s="80" t="s">
        <v>55</v>
      </c>
      <c r="C24" s="100" t="s">
        <v>241</v>
      </c>
      <c r="D24" s="76">
        <v>3</v>
      </c>
      <c r="E24" s="76">
        <v>3</v>
      </c>
      <c r="F24" s="76">
        <v>3</v>
      </c>
      <c r="G24" s="76">
        <v>3</v>
      </c>
      <c r="H24" s="76">
        <v>3</v>
      </c>
      <c r="I24" s="76">
        <v>3</v>
      </c>
      <c r="J24" s="77" t="str">
        <f>'Nombrado Artefactos'!E49</f>
        <v>28_382_EDA</v>
      </c>
      <c r="K24" s="622" t="s">
        <v>1214</v>
      </c>
      <c r="L24" s="629"/>
      <c r="M24" s="630"/>
      <c r="N24" s="26"/>
      <c r="O24" s="151"/>
      <c r="P24" s="82"/>
    </row>
    <row r="25" spans="2:16" ht="51.75" customHeight="1" x14ac:dyDescent="0.2">
      <c r="B25" s="80" t="s">
        <v>248</v>
      </c>
      <c r="C25" s="48" t="s">
        <v>249</v>
      </c>
      <c r="D25" s="48" t="s">
        <v>125</v>
      </c>
      <c r="E25" s="48" t="s">
        <v>125</v>
      </c>
      <c r="F25" s="48" t="s">
        <v>125</v>
      </c>
      <c r="G25" s="48" t="s">
        <v>125</v>
      </c>
      <c r="H25" s="48" t="s">
        <v>125</v>
      </c>
      <c r="I25" s="48" t="s">
        <v>125</v>
      </c>
      <c r="J25" s="80" t="str">
        <f>CONCATENATE(C12,J12,L12,,B14,C14,E14,J14,H14,".",P25)</f>
        <v>DLCC18491DE1.doc-ins</v>
      </c>
      <c r="K25" s="628" t="s">
        <v>554</v>
      </c>
      <c r="L25" s="629"/>
      <c r="M25" s="630"/>
      <c r="N25" s="47" t="s">
        <v>230</v>
      </c>
      <c r="O25" s="154" t="s">
        <v>442</v>
      </c>
      <c r="P25" s="71" t="s">
        <v>550</v>
      </c>
    </row>
    <row r="26" spans="2:16" ht="54.75" customHeight="1" x14ac:dyDescent="0.2">
      <c r="B26" s="80" t="s">
        <v>387</v>
      </c>
      <c r="C26" s="48" t="s">
        <v>388</v>
      </c>
      <c r="D26" s="48" t="s">
        <v>125</v>
      </c>
      <c r="E26" s="48" t="s">
        <v>125</v>
      </c>
      <c r="F26" s="48" t="s">
        <v>125</v>
      </c>
      <c r="G26" s="48" t="s">
        <v>125</v>
      </c>
      <c r="H26" s="48" t="s">
        <v>125</v>
      </c>
      <c r="I26" s="48" t="s">
        <v>125</v>
      </c>
      <c r="J26" s="80" t="str">
        <f>CONCATENATE(C12,J12,L12,,B14,C14,E14,J14,H14,".",P26)</f>
        <v>DLCC18491DE1.doc-pru</v>
      </c>
      <c r="K26" s="628" t="s">
        <v>557</v>
      </c>
      <c r="L26" s="629"/>
      <c r="M26" s="630"/>
      <c r="N26" s="47" t="s">
        <v>230</v>
      </c>
      <c r="O26" s="154" t="s">
        <v>442</v>
      </c>
      <c r="P26" s="71" t="s">
        <v>551</v>
      </c>
    </row>
    <row r="27" spans="2:16" ht="12" customHeight="1" x14ac:dyDescent="0.2">
      <c r="B27" s="80" t="s">
        <v>57</v>
      </c>
      <c r="C27" s="75" t="s">
        <v>243</v>
      </c>
      <c r="D27" s="75">
        <v>3</v>
      </c>
      <c r="E27" s="75">
        <v>3</v>
      </c>
      <c r="F27" s="75">
        <v>3</v>
      </c>
      <c r="G27" s="75">
        <v>3</v>
      </c>
      <c r="H27" s="75">
        <v>3</v>
      </c>
      <c r="I27" s="75">
        <v>3</v>
      </c>
      <c r="J27" s="80" t="str">
        <f>'Nombrado Artefactos'!E53</f>
        <v>28_382_FRM</v>
      </c>
      <c r="K27" s="628"/>
      <c r="L27" s="629"/>
      <c r="M27" s="630"/>
      <c r="N27" s="47" t="s">
        <v>1783</v>
      </c>
      <c r="O27" s="150"/>
      <c r="P27" s="71"/>
    </row>
    <row r="28" spans="2:16" ht="26.25" customHeight="1" x14ac:dyDescent="0.2">
      <c r="B28" s="80" t="s">
        <v>64</v>
      </c>
      <c r="C28" s="75" t="str">
        <f>'[2]Nombrado Artefactos'!C110</f>
        <v>MAC</v>
      </c>
      <c r="D28" s="75">
        <v>3</v>
      </c>
      <c r="E28" s="75">
        <v>3</v>
      </c>
      <c r="F28" s="75">
        <v>3</v>
      </c>
      <c r="G28" s="75">
        <v>3</v>
      </c>
      <c r="H28" s="75">
        <v>3</v>
      </c>
      <c r="I28" s="75">
        <v>3</v>
      </c>
      <c r="J28" s="80" t="str">
        <f>'Nombrado Artefactos'!E56</f>
        <v>28_382_MAC_IDEWEB</v>
      </c>
      <c r="K28" s="628"/>
      <c r="L28" s="629"/>
      <c r="M28" s="630"/>
      <c r="N28" s="83" t="s">
        <v>1783</v>
      </c>
      <c r="O28" s="154"/>
      <c r="P28" s="71"/>
    </row>
    <row r="29" spans="2:16" ht="20.25" customHeight="1" x14ac:dyDescent="0.2">
      <c r="B29" s="80" t="s">
        <v>67</v>
      </c>
      <c r="C29" s="75" t="str">
        <f>'[2]Nombrado Artefactos'!C111</f>
        <v>MAI</v>
      </c>
      <c r="D29" s="75">
        <v>3</v>
      </c>
      <c r="E29" s="75">
        <v>3</v>
      </c>
      <c r="F29" s="75">
        <v>3</v>
      </c>
      <c r="G29" s="75">
        <v>3</v>
      </c>
      <c r="H29" s="75">
        <v>3</v>
      </c>
      <c r="I29" s="75">
        <v>3</v>
      </c>
      <c r="J29" s="80" t="str">
        <f>'Nombrado Artefactos'!E57</f>
        <v>28_382_MAI_IDEWEB</v>
      </c>
      <c r="K29" s="628"/>
      <c r="L29" s="629"/>
      <c r="M29" s="630"/>
      <c r="N29" s="83" t="s">
        <v>1783</v>
      </c>
      <c r="O29" s="154"/>
      <c r="P29" s="71"/>
    </row>
    <row r="30" spans="2:16" ht="21.75" customHeight="1" x14ac:dyDescent="0.2">
      <c r="B30" s="80" t="s">
        <v>286</v>
      </c>
      <c r="C30" s="48" t="s">
        <v>291</v>
      </c>
      <c r="D30" s="48">
        <v>0</v>
      </c>
      <c r="E30" s="48">
        <v>0</v>
      </c>
      <c r="F30" s="48">
        <v>0</v>
      </c>
      <c r="G30" s="48">
        <v>0</v>
      </c>
      <c r="H30" s="75">
        <v>3</v>
      </c>
      <c r="I30" s="75">
        <v>3</v>
      </c>
      <c r="J30" s="80" t="str">
        <f>'Nombrado Artefactos'!E58</f>
        <v>28_382_MOV</v>
      </c>
      <c r="K30" s="628"/>
      <c r="L30" s="629"/>
      <c r="M30" s="630"/>
      <c r="N30" s="83" t="s">
        <v>1789</v>
      </c>
      <c r="O30" s="154"/>
      <c r="P30" s="71"/>
    </row>
    <row r="31" spans="2:16" ht="41.25" customHeight="1" x14ac:dyDescent="0.2">
      <c r="B31" s="80" t="s">
        <v>436</v>
      </c>
      <c r="C31" s="75" t="s">
        <v>437</v>
      </c>
      <c r="D31" s="75">
        <v>3</v>
      </c>
      <c r="E31" s="75">
        <v>3</v>
      </c>
      <c r="F31" s="75">
        <v>3</v>
      </c>
      <c r="G31" s="75">
        <v>0</v>
      </c>
      <c r="H31" s="75">
        <v>3</v>
      </c>
      <c r="I31" s="75">
        <v>3</v>
      </c>
      <c r="J31" s="80" t="str">
        <f>CONCATENATE(C12,J12,L12,,B14,C14,E14,J14,H14)</f>
        <v>DLCC18491DE1</v>
      </c>
      <c r="K31" s="628" t="s">
        <v>1215</v>
      </c>
      <c r="L31" s="629"/>
      <c r="M31" s="630"/>
      <c r="N31" s="83" t="s">
        <v>1784</v>
      </c>
      <c r="O31" s="154" t="s">
        <v>441</v>
      </c>
      <c r="P31" s="71"/>
    </row>
    <row r="32" spans="2:16" ht="24.75" customHeight="1" x14ac:dyDescent="0.2">
      <c r="B32" s="79" t="s">
        <v>392</v>
      </c>
      <c r="C32" s="82" t="s">
        <v>187</v>
      </c>
      <c r="D32" s="72">
        <v>0</v>
      </c>
      <c r="E32" s="76">
        <v>3</v>
      </c>
      <c r="F32" s="76">
        <v>3</v>
      </c>
      <c r="G32" s="76">
        <v>3</v>
      </c>
      <c r="H32" s="75">
        <v>3</v>
      </c>
      <c r="I32" s="75">
        <v>3</v>
      </c>
      <c r="J32" s="80" t="str">
        <f>'Nombrado Artefactos'!E60</f>
        <v>28_382_MRT</v>
      </c>
      <c r="K32" s="631"/>
      <c r="L32" s="632"/>
      <c r="M32" s="633"/>
      <c r="N32" s="26"/>
      <c r="O32" s="151"/>
      <c r="P32" s="82"/>
    </row>
    <row r="33" spans="2:16" ht="25.5" customHeight="1" x14ac:dyDescent="0.2">
      <c r="B33" s="80" t="s">
        <v>257</v>
      </c>
      <c r="C33" s="75" t="s">
        <v>80</v>
      </c>
      <c r="D33" s="75">
        <v>3</v>
      </c>
      <c r="E33" s="75">
        <v>3</v>
      </c>
      <c r="F33" s="75">
        <v>3</v>
      </c>
      <c r="G33" s="75">
        <v>3</v>
      </c>
      <c r="H33" s="75">
        <v>3</v>
      </c>
      <c r="I33" s="75">
        <v>3</v>
      </c>
      <c r="J33" s="80" t="str">
        <f>'Nombrado Artefactos'!E68</f>
        <v>28_382_MPI</v>
      </c>
      <c r="K33" s="628"/>
      <c r="L33" s="629"/>
      <c r="M33" s="630"/>
      <c r="N33" s="47" t="s">
        <v>1783</v>
      </c>
      <c r="O33" s="150"/>
      <c r="P33" s="71"/>
    </row>
    <row r="34" spans="2:16" ht="27" customHeight="1" x14ac:dyDescent="0.2">
      <c r="B34" s="80" t="s">
        <v>484</v>
      </c>
      <c r="C34" s="75" t="s">
        <v>438</v>
      </c>
      <c r="D34" s="75" t="s">
        <v>125</v>
      </c>
      <c r="E34" s="75" t="s">
        <v>125</v>
      </c>
      <c r="F34" s="75" t="s">
        <v>125</v>
      </c>
      <c r="G34" s="75" t="s">
        <v>125</v>
      </c>
      <c r="H34" s="75" t="s">
        <v>125</v>
      </c>
      <c r="I34" s="75" t="s">
        <v>125</v>
      </c>
      <c r="J34" s="80"/>
      <c r="K34" s="628" t="s">
        <v>1764</v>
      </c>
      <c r="L34" s="629"/>
      <c r="M34" s="630"/>
      <c r="N34" s="83" t="s">
        <v>230</v>
      </c>
      <c r="O34" s="154" t="s">
        <v>442</v>
      </c>
      <c r="P34" s="71"/>
    </row>
    <row r="35" spans="2:16" ht="27" customHeight="1" x14ac:dyDescent="0.2">
      <c r="B35" s="80" t="s">
        <v>1754</v>
      </c>
      <c r="C35" s="100" t="s">
        <v>1697</v>
      </c>
      <c r="D35" s="76">
        <v>0</v>
      </c>
      <c r="E35" s="76">
        <v>0</v>
      </c>
      <c r="F35" s="76">
        <v>0</v>
      </c>
      <c r="G35" s="76">
        <v>0</v>
      </c>
      <c r="H35" s="72">
        <v>3</v>
      </c>
      <c r="I35" s="72">
        <v>3</v>
      </c>
      <c r="J35" s="78" t="str">
        <f>'Nombrado Artefactos'!E33</f>
        <v>28_382_FCU</v>
      </c>
      <c r="K35" s="622" t="s">
        <v>1213</v>
      </c>
      <c r="L35" s="629"/>
      <c r="M35" s="630"/>
      <c r="N35" s="83" t="s">
        <v>227</v>
      </c>
      <c r="O35" s="563" t="s">
        <v>442</v>
      </c>
      <c r="P35" s="82"/>
    </row>
    <row r="36" spans="2:16" ht="24.75" customHeight="1" x14ac:dyDescent="0.2">
      <c r="B36" s="80" t="s">
        <v>103</v>
      </c>
      <c r="C36" s="75"/>
      <c r="D36" s="75" t="s">
        <v>125</v>
      </c>
      <c r="E36" s="75" t="s">
        <v>125</v>
      </c>
      <c r="F36" s="75" t="s">
        <v>125</v>
      </c>
      <c r="G36" s="75" t="s">
        <v>125</v>
      </c>
      <c r="H36" s="75" t="s">
        <v>125</v>
      </c>
      <c r="I36" s="75" t="s">
        <v>125</v>
      </c>
      <c r="J36" s="80"/>
      <c r="K36" s="628" t="s">
        <v>1765</v>
      </c>
      <c r="L36" s="629"/>
      <c r="M36" s="630"/>
      <c r="N36" s="83" t="s">
        <v>229</v>
      </c>
      <c r="O36" s="154"/>
      <c r="P36" s="71"/>
    </row>
    <row r="37" spans="2:16" ht="80.25" customHeight="1" x14ac:dyDescent="0.2">
      <c r="B37" s="80" t="s">
        <v>476</v>
      </c>
      <c r="C37" s="75" t="s">
        <v>464</v>
      </c>
      <c r="D37" s="48">
        <v>0</v>
      </c>
      <c r="E37" s="48">
        <v>0</v>
      </c>
      <c r="F37" s="48">
        <v>0</v>
      </c>
      <c r="G37" s="48">
        <v>0</v>
      </c>
      <c r="H37" s="75">
        <v>3</v>
      </c>
      <c r="I37" s="75">
        <v>3</v>
      </c>
      <c r="J37" s="80" t="str">
        <f>CONCATENATE(C12,J12,L12,,B14,C14,E14,J14,H14,"_",C37)</f>
        <v>DLCC18491DE1_RCC</v>
      </c>
      <c r="K37" s="628" t="s">
        <v>555</v>
      </c>
      <c r="L37" s="629"/>
      <c r="M37" s="630"/>
      <c r="N37" s="83" t="s">
        <v>227</v>
      </c>
      <c r="O37" s="154" t="s">
        <v>442</v>
      </c>
      <c r="P37" s="71"/>
    </row>
    <row r="38" spans="2:16" ht="47.25" customHeight="1" x14ac:dyDescent="0.2">
      <c r="B38" s="80" t="s">
        <v>440</v>
      </c>
      <c r="C38" s="100" t="s">
        <v>312</v>
      </c>
      <c r="D38" s="72">
        <v>0</v>
      </c>
      <c r="E38" s="72">
        <v>0</v>
      </c>
      <c r="F38" s="72">
        <v>0</v>
      </c>
      <c r="G38" s="72">
        <v>0</v>
      </c>
      <c r="H38" s="72">
        <v>3</v>
      </c>
      <c r="I38" s="72">
        <v>0</v>
      </c>
      <c r="J38" s="77"/>
      <c r="K38" s="622" t="s">
        <v>1214</v>
      </c>
      <c r="L38" s="623"/>
      <c r="M38" s="624"/>
      <c r="N38" s="26"/>
      <c r="O38" s="151"/>
      <c r="P38" s="82"/>
    </row>
    <row r="39" spans="2:16" ht="18" customHeight="1" x14ac:dyDescent="0.2">
      <c r="B39" s="80" t="s">
        <v>136</v>
      </c>
      <c r="C39" s="48" t="s">
        <v>284</v>
      </c>
      <c r="D39" s="75" t="s">
        <v>125</v>
      </c>
      <c r="E39" s="75" t="s">
        <v>125</v>
      </c>
      <c r="F39" s="75" t="s">
        <v>125</v>
      </c>
      <c r="G39" s="75" t="s">
        <v>125</v>
      </c>
      <c r="H39" s="75">
        <v>3</v>
      </c>
      <c r="I39" s="75">
        <v>3</v>
      </c>
      <c r="J39" s="80" t="str">
        <f>'Nombrado Artefactos'!E77</f>
        <v>28_382_RNV_IDEWEB</v>
      </c>
      <c r="K39" s="628" t="s">
        <v>285</v>
      </c>
      <c r="L39" s="629"/>
      <c r="M39" s="630"/>
      <c r="N39" s="83" t="s">
        <v>1789</v>
      </c>
      <c r="O39" s="154"/>
      <c r="P39" s="71"/>
    </row>
    <row r="40" spans="2:16" ht="37.5" customHeight="1" x14ac:dyDescent="0.2">
      <c r="B40" s="80" t="s">
        <v>475</v>
      </c>
      <c r="C40" s="75" t="s">
        <v>184</v>
      </c>
      <c r="D40" s="75">
        <v>3</v>
      </c>
      <c r="E40" s="75">
        <v>3</v>
      </c>
      <c r="F40" s="75">
        <v>3</v>
      </c>
      <c r="G40" s="75">
        <v>0</v>
      </c>
      <c r="H40" s="75">
        <v>3</v>
      </c>
      <c r="I40" s="75">
        <v>3</v>
      </c>
      <c r="J40" s="80"/>
      <c r="K40" s="628" t="s">
        <v>161</v>
      </c>
      <c r="L40" s="629"/>
      <c r="M40" s="630"/>
      <c r="N40" s="83" t="s">
        <v>228</v>
      </c>
      <c r="O40" s="154"/>
      <c r="P40" s="71"/>
    </row>
    <row r="41" spans="2:16" ht="83.25" customHeight="1" x14ac:dyDescent="0.2">
      <c r="B41" s="80" t="s">
        <v>190</v>
      </c>
      <c r="C41" s="48" t="s">
        <v>191</v>
      </c>
      <c r="D41" s="75">
        <v>3</v>
      </c>
      <c r="E41" s="75">
        <v>3</v>
      </c>
      <c r="F41" s="75">
        <v>3</v>
      </c>
      <c r="G41" s="75">
        <v>3</v>
      </c>
      <c r="H41" s="75">
        <v>3</v>
      </c>
      <c r="I41" s="75">
        <v>3</v>
      </c>
      <c r="J41" s="81" t="str">
        <f>'Nombrado Artefactos'!E79</f>
        <v>28_382_RPP</v>
      </c>
      <c r="K41" s="628" t="s">
        <v>1216</v>
      </c>
      <c r="L41" s="629"/>
      <c r="M41" s="630"/>
      <c r="N41" s="83" t="s">
        <v>1789</v>
      </c>
      <c r="O41" s="154"/>
      <c r="P41" s="71"/>
    </row>
    <row r="42" spans="2:16" ht="40.5" customHeight="1" x14ac:dyDescent="0.2">
      <c r="B42" s="80" t="s">
        <v>287</v>
      </c>
      <c r="C42" s="48" t="s">
        <v>288</v>
      </c>
      <c r="D42" s="48">
        <v>0</v>
      </c>
      <c r="E42" s="48">
        <v>0</v>
      </c>
      <c r="F42" s="48">
        <v>0</v>
      </c>
      <c r="G42" s="48">
        <v>0</v>
      </c>
      <c r="H42" s="75">
        <v>3</v>
      </c>
      <c r="I42" s="75">
        <v>3</v>
      </c>
      <c r="J42" s="80" t="str">
        <f>'Nombrado Artefactos'!E80</f>
        <v>28_382_RPV_IDEWEB</v>
      </c>
      <c r="K42" s="628" t="s">
        <v>289</v>
      </c>
      <c r="L42" s="629"/>
      <c r="M42" s="630"/>
      <c r="N42" s="83" t="s">
        <v>1790</v>
      </c>
      <c r="O42" s="154"/>
      <c r="P42" s="71"/>
    </row>
    <row r="43" spans="2:16" ht="48.75" customHeight="1" x14ac:dyDescent="0.2">
      <c r="B43" s="80" t="s">
        <v>214</v>
      </c>
      <c r="C43" s="48" t="s">
        <v>188</v>
      </c>
      <c r="D43" s="48">
        <v>0</v>
      </c>
      <c r="E43" s="48">
        <v>3</v>
      </c>
      <c r="F43" s="48">
        <v>3</v>
      </c>
      <c r="G43" s="48">
        <v>3</v>
      </c>
      <c r="H43" s="48">
        <v>4</v>
      </c>
      <c r="I43" s="48"/>
      <c r="J43" s="81" t="str">
        <f>'Nombrado Artefactos'!E82</f>
        <v>28_382_RDP_IDEWEB</v>
      </c>
      <c r="K43" s="622" t="s">
        <v>1214</v>
      </c>
      <c r="L43" s="623"/>
      <c r="M43" s="624"/>
      <c r="N43" s="47" t="str">
        <f>'Nombrado Artefactos'!H82</f>
        <v>…/SISTEMAS/DYP_PP/Acrónimo de la Aplicación/...</v>
      </c>
      <c r="O43" s="150"/>
      <c r="P43" s="71"/>
    </row>
    <row r="44" spans="2:16" ht="39.75" customHeight="1" x14ac:dyDescent="0.2">
      <c r="B44" s="80" t="s">
        <v>1700</v>
      </c>
      <c r="C44" s="100" t="s">
        <v>242</v>
      </c>
      <c r="D44" s="76">
        <v>3</v>
      </c>
      <c r="E44" s="76">
        <v>3</v>
      </c>
      <c r="F44" s="76">
        <v>3</v>
      </c>
      <c r="G44" s="76">
        <v>3</v>
      </c>
      <c r="H44" s="76">
        <v>3</v>
      </c>
      <c r="I44" s="76">
        <v>3</v>
      </c>
      <c r="J44" s="77" t="str">
        <f>'Nombrado Artefactos'!E84</f>
        <v>28_382_FCUN</v>
      </c>
      <c r="K44" s="622" t="s">
        <v>1214</v>
      </c>
      <c r="L44" s="623"/>
      <c r="M44" s="624"/>
      <c r="N44" s="26"/>
      <c r="O44" s="151"/>
      <c r="P44" s="82"/>
    </row>
    <row r="45" spans="2:16" ht="39.75" customHeight="1" x14ac:dyDescent="0.2">
      <c r="B45" s="80" t="s">
        <v>1791</v>
      </c>
      <c r="C45" s="100" t="s">
        <v>1740</v>
      </c>
      <c r="D45" s="48">
        <v>0</v>
      </c>
      <c r="E45" s="48">
        <v>0</v>
      </c>
      <c r="F45" s="48">
        <v>0</v>
      </c>
      <c r="G45" s="48">
        <v>0</v>
      </c>
      <c r="H45" s="48">
        <v>0</v>
      </c>
      <c r="I45" s="76">
        <v>3</v>
      </c>
      <c r="J45" s="77" t="str">
        <f>'Nombrado Artefactos'!E85</f>
        <v>28_382_SPS_IDEWEB</v>
      </c>
      <c r="K45" s="622" t="s">
        <v>1792</v>
      </c>
      <c r="L45" s="623"/>
      <c r="M45" s="624"/>
      <c r="N45" s="83" t="s">
        <v>227</v>
      </c>
      <c r="O45" s="151"/>
      <c r="P45" s="82"/>
    </row>
  </sheetData>
  <sheetProtection algorithmName="SHA-512" hashValue="0Zx5/huywO5NIJ5ngFSBF2TsOUiH+jjIVftwFy38rTQfW2qCzczNE8m6ZseW0tgtoD4r7Ed+lml2sqUTT7+3EQ==" saltValue="KXPNO2wUh884BugDTWvsmg==" spinCount="100000" sheet="1" autoFilter="0"/>
  <protectedRanges>
    <protectedRange sqref="N17:O17 B17:K17" name="restoDelWorksheet_1_2_1" securityDescriptor="O:WDG:WDD:(A;;CC;;;WD)"/>
    <protectedRange sqref="P17" name="restoDelWorksheet_1_1" securityDescriptor="O:WDG:WDD:(A;;CC;;;WD)"/>
  </protectedRanges>
  <autoFilter ref="B17:P43" xr:uid="{00000000-0009-0000-0000-000006000000}">
    <filterColumn colId="9" showButton="0"/>
    <filterColumn colId="10" showButton="0"/>
  </autoFilter>
  <sortState ref="B17:R46">
    <sortCondition ref="B17:B46"/>
  </sortState>
  <mergeCells count="53">
    <mergeCell ref="B2:B6"/>
    <mergeCell ref="C14:D14"/>
    <mergeCell ref="C13:D13"/>
    <mergeCell ref="E13:G13"/>
    <mergeCell ref="C11:G11"/>
    <mergeCell ref="C12:G12"/>
    <mergeCell ref="E14:G14"/>
    <mergeCell ref="F9:J9"/>
    <mergeCell ref="B7:B10"/>
    <mergeCell ref="F3:J3"/>
    <mergeCell ref="F6:J6"/>
    <mergeCell ref="F4:J4"/>
    <mergeCell ref="F5:J5"/>
    <mergeCell ref="F7:J7"/>
    <mergeCell ref="F8:J8"/>
    <mergeCell ref="K44:M44"/>
    <mergeCell ref="K27:M27"/>
    <mergeCell ref="K32:M32"/>
    <mergeCell ref="K35:M35"/>
    <mergeCell ref="N3:P3"/>
    <mergeCell ref="N4:P4"/>
    <mergeCell ref="N5:P5"/>
    <mergeCell ref="N6:P6"/>
    <mergeCell ref="N7:P7"/>
    <mergeCell ref="K39:M39"/>
    <mergeCell ref="K36:M36"/>
    <mergeCell ref="K37:M37"/>
    <mergeCell ref="K33:M33"/>
    <mergeCell ref="K34:M34"/>
    <mergeCell ref="N8:P8"/>
    <mergeCell ref="K17:M17"/>
    <mergeCell ref="K31:M31"/>
    <mergeCell ref="K18:M18"/>
    <mergeCell ref="K19:M19"/>
    <mergeCell ref="K30:M30"/>
    <mergeCell ref="K24:M24"/>
    <mergeCell ref="K25:M25"/>
    <mergeCell ref="K45:M45"/>
    <mergeCell ref="K43:M43"/>
    <mergeCell ref="N9:P9"/>
    <mergeCell ref="F10:J10"/>
    <mergeCell ref="N10:P10"/>
    <mergeCell ref="K29:M29"/>
    <mergeCell ref="K42:M42"/>
    <mergeCell ref="K40:M40"/>
    <mergeCell ref="K41:M41"/>
    <mergeCell ref="K38:M38"/>
    <mergeCell ref="K26:M26"/>
    <mergeCell ref="K20:M20"/>
    <mergeCell ref="K21:M21"/>
    <mergeCell ref="K28:M28"/>
    <mergeCell ref="K22:M22"/>
    <mergeCell ref="K23:M23"/>
  </mergeCells>
  <conditionalFormatting sqref="D44:E44 D32 D18:E21 D30:E31 D23:E28 D17:I17">
    <cfRule type="iconSet" priority="66">
      <iconSet iconSet="3Symbols2" showValue="0">
        <cfvo type="percent" val="0"/>
        <cfvo type="num" val="2"/>
        <cfvo type="num" val="3"/>
      </iconSet>
    </cfRule>
  </conditionalFormatting>
  <conditionalFormatting sqref="E32 G32:I32">
    <cfRule type="iconSet" priority="65">
      <iconSet iconSet="3Symbols2" showValue="0">
        <cfvo type="percent" val="0"/>
        <cfvo type="num" val="2"/>
        <cfvo type="num" val="3"/>
      </iconSet>
    </cfRule>
  </conditionalFormatting>
  <conditionalFormatting sqref="F32">
    <cfRule type="iconSet" priority="64">
      <iconSet iconSet="3Symbols2" showValue="0">
        <cfvo type="percent" val="0"/>
        <cfvo type="num" val="2"/>
        <cfvo type="num" val="3"/>
      </iconSet>
    </cfRule>
  </conditionalFormatting>
  <conditionalFormatting sqref="D28:E28 D30:E30">
    <cfRule type="iconSet" priority="67">
      <iconSet iconSet="3Symbols2" showValue="0">
        <cfvo type="percent" val="0"/>
        <cfvo type="num" val="2"/>
        <cfvo type="num" val="3"/>
      </iconSet>
    </cfRule>
  </conditionalFormatting>
  <conditionalFormatting sqref="G28:I28 G30:I30">
    <cfRule type="iconSet" priority="68">
      <iconSet iconSet="3Symbols2" showValue="0">
        <cfvo type="percent" val="0"/>
        <cfvo type="num" val="2"/>
        <cfvo type="num" val="3"/>
      </iconSet>
    </cfRule>
  </conditionalFormatting>
  <conditionalFormatting sqref="F28 F30">
    <cfRule type="iconSet" priority="69">
      <iconSet iconSet="3Symbols2" showValue="0">
        <cfvo type="percent" val="0"/>
        <cfvo type="num" val="2"/>
        <cfvo type="num" val="3"/>
      </iconSet>
    </cfRule>
  </conditionalFormatting>
  <conditionalFormatting sqref="D33:E33">
    <cfRule type="iconSet" priority="63">
      <iconSet iconSet="3Symbols2" showValue="0">
        <cfvo type="percent" val="0"/>
        <cfvo type="num" val="2"/>
        <cfvo type="num" val="3"/>
      </iconSet>
    </cfRule>
  </conditionalFormatting>
  <conditionalFormatting sqref="G33:I33">
    <cfRule type="iconSet" priority="62">
      <iconSet iconSet="3Symbols2" showValue="0">
        <cfvo type="percent" val="0"/>
        <cfvo type="num" val="2"/>
        <cfvo type="num" val="3"/>
      </iconSet>
    </cfRule>
  </conditionalFormatting>
  <conditionalFormatting sqref="F33">
    <cfRule type="iconSet" priority="61">
      <iconSet iconSet="3Symbols2" showValue="0">
        <cfvo type="percent" val="0"/>
        <cfvo type="num" val="2"/>
        <cfvo type="num" val="3"/>
      </iconSet>
    </cfRule>
  </conditionalFormatting>
  <conditionalFormatting sqref="G44:I44 G30:I31 G23:I28 G18:I21">
    <cfRule type="iconSet" priority="70">
      <iconSet iconSet="3Symbols2" showValue="0">
        <cfvo type="percent" val="0"/>
        <cfvo type="num" val="2"/>
        <cfvo type="num" val="3"/>
      </iconSet>
    </cfRule>
  </conditionalFormatting>
  <conditionalFormatting sqref="F44 F30:F31 F18:F21 F23:F28">
    <cfRule type="iconSet" priority="71">
      <iconSet iconSet="3Symbols2" showValue="0">
        <cfvo type="percent" val="0"/>
        <cfvo type="num" val="2"/>
        <cfvo type="num" val="3"/>
      </iconSet>
    </cfRule>
  </conditionalFormatting>
  <conditionalFormatting sqref="D34">
    <cfRule type="iconSet" priority="60">
      <iconSet iconSet="3Symbols2" showValue="0">
        <cfvo type="percent" val="0"/>
        <cfvo type="num" val="2"/>
        <cfvo type="num" val="3"/>
      </iconSet>
    </cfRule>
  </conditionalFormatting>
  <conditionalFormatting sqref="E34 G34:I34">
    <cfRule type="iconSet" priority="59">
      <iconSet iconSet="3Symbols2" showValue="0">
        <cfvo type="percent" val="0"/>
        <cfvo type="num" val="2"/>
        <cfvo type="num" val="3"/>
      </iconSet>
    </cfRule>
  </conditionalFormatting>
  <conditionalFormatting sqref="F34">
    <cfRule type="iconSet" priority="58">
      <iconSet iconSet="3Symbols2" showValue="0">
        <cfvo type="percent" val="0"/>
        <cfvo type="num" val="2"/>
        <cfvo type="num" val="3"/>
      </iconSet>
    </cfRule>
  </conditionalFormatting>
  <conditionalFormatting sqref="D36:G36">
    <cfRule type="iconSet" priority="57">
      <iconSet iconSet="3Symbols2" showValue="0">
        <cfvo type="percent" val="0"/>
        <cfvo type="num" val="2"/>
        <cfvo type="num" val="3"/>
      </iconSet>
    </cfRule>
  </conditionalFormatting>
  <conditionalFormatting sqref="D37">
    <cfRule type="iconSet" priority="55">
      <iconSet iconSet="3Symbols2" showValue="0">
        <cfvo type="percent" val="0"/>
        <cfvo type="num" val="2"/>
        <cfvo type="num" val="3"/>
      </iconSet>
    </cfRule>
  </conditionalFormatting>
  <conditionalFormatting sqref="E37">
    <cfRule type="iconSet" priority="54">
      <iconSet iconSet="3Symbols2" showValue="0">
        <cfvo type="percent" val="0"/>
        <cfvo type="num" val="2"/>
        <cfvo type="num" val="3"/>
      </iconSet>
    </cfRule>
  </conditionalFormatting>
  <conditionalFormatting sqref="F37">
    <cfRule type="iconSet" priority="53">
      <iconSet iconSet="3Symbols2" showValue="0">
        <cfvo type="percent" val="0"/>
        <cfvo type="num" val="2"/>
        <cfvo type="num" val="3"/>
      </iconSet>
    </cfRule>
  </conditionalFormatting>
  <conditionalFormatting sqref="G37">
    <cfRule type="iconSet" priority="52">
      <iconSet iconSet="3Symbols2" showValue="0">
        <cfvo type="percent" val="0"/>
        <cfvo type="num" val="2"/>
        <cfvo type="num" val="3"/>
      </iconSet>
    </cfRule>
  </conditionalFormatting>
  <conditionalFormatting sqref="H36:I36">
    <cfRule type="iconSet" priority="48">
      <iconSet iconSet="3Symbols2" showValue="0">
        <cfvo type="percent" val="0"/>
        <cfvo type="num" val="2"/>
        <cfvo type="num" val="3"/>
      </iconSet>
    </cfRule>
  </conditionalFormatting>
  <conditionalFormatting sqref="H37:I37">
    <cfRule type="iconSet" priority="46">
      <iconSet iconSet="3Symbols2" showValue="0">
        <cfvo type="percent" val="0"/>
        <cfvo type="num" val="2"/>
        <cfvo type="num" val="3"/>
      </iconSet>
    </cfRule>
  </conditionalFormatting>
  <conditionalFormatting sqref="D29:E29">
    <cfRule type="iconSet" priority="40">
      <iconSet iconSet="3Symbols2" showValue="0">
        <cfvo type="percent" val="0"/>
        <cfvo type="num" val="2"/>
        <cfvo type="num" val="3"/>
      </iconSet>
    </cfRule>
  </conditionalFormatting>
  <conditionalFormatting sqref="D29:E29">
    <cfRule type="iconSet" priority="41">
      <iconSet iconSet="3Symbols2" showValue="0">
        <cfvo type="percent" val="0"/>
        <cfvo type="num" val="2"/>
        <cfvo type="num" val="3"/>
      </iconSet>
    </cfRule>
  </conditionalFormatting>
  <conditionalFormatting sqref="G29:I29">
    <cfRule type="iconSet" priority="42">
      <iconSet iconSet="3Symbols2" showValue="0">
        <cfvo type="percent" val="0"/>
        <cfvo type="num" val="2"/>
        <cfvo type="num" val="3"/>
      </iconSet>
    </cfRule>
  </conditionalFormatting>
  <conditionalFormatting sqref="F29">
    <cfRule type="iconSet" priority="43">
      <iconSet iconSet="3Symbols2" showValue="0">
        <cfvo type="percent" val="0"/>
        <cfvo type="num" val="2"/>
        <cfvo type="num" val="3"/>
      </iconSet>
    </cfRule>
  </conditionalFormatting>
  <conditionalFormatting sqref="G29:I29">
    <cfRule type="iconSet" priority="44">
      <iconSet iconSet="3Symbols2" showValue="0">
        <cfvo type="percent" val="0"/>
        <cfvo type="num" val="2"/>
        <cfvo type="num" val="3"/>
      </iconSet>
    </cfRule>
  </conditionalFormatting>
  <conditionalFormatting sqref="F29">
    <cfRule type="iconSet" priority="45">
      <iconSet iconSet="3Symbols2" showValue="0">
        <cfvo type="percent" val="0"/>
        <cfvo type="num" val="2"/>
        <cfvo type="num" val="3"/>
      </iconSet>
    </cfRule>
  </conditionalFormatting>
  <conditionalFormatting sqref="D38">
    <cfRule type="iconSet" priority="39">
      <iconSet iconSet="3Symbols2" showValue="0">
        <cfvo type="percent" val="0"/>
        <cfvo type="num" val="2"/>
        <cfvo type="num" val="3"/>
      </iconSet>
    </cfRule>
  </conditionalFormatting>
  <conditionalFormatting sqref="E38">
    <cfRule type="iconSet" priority="38">
      <iconSet iconSet="3Symbols2" showValue="0">
        <cfvo type="percent" val="0"/>
        <cfvo type="num" val="2"/>
        <cfvo type="num" val="3"/>
      </iconSet>
    </cfRule>
  </conditionalFormatting>
  <conditionalFormatting sqref="F38">
    <cfRule type="iconSet" priority="37">
      <iconSet iconSet="3Symbols2" showValue="0">
        <cfvo type="percent" val="0"/>
        <cfvo type="num" val="2"/>
        <cfvo type="num" val="3"/>
      </iconSet>
    </cfRule>
  </conditionalFormatting>
  <conditionalFormatting sqref="G38:I38">
    <cfRule type="iconSet" priority="36">
      <iconSet iconSet="3Symbols2" showValue="0">
        <cfvo type="percent" val="0"/>
        <cfvo type="num" val="2"/>
        <cfvo type="num" val="3"/>
      </iconSet>
    </cfRule>
  </conditionalFormatting>
  <conditionalFormatting sqref="D39">
    <cfRule type="iconSet" priority="35">
      <iconSet iconSet="3Symbols2" showValue="0">
        <cfvo type="percent" val="0"/>
        <cfvo type="num" val="2"/>
        <cfvo type="num" val="3"/>
      </iconSet>
    </cfRule>
  </conditionalFormatting>
  <conditionalFormatting sqref="E39">
    <cfRule type="iconSet" priority="34">
      <iconSet iconSet="3Symbols2" showValue="0">
        <cfvo type="percent" val="0"/>
        <cfvo type="num" val="2"/>
        <cfvo type="num" val="3"/>
      </iconSet>
    </cfRule>
  </conditionalFormatting>
  <conditionalFormatting sqref="F39">
    <cfRule type="iconSet" priority="33">
      <iconSet iconSet="3Symbols2" showValue="0">
        <cfvo type="percent" val="0"/>
        <cfvo type="num" val="2"/>
        <cfvo type="num" val="3"/>
      </iconSet>
    </cfRule>
  </conditionalFormatting>
  <conditionalFormatting sqref="G39:I39">
    <cfRule type="iconSet" priority="32">
      <iconSet iconSet="3Symbols2" showValue="0">
        <cfvo type="percent" val="0"/>
        <cfvo type="num" val="2"/>
        <cfvo type="num" val="3"/>
      </iconSet>
    </cfRule>
  </conditionalFormatting>
  <conditionalFormatting sqref="H41:I41">
    <cfRule type="iconSet" priority="31">
      <iconSet iconSet="3Symbols2" showValue="0">
        <cfvo type="percent" val="0"/>
        <cfvo type="num" val="2"/>
        <cfvo type="num" val="3"/>
      </iconSet>
    </cfRule>
  </conditionalFormatting>
  <conditionalFormatting sqref="D42:I42">
    <cfRule type="iconSet" priority="30">
      <iconSet iconSet="3Symbols2" showValue="0">
        <cfvo type="percent" val="0"/>
        <cfvo type="num" val="2"/>
        <cfvo type="num" val="3"/>
      </iconSet>
    </cfRule>
  </conditionalFormatting>
  <conditionalFormatting sqref="H43:I43">
    <cfRule type="iconSet" priority="25">
      <iconSet iconSet="3Symbols2" showValue="0">
        <cfvo type="percent" val="0"/>
        <cfvo type="num" val="2"/>
        <cfvo type="num" val="3"/>
      </iconSet>
    </cfRule>
  </conditionalFormatting>
  <conditionalFormatting sqref="D43:G43">
    <cfRule type="iconSet" priority="24">
      <iconSet iconSet="3Symbols2" showValue="0">
        <cfvo type="percent" val="0"/>
        <cfvo type="num" val="2"/>
        <cfvo type="num" val="3"/>
      </iconSet>
    </cfRule>
  </conditionalFormatting>
  <conditionalFormatting sqref="E41">
    <cfRule type="iconSet" priority="23">
      <iconSet iconSet="3Symbols2" showValue="0">
        <cfvo type="percent" val="0"/>
        <cfvo type="num" val="2"/>
        <cfvo type="num" val="3"/>
      </iconSet>
    </cfRule>
  </conditionalFormatting>
  <conditionalFormatting sqref="F41">
    <cfRule type="iconSet" priority="22">
      <iconSet iconSet="3Symbols2" showValue="0">
        <cfvo type="percent" val="0"/>
        <cfvo type="num" val="2"/>
        <cfvo type="num" val="3"/>
      </iconSet>
    </cfRule>
  </conditionalFormatting>
  <conditionalFormatting sqref="G41">
    <cfRule type="iconSet" priority="21">
      <iconSet iconSet="3Symbols2" showValue="0">
        <cfvo type="percent" val="0"/>
        <cfvo type="num" val="2"/>
        <cfvo type="num" val="3"/>
      </iconSet>
    </cfRule>
  </conditionalFormatting>
  <conditionalFormatting sqref="D40">
    <cfRule type="iconSet" priority="20">
      <iconSet iconSet="3Symbols2" showValue="0">
        <cfvo type="percent" val="0"/>
        <cfvo type="num" val="2"/>
        <cfvo type="num" val="3"/>
      </iconSet>
    </cfRule>
  </conditionalFormatting>
  <conditionalFormatting sqref="E40">
    <cfRule type="iconSet" priority="19">
      <iconSet iconSet="3Symbols2" showValue="0">
        <cfvo type="percent" val="0"/>
        <cfvo type="num" val="2"/>
        <cfvo type="num" val="3"/>
      </iconSet>
    </cfRule>
  </conditionalFormatting>
  <conditionalFormatting sqref="F40">
    <cfRule type="iconSet" priority="18">
      <iconSet iconSet="3Symbols2" showValue="0">
        <cfvo type="percent" val="0"/>
        <cfvo type="num" val="2"/>
        <cfvo type="num" val="3"/>
      </iconSet>
    </cfRule>
  </conditionalFormatting>
  <conditionalFormatting sqref="G40:I40">
    <cfRule type="iconSet" priority="17">
      <iconSet iconSet="3Symbols2" showValue="0">
        <cfvo type="percent" val="0"/>
        <cfvo type="num" val="2"/>
        <cfvo type="num" val="3"/>
      </iconSet>
    </cfRule>
  </conditionalFormatting>
  <conditionalFormatting sqref="D41">
    <cfRule type="iconSet" priority="16">
      <iconSet iconSet="3Symbols2" showValue="0">
        <cfvo type="percent" val="0"/>
        <cfvo type="num" val="2"/>
        <cfvo type="num" val="3"/>
      </iconSet>
    </cfRule>
  </conditionalFormatting>
  <conditionalFormatting sqref="D22:E22">
    <cfRule type="iconSet" priority="13">
      <iconSet iconSet="3Symbols2" showValue="0">
        <cfvo type="percent" val="0"/>
        <cfvo type="num" val="2"/>
        <cfvo type="num" val="3"/>
      </iconSet>
    </cfRule>
  </conditionalFormatting>
  <conditionalFormatting sqref="G22:I22">
    <cfRule type="iconSet" priority="14">
      <iconSet iconSet="3Symbols2" showValue="0">
        <cfvo type="percent" val="0"/>
        <cfvo type="num" val="2"/>
        <cfvo type="num" val="3"/>
      </iconSet>
    </cfRule>
  </conditionalFormatting>
  <conditionalFormatting sqref="F22">
    <cfRule type="iconSet" priority="15">
      <iconSet iconSet="3Symbols2" showValue="0">
        <cfvo type="percent" val="0"/>
        <cfvo type="num" val="2"/>
        <cfvo type="num" val="3"/>
      </iconSet>
    </cfRule>
  </conditionalFormatting>
  <conditionalFormatting sqref="H35:I35">
    <cfRule type="iconSet" priority="11">
      <iconSet iconSet="3Symbols2" showValue="0">
        <cfvo type="percent" val="0"/>
        <cfvo type="num" val="2"/>
        <cfvo type="num" val="3"/>
      </iconSet>
    </cfRule>
  </conditionalFormatting>
  <conditionalFormatting sqref="E35:G35">
    <cfRule type="iconSet" priority="9">
      <iconSet iconSet="3Symbols2" showValue="0">
        <cfvo type="percent" val="0"/>
        <cfvo type="num" val="2"/>
        <cfvo type="num" val="3"/>
      </iconSet>
    </cfRule>
  </conditionalFormatting>
  <conditionalFormatting sqref="D35">
    <cfRule type="iconSet" priority="1301">
      <iconSet iconSet="3Symbols2" showValue="0">
        <cfvo type="percent" val="0"/>
        <cfvo type="num" val="2"/>
        <cfvo type="num" val="3"/>
      </iconSet>
    </cfRule>
  </conditionalFormatting>
  <conditionalFormatting sqref="I45">
    <cfRule type="iconSet" priority="7">
      <iconSet iconSet="3Symbols2" showValue="0">
        <cfvo type="percent" val="0"/>
        <cfvo type="num" val="2"/>
        <cfvo type="num" val="3"/>
      </iconSet>
    </cfRule>
  </conditionalFormatting>
  <conditionalFormatting sqref="D45">
    <cfRule type="iconSet" priority="5">
      <iconSet iconSet="3Symbols2" showValue="0">
        <cfvo type="percent" val="0"/>
        <cfvo type="num" val="2"/>
        <cfvo type="num" val="3"/>
      </iconSet>
    </cfRule>
  </conditionalFormatting>
  <conditionalFormatting sqref="E45">
    <cfRule type="iconSet" priority="4">
      <iconSet iconSet="3Symbols2" showValue="0">
        <cfvo type="percent" val="0"/>
        <cfvo type="num" val="2"/>
        <cfvo type="num" val="3"/>
      </iconSet>
    </cfRule>
  </conditionalFormatting>
  <conditionalFormatting sqref="F45">
    <cfRule type="iconSet" priority="3">
      <iconSet iconSet="3Symbols2" showValue="0">
        <cfvo type="percent" val="0"/>
        <cfvo type="num" val="2"/>
        <cfvo type="num" val="3"/>
      </iconSet>
    </cfRule>
  </conditionalFormatting>
  <conditionalFormatting sqref="G45">
    <cfRule type="iconSet" priority="2">
      <iconSet iconSet="3Symbols2" showValue="0">
        <cfvo type="percent" val="0"/>
        <cfvo type="num" val="2"/>
        <cfvo type="num" val="3"/>
      </iconSet>
    </cfRule>
  </conditionalFormatting>
  <conditionalFormatting sqref="H45">
    <cfRule type="iconSet" priority="1">
      <iconSet iconSet="3Symbols2" showValue="0">
        <cfvo type="percent" val="0"/>
        <cfvo type="num" val="2"/>
        <cfvo type="num" val="3"/>
      </iconSet>
    </cfRule>
  </conditionalFormatting>
  <dataValidations disablePrompts="1" count="2">
    <dataValidation type="textLength" operator="equal" allowBlank="1" showInputMessage="1" showErrorMessage="1" sqref="E14:F15 K15" xr:uid="{00000000-0002-0000-0600-000000000000}">
      <formula1>1</formula1>
    </dataValidation>
    <dataValidation type="textLength" operator="equal" allowBlank="1" showInputMessage="1" showErrorMessage="1" sqref="C14" xr:uid="{00000000-0002-0000-0600-000001000000}">
      <formula1>2</formula1>
    </dataValidation>
  </dataValidations>
  <pageMargins left="0.7" right="0.7" top="1.9560185185185186" bottom="0.75" header="0.3" footer="0.3"/>
  <pageSetup scale="66" orientation="landscape" r:id="rId1"/>
  <headerFooter>
    <oddHeader>&amp;L&amp;G
&amp;9Fecha 06/05/2013&amp;CADMINISTRACIÓN GENERAL DE COMUNICACIONES Y TECNOLOGÍAS DE 
LA INFORMACIÓN
&amp;F
&amp;"-,Bold"&amp;A&amp;R&amp;G
&amp;9
Versión: 3.1</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8064A2"/>
  </sheetPr>
  <dimension ref="A1:EO99"/>
  <sheetViews>
    <sheetView showGridLines="0" topLeftCell="AX1" zoomScale="70" zoomScaleNormal="70" zoomScaleSheetLayoutView="70" zoomScalePageLayoutView="80" workbookViewId="0">
      <pane ySplit="1080" topLeftCell="A13" activePane="bottomLeft"/>
      <selection activeCell="BF1" sqref="BF1"/>
      <selection pane="bottomLeft" activeCell="BD20" sqref="BD20"/>
    </sheetView>
  </sheetViews>
  <sheetFormatPr baseColWidth="10" defaultColWidth="9.140625" defaultRowHeight="12" x14ac:dyDescent="0.25"/>
  <cols>
    <col min="1" max="1" width="9.140625" style="22"/>
    <col min="2" max="2" width="29.42578125" style="42" customWidth="1"/>
    <col min="3" max="3" width="17.28515625" style="63" customWidth="1"/>
    <col min="4" max="4" width="39" style="22" customWidth="1"/>
    <col min="5" max="5" width="11.28515625" style="42" customWidth="1"/>
    <col min="6" max="6" width="17.7109375" style="22" customWidth="1"/>
    <col min="7" max="7" width="42.7109375" style="22" customWidth="1"/>
    <col min="8" max="8" width="12" style="22" customWidth="1"/>
    <col min="9" max="9" width="26.5703125" style="22" customWidth="1"/>
    <col min="10" max="10" width="21.28515625" style="42" customWidth="1"/>
    <col min="11" max="12" width="31.5703125" style="22" customWidth="1"/>
    <col min="13" max="13" width="13.7109375" style="23" customWidth="1"/>
    <col min="14" max="14" width="20.42578125" style="23" customWidth="1"/>
    <col min="15" max="15" width="12.85546875" style="23" customWidth="1"/>
    <col min="16" max="16" width="16.42578125" style="23" customWidth="1"/>
    <col min="17" max="18" width="23.28515625" style="23" customWidth="1"/>
    <col min="19" max="19" width="43.140625" style="23" customWidth="1"/>
    <col min="20" max="20" width="23.28515625" style="23" customWidth="1"/>
    <col min="21" max="21" width="5.28515625" style="227" customWidth="1"/>
    <col min="22" max="23" width="13.7109375" style="227" customWidth="1"/>
    <col min="24" max="25" width="37.42578125" style="221" customWidth="1"/>
    <col min="26" max="27" width="12.85546875" style="221" customWidth="1"/>
    <col min="28" max="29" width="37.42578125" style="222" customWidth="1"/>
    <col min="30" max="31" width="12.85546875" style="222" customWidth="1"/>
    <col min="32" max="33" width="37.42578125" style="222" customWidth="1"/>
    <col min="34" max="35" width="16.5703125" style="222" customWidth="1"/>
    <col min="36" max="37" width="37.42578125" style="223" customWidth="1"/>
    <col min="38" max="39" width="16.85546875" style="223" customWidth="1"/>
    <col min="40" max="41" width="37.42578125" style="222" customWidth="1"/>
    <col min="42" max="43" width="13.85546875" style="222" customWidth="1"/>
    <col min="44" max="45" width="37.42578125" style="224" customWidth="1"/>
    <col min="46" max="47" width="15.5703125" style="224" customWidth="1"/>
    <col min="48" max="49" width="37.42578125" style="225" customWidth="1"/>
    <col min="50" max="51" width="16.42578125" style="225" customWidth="1"/>
    <col min="52" max="53" width="37.42578125" style="225" customWidth="1"/>
    <col min="54" max="55" width="15.42578125" style="225" customWidth="1"/>
    <col min="56" max="57" width="37.42578125" style="225" customWidth="1"/>
    <col min="58" max="59" width="15.7109375" style="225" customWidth="1"/>
    <col min="60" max="61" width="37.42578125" style="225" customWidth="1"/>
    <col min="62" max="63" width="14.7109375" style="225" customWidth="1"/>
    <col min="64" max="65" width="37.42578125" style="225" customWidth="1"/>
    <col min="66" max="67" width="15" style="225" customWidth="1"/>
    <col min="68" max="69" width="37.42578125" style="225" customWidth="1"/>
    <col min="70" max="71" width="15.42578125" style="225" customWidth="1"/>
    <col min="72" max="73" width="37.5703125" style="225" customWidth="1"/>
    <col min="74" max="75" width="13.7109375" style="225" customWidth="1"/>
    <col min="76" max="77" width="37.42578125" style="225" customWidth="1"/>
    <col min="78" max="79" width="12.42578125" style="225" customWidth="1"/>
    <col min="80" max="81" width="37.42578125" style="225" customWidth="1"/>
    <col min="82" max="83" width="15.140625" style="225" customWidth="1"/>
    <col min="84" max="85" width="37.42578125" style="225" customWidth="1"/>
    <col min="86" max="87" width="15" style="225" customWidth="1"/>
    <col min="88" max="89" width="37.42578125" style="225" customWidth="1"/>
    <col min="90" max="91" width="14.5703125" style="225" customWidth="1"/>
    <col min="92" max="93" width="37.42578125" style="225" customWidth="1"/>
    <col min="94" max="95" width="15.42578125" style="225" customWidth="1"/>
    <col min="96" max="97" width="37.42578125" style="225" customWidth="1"/>
    <col min="98" max="99" width="15.85546875" style="225" customWidth="1"/>
    <col min="100" max="101" width="37.42578125" style="225" customWidth="1"/>
    <col min="102" max="103" width="15.140625" style="225" customWidth="1"/>
    <col min="104" max="105" width="37.42578125" style="225" customWidth="1"/>
    <col min="106" max="107" width="14.140625" style="225" customWidth="1"/>
    <col min="108" max="109" width="37.42578125" style="225" customWidth="1"/>
    <col min="110" max="111" width="13.140625" style="225" customWidth="1"/>
    <col min="112" max="113" width="37.42578125" style="225" customWidth="1"/>
    <col min="114" max="115" width="13.28515625" style="225" customWidth="1"/>
    <col min="116" max="117" width="37.42578125" style="225" customWidth="1"/>
    <col min="118" max="119" width="14.140625" style="225" customWidth="1"/>
    <col min="120" max="121" width="37.42578125" style="225" customWidth="1"/>
    <col min="122" max="123" width="16.140625" style="225" customWidth="1"/>
    <col min="124" max="125" width="37.42578125" style="225" customWidth="1"/>
    <col min="126" max="127" width="14.28515625" style="225" customWidth="1"/>
    <col min="128" max="129" width="37.42578125" style="225" customWidth="1"/>
    <col min="130" max="131" width="13" style="225" customWidth="1"/>
    <col min="132" max="133" width="37.42578125" style="225" customWidth="1"/>
    <col min="134" max="135" width="15.5703125" style="225" customWidth="1"/>
    <col min="136" max="137" width="37.42578125" style="225" customWidth="1"/>
    <col min="138" max="138" width="18.7109375" style="22" customWidth="1"/>
    <col min="139" max="139" width="17" style="22" customWidth="1"/>
    <col min="140" max="140" width="39.85546875" style="22" customWidth="1"/>
    <col min="141" max="141" width="45.7109375" style="22" customWidth="1"/>
    <col min="142" max="142" width="17.5703125" style="22" customWidth="1"/>
    <col min="143" max="143" width="17.42578125" style="22" customWidth="1"/>
    <col min="144" max="144" width="38.28515625" style="22" customWidth="1"/>
    <col min="145" max="145" width="34.85546875" style="22" customWidth="1"/>
    <col min="146" max="146" width="19.85546875" style="22" customWidth="1"/>
    <col min="147" max="147" width="19.42578125" style="22" customWidth="1"/>
    <col min="148" max="148" width="37.28515625" style="22" customWidth="1"/>
    <col min="149" max="149" width="35.5703125" style="22" customWidth="1"/>
    <col min="150" max="16384" width="9.140625" style="22"/>
  </cols>
  <sheetData>
    <row r="1" spans="2:145" ht="12.75" thickBot="1" x14ac:dyDescent="0.3">
      <c r="B1" s="44"/>
      <c r="CD1" s="221"/>
    </row>
    <row r="2" spans="2:145" s="89" customFormat="1" ht="23.25" customHeight="1" thickBot="1" x14ac:dyDescent="0.3">
      <c r="B2" s="12"/>
      <c r="C2" s="686" t="s">
        <v>111</v>
      </c>
      <c r="D2" s="687"/>
      <c r="E2" s="687"/>
      <c r="F2" s="687"/>
      <c r="G2" s="688"/>
      <c r="I2" s="700" t="s">
        <v>480</v>
      </c>
      <c r="J2" s="701"/>
      <c r="K2" s="701"/>
      <c r="L2" s="701"/>
      <c r="M2" s="84"/>
      <c r="N2" s="691" t="s">
        <v>466</v>
      </c>
      <c r="O2" s="692"/>
      <c r="P2" s="84"/>
      <c r="Q2" s="695" t="s">
        <v>503</v>
      </c>
      <c r="R2" s="696"/>
      <c r="S2" s="697"/>
      <c r="T2" s="91"/>
      <c r="U2" s="702" t="s">
        <v>151</v>
      </c>
      <c r="V2" s="704" t="s">
        <v>829</v>
      </c>
      <c r="W2" s="704"/>
      <c r="X2" s="704"/>
      <c r="Y2" s="704"/>
      <c r="Z2" s="705" t="s">
        <v>512</v>
      </c>
      <c r="AA2" s="705"/>
      <c r="AB2" s="705"/>
      <c r="AC2" s="705"/>
      <c r="AD2" s="706" t="s">
        <v>517</v>
      </c>
      <c r="AE2" s="706"/>
      <c r="AF2" s="706"/>
      <c r="AG2" s="706"/>
      <c r="AH2" s="707" t="s">
        <v>830</v>
      </c>
      <c r="AI2" s="707"/>
      <c r="AJ2" s="707"/>
      <c r="AK2" s="707"/>
      <c r="AL2" s="676" t="s">
        <v>378</v>
      </c>
      <c r="AM2" s="676"/>
      <c r="AN2" s="676"/>
      <c r="AO2" s="676"/>
      <c r="AP2" s="677" t="s">
        <v>513</v>
      </c>
      <c r="AQ2" s="677"/>
      <c r="AR2" s="677"/>
      <c r="AS2" s="677"/>
      <c r="AT2" s="678" t="s">
        <v>514</v>
      </c>
      <c r="AU2" s="678"/>
      <c r="AV2" s="678"/>
      <c r="AW2" s="678"/>
      <c r="AX2" s="679" t="s">
        <v>1235</v>
      </c>
      <c r="AY2" s="679"/>
      <c r="AZ2" s="679"/>
      <c r="BA2" s="679"/>
      <c r="BB2" s="680" t="s">
        <v>385</v>
      </c>
      <c r="BC2" s="680"/>
      <c r="BD2" s="680"/>
      <c r="BE2" s="680"/>
      <c r="BF2" s="671" t="s">
        <v>1237</v>
      </c>
      <c r="BG2" s="671"/>
      <c r="BH2" s="671"/>
      <c r="BI2" s="671"/>
      <c r="BJ2" s="672" t="s">
        <v>515</v>
      </c>
      <c r="BK2" s="672"/>
      <c r="BL2" s="672"/>
      <c r="BM2" s="672"/>
      <c r="BN2" s="673" t="s">
        <v>1208</v>
      </c>
      <c r="BO2" s="673"/>
      <c r="BP2" s="673"/>
      <c r="BQ2" s="673"/>
      <c r="BR2" s="674" t="s">
        <v>272</v>
      </c>
      <c r="BS2" s="674"/>
      <c r="BT2" s="674"/>
      <c r="BU2" s="674"/>
      <c r="BV2" s="675" t="s">
        <v>511</v>
      </c>
      <c r="BW2" s="675"/>
      <c r="BX2" s="675"/>
      <c r="BY2" s="675"/>
      <c r="BZ2" s="666" t="s">
        <v>382</v>
      </c>
      <c r="CA2" s="666"/>
      <c r="CB2" s="666"/>
      <c r="CC2" s="666"/>
      <c r="CD2" s="667" t="s">
        <v>380</v>
      </c>
      <c r="CE2" s="667"/>
      <c r="CF2" s="667"/>
      <c r="CG2" s="667"/>
      <c r="CH2" s="668" t="s">
        <v>273</v>
      </c>
      <c r="CI2" s="668"/>
      <c r="CJ2" s="668"/>
      <c r="CK2" s="668"/>
      <c r="CL2" s="669" t="s">
        <v>831</v>
      </c>
      <c r="CM2" s="669"/>
      <c r="CN2" s="669"/>
      <c r="CO2" s="669"/>
      <c r="CP2" s="670" t="s">
        <v>274</v>
      </c>
      <c r="CQ2" s="670"/>
      <c r="CR2" s="670"/>
      <c r="CS2" s="670"/>
      <c r="CT2" s="661" t="s">
        <v>262</v>
      </c>
      <c r="CU2" s="661"/>
      <c r="CV2" s="661"/>
      <c r="CW2" s="661"/>
      <c r="CX2" s="662" t="s">
        <v>832</v>
      </c>
      <c r="CY2" s="662"/>
      <c r="CZ2" s="662"/>
      <c r="DA2" s="662"/>
      <c r="DB2" s="663" t="s">
        <v>516</v>
      </c>
      <c r="DC2" s="663"/>
      <c r="DD2" s="663"/>
      <c r="DE2" s="663"/>
      <c r="DF2" s="664" t="s">
        <v>1225</v>
      </c>
      <c r="DG2" s="664"/>
      <c r="DH2" s="664"/>
      <c r="DI2" s="664"/>
      <c r="DJ2" s="665" t="s">
        <v>1332</v>
      </c>
      <c r="DK2" s="665"/>
      <c r="DL2" s="665"/>
      <c r="DM2" s="665"/>
      <c r="DN2" s="656" t="s">
        <v>1334</v>
      </c>
      <c r="DO2" s="656"/>
      <c r="DP2" s="656"/>
      <c r="DQ2" s="656"/>
      <c r="DR2" s="657" t="s">
        <v>1323</v>
      </c>
      <c r="DS2" s="657"/>
      <c r="DT2" s="657"/>
      <c r="DU2" s="657"/>
      <c r="DV2" s="658" t="s">
        <v>1335</v>
      </c>
      <c r="DW2" s="658"/>
      <c r="DX2" s="658"/>
      <c r="DY2" s="658"/>
      <c r="DZ2" s="659" t="s">
        <v>1328</v>
      </c>
      <c r="EA2" s="659"/>
      <c r="EB2" s="659"/>
      <c r="EC2" s="659"/>
      <c r="ED2" s="660" t="s">
        <v>1336</v>
      </c>
      <c r="EE2" s="660"/>
      <c r="EF2" s="660"/>
      <c r="EG2" s="660"/>
      <c r="EH2" s="654" t="s">
        <v>1224</v>
      </c>
      <c r="EI2" s="654"/>
      <c r="EJ2" s="654"/>
      <c r="EK2" s="654"/>
      <c r="EL2" s="655" t="s">
        <v>1242</v>
      </c>
      <c r="EM2" s="655"/>
      <c r="EN2" s="655"/>
      <c r="EO2" s="655"/>
    </row>
    <row r="3" spans="2:145" s="89" customFormat="1" ht="26.25" thickBot="1" x14ac:dyDescent="0.3">
      <c r="B3" s="12"/>
      <c r="C3" s="311" t="s">
        <v>96</v>
      </c>
      <c r="D3" s="95" t="s">
        <v>97</v>
      </c>
      <c r="E3" s="95" t="s">
        <v>100</v>
      </c>
      <c r="F3" s="96" t="s">
        <v>139</v>
      </c>
      <c r="G3" s="97" t="s">
        <v>478</v>
      </c>
      <c r="I3" s="119" t="s">
        <v>1593</v>
      </c>
      <c r="J3" s="93" t="s">
        <v>1467</v>
      </c>
      <c r="K3" s="93" t="s">
        <v>1468</v>
      </c>
      <c r="L3" s="118" t="s">
        <v>1469</v>
      </c>
      <c r="M3" s="85"/>
      <c r="N3" s="106" t="s">
        <v>143</v>
      </c>
      <c r="O3" s="107" t="s">
        <v>162</v>
      </c>
      <c r="P3" s="85"/>
      <c r="Q3" s="161" t="s">
        <v>282</v>
      </c>
      <c r="R3" s="161" t="s">
        <v>507</v>
      </c>
      <c r="S3" s="161" t="s">
        <v>521</v>
      </c>
      <c r="T3" s="255" t="s">
        <v>1250</v>
      </c>
      <c r="U3" s="703"/>
      <c r="V3" s="255" t="s">
        <v>1217</v>
      </c>
      <c r="W3" s="255" t="s">
        <v>100</v>
      </c>
      <c r="X3" s="256" t="s">
        <v>833</v>
      </c>
      <c r="Y3" s="256" t="s">
        <v>1129</v>
      </c>
      <c r="Z3" s="255" t="s">
        <v>1217</v>
      </c>
      <c r="AA3" s="255" t="s">
        <v>100</v>
      </c>
      <c r="AB3" s="256" t="s">
        <v>833</v>
      </c>
      <c r="AC3" s="256" t="s">
        <v>512</v>
      </c>
      <c r="AD3" s="256" t="s">
        <v>1217</v>
      </c>
      <c r="AE3" s="255" t="s">
        <v>100</v>
      </c>
      <c r="AF3" s="256" t="s">
        <v>833</v>
      </c>
      <c r="AG3" s="256" t="s">
        <v>517</v>
      </c>
      <c r="AH3" s="255" t="s">
        <v>1217</v>
      </c>
      <c r="AI3" s="255" t="s">
        <v>100</v>
      </c>
      <c r="AJ3" s="256" t="s">
        <v>833</v>
      </c>
      <c r="AK3" s="256" t="s">
        <v>830</v>
      </c>
      <c r="AL3" s="361" t="s">
        <v>1217</v>
      </c>
      <c r="AM3" s="255" t="s">
        <v>100</v>
      </c>
      <c r="AN3" s="256" t="s">
        <v>833</v>
      </c>
      <c r="AO3" s="256" t="s">
        <v>378</v>
      </c>
      <c r="AP3" s="255" t="s">
        <v>1217</v>
      </c>
      <c r="AQ3" s="255" t="s">
        <v>100</v>
      </c>
      <c r="AR3" s="256" t="s">
        <v>833</v>
      </c>
      <c r="AS3" s="256" t="s">
        <v>513</v>
      </c>
      <c r="AT3" s="228" t="s">
        <v>1217</v>
      </c>
      <c r="AU3" s="228" t="s">
        <v>100</v>
      </c>
      <c r="AV3" s="229" t="s">
        <v>833</v>
      </c>
      <c r="AW3" s="229" t="s">
        <v>514</v>
      </c>
      <c r="AX3" s="255" t="s">
        <v>1217</v>
      </c>
      <c r="AY3" s="255" t="s">
        <v>100</v>
      </c>
      <c r="AZ3" s="256" t="s">
        <v>833</v>
      </c>
      <c r="BA3" s="256" t="s">
        <v>1235</v>
      </c>
      <c r="BB3" s="509" t="s">
        <v>1217</v>
      </c>
      <c r="BC3" s="451" t="s">
        <v>100</v>
      </c>
      <c r="BD3" s="452" t="s">
        <v>833</v>
      </c>
      <c r="BE3" s="453" t="s">
        <v>385</v>
      </c>
      <c r="BF3" s="280" t="s">
        <v>1217</v>
      </c>
      <c r="BG3" s="255" t="s">
        <v>100</v>
      </c>
      <c r="BH3" s="256" t="s">
        <v>833</v>
      </c>
      <c r="BI3" s="256" t="s">
        <v>384</v>
      </c>
      <c r="BJ3" s="256" t="s">
        <v>1217</v>
      </c>
      <c r="BK3" s="256" t="s">
        <v>100</v>
      </c>
      <c r="BL3" s="256" t="s">
        <v>833</v>
      </c>
      <c r="BM3" s="256" t="s">
        <v>515</v>
      </c>
      <c r="BN3" s="255" t="s">
        <v>1217</v>
      </c>
      <c r="BO3" s="255" t="s">
        <v>100</v>
      </c>
      <c r="BP3" s="256" t="s">
        <v>833</v>
      </c>
      <c r="BQ3" s="256" t="s">
        <v>1208</v>
      </c>
      <c r="BR3" s="228" t="s">
        <v>1217</v>
      </c>
      <c r="BS3" s="228" t="s">
        <v>100</v>
      </c>
      <c r="BT3" s="229" t="s">
        <v>833</v>
      </c>
      <c r="BU3" s="456" t="s">
        <v>272</v>
      </c>
      <c r="BV3" s="255" t="s">
        <v>1217</v>
      </c>
      <c r="BW3" s="255" t="s">
        <v>100</v>
      </c>
      <c r="BX3" s="256" t="s">
        <v>833</v>
      </c>
      <c r="BY3" s="229" t="s">
        <v>511</v>
      </c>
      <c r="BZ3" s="228" t="s">
        <v>1217</v>
      </c>
      <c r="CA3" s="228" t="s">
        <v>100</v>
      </c>
      <c r="CB3" s="229" t="s">
        <v>833</v>
      </c>
      <c r="CC3" s="229" t="s">
        <v>382</v>
      </c>
      <c r="CD3" s="280" t="s">
        <v>1217</v>
      </c>
      <c r="CE3" s="255" t="s">
        <v>100</v>
      </c>
      <c r="CF3" s="256" t="s">
        <v>833</v>
      </c>
      <c r="CG3" s="229" t="s">
        <v>380</v>
      </c>
      <c r="CH3" s="228" t="s">
        <v>1217</v>
      </c>
      <c r="CI3" s="228" t="s">
        <v>100</v>
      </c>
      <c r="CJ3" s="229" t="s">
        <v>833</v>
      </c>
      <c r="CK3" s="229" t="s">
        <v>273</v>
      </c>
      <c r="CL3" s="255" t="s">
        <v>1217</v>
      </c>
      <c r="CM3" s="255" t="s">
        <v>100</v>
      </c>
      <c r="CN3" s="256" t="s">
        <v>833</v>
      </c>
      <c r="CO3" s="256" t="s">
        <v>831</v>
      </c>
      <c r="CP3" s="228" t="s">
        <v>1217</v>
      </c>
      <c r="CQ3" s="228" t="s">
        <v>100</v>
      </c>
      <c r="CR3" s="229" t="s">
        <v>833</v>
      </c>
      <c r="CS3" s="229" t="s">
        <v>274</v>
      </c>
      <c r="CT3" s="255" t="s">
        <v>1217</v>
      </c>
      <c r="CU3" s="255" t="s">
        <v>100</v>
      </c>
      <c r="CV3" s="229" t="s">
        <v>833</v>
      </c>
      <c r="CW3" s="229" t="s">
        <v>262</v>
      </c>
      <c r="CX3" s="255" t="s">
        <v>1217</v>
      </c>
      <c r="CY3" s="255" t="s">
        <v>100</v>
      </c>
      <c r="CZ3" s="256" t="s">
        <v>833</v>
      </c>
      <c r="DA3" s="256" t="s">
        <v>832</v>
      </c>
      <c r="DB3" s="255" t="s">
        <v>1217</v>
      </c>
      <c r="DC3" s="255" t="s">
        <v>100</v>
      </c>
      <c r="DD3" s="256" t="s">
        <v>833</v>
      </c>
      <c r="DE3" s="256" t="s">
        <v>516</v>
      </c>
      <c r="DF3" s="280" t="s">
        <v>1217</v>
      </c>
      <c r="DG3" s="255" t="s">
        <v>100</v>
      </c>
      <c r="DH3" s="256" t="s">
        <v>833</v>
      </c>
      <c r="DI3" s="256" t="s">
        <v>1243</v>
      </c>
      <c r="DJ3" s="255" t="s">
        <v>1217</v>
      </c>
      <c r="DK3" s="255" t="s">
        <v>100</v>
      </c>
      <c r="DL3" s="256" t="s">
        <v>833</v>
      </c>
      <c r="DM3" s="256" t="s">
        <v>1333</v>
      </c>
      <c r="DN3" s="255" t="s">
        <v>1217</v>
      </c>
      <c r="DO3" s="255" t="s">
        <v>100</v>
      </c>
      <c r="DP3" s="256" t="s">
        <v>833</v>
      </c>
      <c r="DQ3" s="256" t="s">
        <v>1334</v>
      </c>
      <c r="DR3" s="228" t="s">
        <v>1217</v>
      </c>
      <c r="DS3" s="228" t="s">
        <v>100</v>
      </c>
      <c r="DT3" s="229" t="s">
        <v>833</v>
      </c>
      <c r="DU3" s="229" t="s">
        <v>1323</v>
      </c>
      <c r="DV3" s="255" t="s">
        <v>1217</v>
      </c>
      <c r="DW3" s="255" t="s">
        <v>100</v>
      </c>
      <c r="DX3" s="256" t="s">
        <v>833</v>
      </c>
      <c r="DY3" s="256" t="s">
        <v>1335</v>
      </c>
      <c r="DZ3" s="255" t="s">
        <v>1217</v>
      </c>
      <c r="EA3" s="255" t="s">
        <v>100</v>
      </c>
      <c r="EB3" s="256" t="s">
        <v>833</v>
      </c>
      <c r="EC3" s="256" t="s">
        <v>1328</v>
      </c>
      <c r="ED3" s="450" t="s">
        <v>1217</v>
      </c>
      <c r="EE3" s="451" t="s">
        <v>100</v>
      </c>
      <c r="EF3" s="452" t="s">
        <v>833</v>
      </c>
      <c r="EG3" s="453" t="s">
        <v>1336</v>
      </c>
      <c r="EH3" s="280" t="s">
        <v>1217</v>
      </c>
      <c r="EI3" s="255" t="s">
        <v>100</v>
      </c>
      <c r="EJ3" s="256" t="s">
        <v>833</v>
      </c>
      <c r="EK3" s="256" t="s">
        <v>1224</v>
      </c>
      <c r="EL3" s="280" t="s">
        <v>1217</v>
      </c>
      <c r="EM3" s="255" t="s">
        <v>100</v>
      </c>
      <c r="EN3" s="256" t="s">
        <v>833</v>
      </c>
      <c r="EO3" s="256" t="s">
        <v>1242</v>
      </c>
    </row>
    <row r="4" spans="2:145" s="89" customFormat="1" ht="30" customHeight="1" thickBot="1" x14ac:dyDescent="0.3">
      <c r="B4" s="98"/>
      <c r="C4" s="99" t="s">
        <v>1130</v>
      </c>
      <c r="D4" s="330" t="s">
        <v>1129</v>
      </c>
      <c r="E4" s="100" t="s">
        <v>114</v>
      </c>
      <c r="F4" s="101" t="s">
        <v>114</v>
      </c>
      <c r="G4" s="83" t="str">
        <f>CONCATENATE(C4,"_",D4)</f>
        <v>_01_Administración_del_Riesgo</v>
      </c>
      <c r="I4" s="117" t="s">
        <v>1590</v>
      </c>
      <c r="J4" s="93" t="s">
        <v>1590</v>
      </c>
      <c r="K4" s="93" t="s">
        <v>1591</v>
      </c>
      <c r="L4" s="118" t="s">
        <v>1590</v>
      </c>
      <c r="M4" s="86"/>
      <c r="N4" s="108" t="s">
        <v>277</v>
      </c>
      <c r="O4" s="114" t="s">
        <v>146</v>
      </c>
      <c r="P4" s="86"/>
      <c r="Q4" s="144" t="s">
        <v>504</v>
      </c>
      <c r="R4" s="162" t="s">
        <v>1760</v>
      </c>
      <c r="S4" s="699" t="s">
        <v>525</v>
      </c>
      <c r="T4" s="337" t="s">
        <v>1249</v>
      </c>
      <c r="U4" s="236">
        <v>1</v>
      </c>
      <c r="V4" s="513">
        <v>491</v>
      </c>
      <c r="W4" s="254" t="s">
        <v>1083</v>
      </c>
      <c r="X4" s="277" t="s">
        <v>623</v>
      </c>
      <c r="Y4" s="246" t="str">
        <f>CONCATENATE(V4,"-",W4,"-",X4)</f>
        <v>491-SOCEX-Sistema de Operaciones de Comercio Exterior</v>
      </c>
      <c r="Z4" s="352">
        <v>70</v>
      </c>
      <c r="AA4" s="260" t="s">
        <v>901</v>
      </c>
      <c r="AB4" s="264" t="s">
        <v>574</v>
      </c>
      <c r="AC4" s="271" t="str">
        <f>CONCATENATE(TEXT(AG4,"000"),"-",AA4,"-",AB4)</f>
        <v>162-ADMINISTRACION_TECNICA-Administración Técnica-EXPRES-Bóveda de Créditos Express</v>
      </c>
      <c r="AD4" s="377">
        <v>162</v>
      </c>
      <c r="AE4" s="278" t="s">
        <v>1056</v>
      </c>
      <c r="AF4" s="248" t="s">
        <v>561</v>
      </c>
      <c r="AG4" s="249" t="str">
        <f>CONCATENATE(AD4,"-",AE4,"-",AF4)</f>
        <v>162-ADMINISTRACION_TECNICA-Administración Técnica</v>
      </c>
      <c r="AH4" s="349">
        <v>193</v>
      </c>
      <c r="AI4" s="254" t="s">
        <v>874</v>
      </c>
      <c r="AJ4" s="276" t="s">
        <v>779</v>
      </c>
      <c r="AK4" s="249" t="str">
        <f t="shared" ref="AK4:AK12" si="0">CONCATENATE(AH4,"-",AI4,"-",AJ4)</f>
        <v>193-SAM M3-Sistema Automatizado de Registro de Manifiestos de Carga</v>
      </c>
      <c r="AL4" s="347">
        <v>164</v>
      </c>
      <c r="AM4" s="254" t="s">
        <v>863</v>
      </c>
      <c r="AN4" s="276" t="s">
        <v>575</v>
      </c>
      <c r="AO4" s="249" t="str">
        <f>CONCATENATE(AL4,"-",AM4,"-",AN4)</f>
        <v>164-APIS-Advanced Passenger Information</v>
      </c>
      <c r="AP4" s="372">
        <v>588</v>
      </c>
      <c r="AQ4" s="268" t="s">
        <v>1008</v>
      </c>
      <c r="AR4" s="269" t="s">
        <v>1486</v>
      </c>
      <c r="AS4" s="249" t="str">
        <f>CONCATENATE(AP4,"-",AQ4,"-",AR4)</f>
        <v>588-SIVART 107-Sistema de Validación, ReimpreSíón y Aclaraciones Artículo 107</v>
      </c>
      <c r="AT4" s="240"/>
      <c r="AU4" s="239"/>
      <c r="AV4" s="245"/>
      <c r="AW4" s="246" t="str">
        <f>CONCATENATE(AT4,"-",AU4,"-",AV4)</f>
        <v>--</v>
      </c>
      <c r="AX4" s="358">
        <v>742</v>
      </c>
      <c r="AY4" s="260" t="s">
        <v>960</v>
      </c>
      <c r="AZ4" s="264" t="s">
        <v>792</v>
      </c>
      <c r="BA4" s="271" t="str">
        <f>CONCATENATE(TEXT(AX4,"000"),"-",AY4,"-",AZ4)</f>
        <v>742-F76-Forma Oficial 76 “Información de Operaciones Relevantes (Artículo 31-A del Código Fiscal de la Federación)”.</v>
      </c>
      <c r="BB4" s="519">
        <v>73</v>
      </c>
      <c r="BC4" s="284" t="s">
        <v>1488</v>
      </c>
      <c r="BD4" s="285" t="s">
        <v>637</v>
      </c>
      <c r="BE4" s="271" t="str">
        <f>CONCATENATE(TEXT(BB4,"000"),"-",BC4,"-",BD4)</f>
        <v>073-CERTIFICACION NEPE-Certificación de Operaciones NEPE</v>
      </c>
      <c r="BF4" s="362">
        <v>12</v>
      </c>
      <c r="BG4" s="284" t="s">
        <v>944</v>
      </c>
      <c r="BH4" s="528" t="s">
        <v>650</v>
      </c>
      <c r="BI4" s="271" t="str">
        <f>CONCATENATE(TEXT(BF4,"000"),"-",BG4,"-",BH4)</f>
        <v>012-CUN-WEB-Consulta de Declaraciones y Pagos Web</v>
      </c>
      <c r="BJ4" s="529">
        <v>49</v>
      </c>
      <c r="BK4" s="260" t="s">
        <v>840</v>
      </c>
      <c r="BL4" s="264" t="s">
        <v>705</v>
      </c>
      <c r="BM4" s="271" t="str">
        <f>CONCATENATE(TEXT(BJ4,"000"),"-",BK4,"-",BL4)</f>
        <v>049-SICRE-Sistema de Consulta de Recaudación</v>
      </c>
      <c r="BN4" s="353">
        <v>642</v>
      </c>
      <c r="BO4" s="260" t="s">
        <v>908</v>
      </c>
      <c r="BP4" s="264" t="s">
        <v>608</v>
      </c>
      <c r="BQ4" s="271" t="str">
        <f>CONCATENATE(TEXT(BN4,"000"),"-",BO4,"-",BP4)</f>
        <v>642-SIREFE-Sistema de Revocación con Firma Electrónica</v>
      </c>
      <c r="BR4" s="510">
        <v>611</v>
      </c>
      <c r="BS4" s="274" t="s">
        <v>1397</v>
      </c>
      <c r="BT4" s="269" t="s">
        <v>1402</v>
      </c>
      <c r="BU4" s="533" t="str">
        <f t="shared" ref="BU4:BU9" si="1">CONCATENATE(TEXT(BR4,"000"),"-",BS4,"-",BT4)</f>
        <v>611-PORTAL_PRIVADO_MEGAPAC-Portal Privado del Contribuyente - Servicio de Generación de Factura Electrónica</v>
      </c>
      <c r="BV4" s="530">
        <v>2</v>
      </c>
      <c r="BW4" s="260" t="s">
        <v>858</v>
      </c>
      <c r="BX4" s="264" t="s">
        <v>780</v>
      </c>
      <c r="BY4" s="533" t="str">
        <f>CONCATENATE(TEXT(BV4,"000"),"-",BW4,"-",BX4)</f>
        <v>002-SUII-Sistema Único de Información Integral</v>
      </c>
      <c r="BZ4" s="242"/>
      <c r="CA4" s="241"/>
      <c r="CB4" s="251"/>
      <c r="CC4" s="289" t="str">
        <f>CONCATENATE(BZ4,"-",CA4,"-",CB4)</f>
        <v>--</v>
      </c>
      <c r="CD4" s="407">
        <v>621</v>
      </c>
      <c r="CE4" s="254" t="s">
        <v>1318</v>
      </c>
      <c r="CF4" s="269" t="s">
        <v>1363</v>
      </c>
      <c r="CG4" s="533" t="str">
        <f>CONCATENATE(TEXT(CD4,"000"),"-",CE4,"-",CF4)</f>
        <v>621-MATCE-SA-MATCE - Selección Automatizada</v>
      </c>
      <c r="CH4" s="242"/>
      <c r="CI4" s="241"/>
      <c r="CJ4" s="251"/>
      <c r="CK4" s="289" t="str">
        <f>CONCATENATE(CH4,"-",CI4,"-",CJ4)</f>
        <v>--</v>
      </c>
      <c r="CL4" s="338">
        <v>33</v>
      </c>
      <c r="CM4" s="260" t="s">
        <v>1124</v>
      </c>
      <c r="CN4" s="264" t="s">
        <v>621</v>
      </c>
      <c r="CO4" s="533" t="str">
        <f>CONCATENATE(TEXT(CL4,"000"),"-",CM4,"-",CN4)</f>
        <v>033-NV LOCAL GC-Notificación Verificación Local de Grandes Contribuyentes</v>
      </c>
      <c r="CP4" s="352">
        <v>802</v>
      </c>
      <c r="CQ4" s="254" t="s">
        <v>911</v>
      </c>
      <c r="CR4" s="264" t="s">
        <v>759</v>
      </c>
      <c r="CS4" s="533" t="str">
        <f>CONCATENATE(TEXT(CP4,"000"),"-",CQ4,"-",CR4)</f>
        <v>802-App_SAT_Móvil-SAT Móvil</v>
      </c>
      <c r="CT4" s="416">
        <v>624</v>
      </c>
      <c r="CU4" s="262" t="s">
        <v>1042</v>
      </c>
      <c r="CV4" s="295" t="s">
        <v>566</v>
      </c>
      <c r="CW4" s="533" t="str">
        <f>CONCATENATE(TEXT(CT4,"000"),"-",CU4,"-",CV4)</f>
        <v>624-PTSC-Portal de Trámites y Servicios al Contribuyente</v>
      </c>
      <c r="CX4" s="368">
        <v>296</v>
      </c>
      <c r="CY4" s="260" t="s">
        <v>989</v>
      </c>
      <c r="CZ4" s="264" t="s">
        <v>1526</v>
      </c>
      <c r="DA4" s="533" t="str">
        <f>CONCATENATE(TEXT(CX4,"000"),"-",CY4,"-",CZ4)</f>
        <v>296-AGS-ELM -AGS-ELM
Solución Integral</v>
      </c>
      <c r="DB4" s="391">
        <v>68</v>
      </c>
      <c r="DC4" s="284" t="s">
        <v>930</v>
      </c>
      <c r="DD4" s="285" t="s">
        <v>619</v>
      </c>
      <c r="DE4" s="533" t="str">
        <f t="shared" ref="DE4:DE10" si="2">CONCATENATE(TEXT(DB4,"000"),"-",DC4,"-",DD4)</f>
        <v>068-ALRCON-Captura y Validación Contables (Esquema anterior)</v>
      </c>
      <c r="DF4" s="300"/>
      <c r="DG4" s="257"/>
      <c r="DH4" s="263"/>
      <c r="DI4" s="249" t="str">
        <f>CONCATENATE(DF4,"-",DG4,"-",DH4)</f>
        <v>--</v>
      </c>
      <c r="DJ4" s="538">
        <v>1</v>
      </c>
      <c r="DK4" s="260" t="s">
        <v>913</v>
      </c>
      <c r="DL4" s="264" t="s">
        <v>570</v>
      </c>
      <c r="DM4" s="533" t="str">
        <f>CONCATENATE(TEXT(DJ4,"000"),"-",DK4,"-",DL4)</f>
        <v>001-DARIO ALR's-Actualización de DARIO ALR´S Sedes</v>
      </c>
      <c r="DN4" s="530">
        <v>58</v>
      </c>
      <c r="DO4" s="260" t="s">
        <v>1254</v>
      </c>
      <c r="DP4" s="264" t="s">
        <v>1255</v>
      </c>
      <c r="DQ4" s="533" t="str">
        <f>CONCATENATE(TEXT(DN4,"000"),"-",DO4,"-",DP4)</f>
        <v>058-SICOFI-Sistema Integral de Comprobantes</v>
      </c>
      <c r="DR4" s="512">
        <v>976</v>
      </c>
      <c r="DS4" s="260" t="s">
        <v>1552</v>
      </c>
      <c r="DT4" s="264" t="s">
        <v>1553</v>
      </c>
      <c r="DU4" s="533" t="str">
        <f>CONCATENATE(TEXT(DR4,"000"),"-",DS4,"-",DT4)</f>
        <v>976-DLOADDB2-Proceso de Descarga Masiva de Información del DataWarehouse (Mainframe DB2) a través de DataStage</v>
      </c>
      <c r="DV4" s="373">
        <v>234</v>
      </c>
      <c r="DW4" s="260" t="s">
        <v>1009</v>
      </c>
      <c r="DX4" s="264" t="s">
        <v>596</v>
      </c>
      <c r="DY4" s="533" t="str">
        <f>CONCATENATE(TEXT(DV4,"000"),"-",DW4,"-",DX4)</f>
        <v>234-CTRLGEST-Control de Gestión (C/S)</v>
      </c>
      <c r="DZ4" s="519">
        <v>219</v>
      </c>
      <c r="EA4" s="284" t="s">
        <v>976</v>
      </c>
      <c r="EB4" s="285" t="s">
        <v>1558</v>
      </c>
      <c r="EC4" s="533" t="str">
        <f>CONCATENATE(TEXT(DZ4,"000"),"-",EA4,"-",EB4)</f>
        <v>219-ACA-JUPITER
Amparo vs. Actos</v>
      </c>
      <c r="ED4" s="373">
        <v>274</v>
      </c>
      <c r="EE4" s="260" t="s">
        <v>1014</v>
      </c>
      <c r="EF4" s="264" t="s">
        <v>773</v>
      </c>
      <c r="EG4" s="533" t="str">
        <f>CONCATENATE(TEXT(ED4,"000"),"-",EE4,"-",EF4)</f>
        <v>274-SUN-Sistema Único de Normatividad</v>
      </c>
      <c r="EH4" s="454"/>
      <c r="EI4" s="455"/>
      <c r="EJ4" s="455"/>
      <c r="EK4" s="252" t="str">
        <f>CONCATENATE(EH4,"-",EI4,"-",EJ4)</f>
        <v>--</v>
      </c>
      <c r="EL4" s="300"/>
      <c r="EM4" s="257"/>
      <c r="EN4" s="263"/>
      <c r="EO4" s="249" t="str">
        <f>CONCATENATE(EL4,"-",EM4,"-",EN4)</f>
        <v>--</v>
      </c>
    </row>
    <row r="5" spans="2:145" s="89" customFormat="1" ht="45" customHeight="1" thickBot="1" x14ac:dyDescent="0.3">
      <c r="B5" s="192"/>
      <c r="C5" s="99" t="s">
        <v>1131</v>
      </c>
      <c r="D5" s="330" t="s">
        <v>1158</v>
      </c>
      <c r="E5" s="100" t="s">
        <v>267</v>
      </c>
      <c r="F5" s="101" t="s">
        <v>266</v>
      </c>
      <c r="G5" s="83" t="str">
        <f>CONCATENATE(C5,"_",D5)</f>
        <v>_02_Recursos_y_Servicios</v>
      </c>
      <c r="I5" s="341"/>
      <c r="J5" s="342"/>
      <c r="K5" s="342"/>
      <c r="L5" s="343"/>
      <c r="M5" s="86"/>
      <c r="N5" s="108" t="s">
        <v>278</v>
      </c>
      <c r="O5" s="114" t="s">
        <v>280</v>
      </c>
      <c r="P5" s="86"/>
      <c r="Q5" s="165" t="s">
        <v>524</v>
      </c>
      <c r="R5" s="163" t="s">
        <v>1761</v>
      </c>
      <c r="S5" s="699"/>
      <c r="T5" s="345" t="s">
        <v>1256</v>
      </c>
      <c r="U5" s="237">
        <v>2</v>
      </c>
      <c r="V5" s="513">
        <v>500</v>
      </c>
      <c r="W5" s="254" t="s">
        <v>1104</v>
      </c>
      <c r="X5" s="277" t="s">
        <v>764</v>
      </c>
      <c r="Y5" s="246" t="str">
        <f t="shared" ref="Y5:Y15" si="3">CONCATENATE(V5,"-",W5,"-",X5)</f>
        <v>500-SAAPA TA-SAAPA Transporte Aéreo</v>
      </c>
      <c r="Z5" s="352">
        <v>74</v>
      </c>
      <c r="AA5" s="260" t="s">
        <v>902</v>
      </c>
      <c r="AB5" s="264" t="s">
        <v>586</v>
      </c>
      <c r="AC5" s="271" t="str">
        <f t="shared" ref="AC5:AC13" si="4">CONCATENATE(TEXT(Z5,"000"),"-",AA5,"-",AB5)</f>
        <v xml:space="preserve">074-SIR-CCT-Cobranza Cartera Tradicional </v>
      </c>
      <c r="AD5" s="378">
        <v>163</v>
      </c>
      <c r="AE5" s="274" t="s">
        <v>1057</v>
      </c>
      <c r="AF5" s="276" t="s">
        <v>606</v>
      </c>
      <c r="AG5" s="249" t="str">
        <f t="shared" ref="AG5:AG55" si="5">CONCATENATE(AD5,"-",AE5,"-",AF5)</f>
        <v>163-ALTA_DE_USUARIOS (PERCLA)-Alta de Usuarios</v>
      </c>
      <c r="AH5" s="511">
        <v>217</v>
      </c>
      <c r="AI5" s="254" t="s">
        <v>1067</v>
      </c>
      <c r="AJ5" s="276" t="s">
        <v>817</v>
      </c>
      <c r="AK5" s="249" t="str">
        <f t="shared" si="0"/>
        <v>217-VOCE-Validador de Operaciones de Comercio Exterior</v>
      </c>
      <c r="AL5" s="347">
        <v>174</v>
      </c>
      <c r="AM5" s="274" t="s">
        <v>865</v>
      </c>
      <c r="AN5" s="276" t="s">
        <v>683</v>
      </c>
      <c r="AO5" s="249" t="str">
        <f t="shared" ref="AO5:AO32" si="6">CONCATENATE(AL5,"-",AM5,"-",AN5)</f>
        <v>174-CROSSCHECKING-Crosschecking</v>
      </c>
      <c r="AP5" s="388">
        <v>623</v>
      </c>
      <c r="AQ5" s="254" t="s">
        <v>53</v>
      </c>
      <c r="AR5" s="276" t="s">
        <v>618</v>
      </c>
      <c r="AS5" s="249" t="str">
        <f t="shared" ref="AS5:AS15" si="7">CONCATENATE(AP5,"-",AQ5,"-",AR5)</f>
        <v>623-ECU-Estructura de Cumplimiento</v>
      </c>
      <c r="AT5" s="244"/>
      <c r="AU5" s="243"/>
      <c r="AV5" s="232"/>
      <c r="AW5" s="247" t="str">
        <f>CONCATENATE(AT5,"-",AU5,"-",AV5)</f>
        <v>--</v>
      </c>
      <c r="AX5" s="358">
        <v>781</v>
      </c>
      <c r="AY5" s="260" t="s">
        <v>786</v>
      </c>
      <c r="AZ5" s="264" t="s">
        <v>786</v>
      </c>
      <c r="BA5" s="271" t="str">
        <f t="shared" ref="BA5:BA20" si="8">CONCATENATE(TEXT(AX5,"000"),"-",AY5,"-",AZ5)</f>
        <v>781-FATCA-FATCA</v>
      </c>
      <c r="BB5" s="519">
        <v>75</v>
      </c>
      <c r="BC5" s="284" t="s">
        <v>957</v>
      </c>
      <c r="BD5" s="285" t="s">
        <v>642</v>
      </c>
      <c r="BE5" s="271" t="str">
        <f t="shared" ref="BE5:BE17" si="9">CONCATENATE(TEXT(BB5,"000"),"-",BC5,"-",BD5)</f>
        <v>075-CONSULTA CU-Consulta de Declaraciones y Pagos (Esquema anterior) y NEP (Local, Regional y Central)</v>
      </c>
      <c r="BF5" s="362">
        <v>88</v>
      </c>
      <c r="BG5" s="284" t="s">
        <v>777</v>
      </c>
      <c r="BH5" s="285" t="s">
        <v>751</v>
      </c>
      <c r="BI5" s="271" t="str">
        <f t="shared" ref="BI5:BI38" si="10">CONCATENATE(TEXT(BF5,"000"),"-",BG5,"-",BH5)</f>
        <v>088-DIM-Declaración Informativa Múltiple DIM</v>
      </c>
      <c r="BJ5" s="530">
        <v>77</v>
      </c>
      <c r="BK5" s="260" t="s">
        <v>834</v>
      </c>
      <c r="BL5" s="264" t="s">
        <v>579</v>
      </c>
      <c r="BM5" s="271" t="str">
        <f t="shared" ref="BM5:BM21" si="11">CONCATENATE(TEXT(BJ5,"000"),"-",BK5,"-",BL5)</f>
        <v xml:space="preserve">077-CDMWEB-Consulta de Devoluciones Manuales Web </v>
      </c>
      <c r="BN5" s="352">
        <v>794</v>
      </c>
      <c r="BO5" s="254" t="s">
        <v>627</v>
      </c>
      <c r="BP5" s="264" t="s">
        <v>627</v>
      </c>
      <c r="BQ5" s="271" t="str">
        <f t="shared" ref="BQ5:BQ15" si="12">CONCATENATE(TEXT(BN5,"000"),"-",BO5,"-",BP5)</f>
        <v>794-ARA y ARA_WEB-ARA y ARA_WEB</v>
      </c>
      <c r="BR5" s="510">
        <v>612</v>
      </c>
      <c r="BS5" s="274" t="s">
        <v>1398</v>
      </c>
      <c r="BT5" s="269" t="s">
        <v>1403</v>
      </c>
      <c r="BU5" s="533" t="str">
        <f t="shared" si="1"/>
        <v>612-PORTAL_PRIVADO_CONSULTA CFDI-Portal Privado del Contribuyente - Consulta de CFDI's</v>
      </c>
      <c r="BV5" s="530">
        <v>17</v>
      </c>
      <c r="BW5" s="260" t="s">
        <v>845</v>
      </c>
      <c r="BX5" s="264" t="s">
        <v>645</v>
      </c>
      <c r="BY5" s="533" t="str">
        <f t="shared" ref="BY5:BY28" si="13">CONCATENATE(TEXT(BV5,"000"),"-",BW5,"-",BX5)</f>
        <v>017-CORUS (IDC)-Control y Registro de Usuarios</v>
      </c>
      <c r="BZ5" s="238"/>
      <c r="CA5" s="226"/>
      <c r="CB5" s="234"/>
      <c r="CC5" s="233" t="str">
        <f>CONCATENATE(BZ5,"-",CA5,"-",CB5)</f>
        <v>--</v>
      </c>
      <c r="CD5" s="364">
        <v>832</v>
      </c>
      <c r="CE5" s="254" t="s">
        <v>988</v>
      </c>
      <c r="CF5" s="276" t="s">
        <v>1516</v>
      </c>
      <c r="CG5" s="533" t="str">
        <f t="shared" ref="CG5:CG22" si="14">CONCATENATE(TEXT(CD5,"000"),"-",CE5,"-",CF5)</f>
        <v>832-PLANT-MATCE - Plantillador</v>
      </c>
      <c r="CH5" s="238"/>
      <c r="CI5" s="226"/>
      <c r="CJ5" s="234"/>
      <c r="CK5" s="290" t="str">
        <f>CONCATENATE(CH5,"-",CI5,"-",CJ5)</f>
        <v>--</v>
      </c>
      <c r="CL5" s="336">
        <v>34</v>
      </c>
      <c r="CM5" s="260" t="s">
        <v>1125</v>
      </c>
      <c r="CN5" s="264" t="s">
        <v>628</v>
      </c>
      <c r="CO5" s="533" t="str">
        <f t="shared" ref="CO5:CO13" si="15">CONCATENATE(TEXT(CL5,"000"),"-",CM5,"-",CN5)</f>
        <v>034-NV LOCAL ALR-Notificación Verificación Local de Recaudación</v>
      </c>
      <c r="CP5" s="261"/>
      <c r="CQ5" s="243"/>
      <c r="CR5" s="235"/>
      <c r="CS5" s="250" t="str">
        <f>CONCATENATE(CP5,"-",CQ5,"-",CR5)</f>
        <v>--</v>
      </c>
      <c r="CT5" s="296"/>
      <c r="CU5" s="297"/>
      <c r="CV5" s="232"/>
      <c r="CW5" s="283" t="str">
        <f>CONCATENATE(CT5,"-",CU5,"-",CV5)</f>
        <v>--</v>
      </c>
      <c r="CX5" s="369">
        <v>297</v>
      </c>
      <c r="CY5" s="260" t="s">
        <v>1527</v>
      </c>
      <c r="CZ5" s="264" t="s">
        <v>1528</v>
      </c>
      <c r="DA5" s="533" t="str">
        <f t="shared" ref="DA5:DA25" si="16">CONCATENATE(TEXT(CX5,"000"),"-",CY5,"-",CZ5)</f>
        <v>297-AGS-HRMS-AGS-HRMS
Solución Integral</v>
      </c>
      <c r="DB5" s="359">
        <v>81</v>
      </c>
      <c r="DC5" s="284" t="s">
        <v>971</v>
      </c>
      <c r="DD5" s="528" t="s">
        <v>568</v>
      </c>
      <c r="DE5" s="533" t="str">
        <f t="shared" si="2"/>
        <v>081-CONTABILIDAD NEPE-Contabilidad del Nuevo Esquema de Pagos Electrónicos.</v>
      </c>
      <c r="DF5" s="258"/>
      <c r="DG5" s="260"/>
      <c r="DH5" s="264"/>
      <c r="DI5" s="250" t="str">
        <f>CONCATENATE(DF5,"-",DG5,"-",DH5)</f>
        <v>--</v>
      </c>
      <c r="DJ5" s="539">
        <v>23</v>
      </c>
      <c r="DK5" s="260" t="s">
        <v>914</v>
      </c>
      <c r="DL5" s="264" t="s">
        <v>603</v>
      </c>
      <c r="DM5" s="533" t="str">
        <f t="shared" ref="DM5:DM26" si="17">CONCATENATE(TEXT(DJ5,"000"),"-",DK5,"-",DL5)</f>
        <v>023-DARIO-RFC-DARIO - RFC</v>
      </c>
      <c r="DN5" s="339">
        <v>685</v>
      </c>
      <c r="DO5" s="260" t="s">
        <v>1038</v>
      </c>
      <c r="DP5" s="264" t="s">
        <v>740</v>
      </c>
      <c r="DQ5" s="533" t="str">
        <f t="shared" ref="DQ5:DQ34" si="18">CONCATENATE(TEXT(DN5,"000"),"-",DO5,"-",DP5)</f>
        <v>685-SAIMYP-Sistema Automatizado Integral de Marbetes y Precintos</v>
      </c>
      <c r="DR5" s="238"/>
      <c r="DS5" s="226"/>
      <c r="DT5" s="232"/>
      <c r="DU5" s="283" t="str">
        <f>CONCATENATE(DR5,"-",DS5,"-",DT5)</f>
        <v>--</v>
      </c>
      <c r="DV5" s="375">
        <v>396</v>
      </c>
      <c r="DW5" s="260" t="s">
        <v>1010</v>
      </c>
      <c r="DX5" s="264" t="s">
        <v>584</v>
      </c>
      <c r="DY5" s="533" t="str">
        <f t="shared" ref="DY5:DY20" si="19">CONCATENATE(TEXT(DV5,"000"),"-",DW5,"-",DX5)</f>
        <v>396-REPUVE-Consulta del Patrón Vehicular de REPUVE</v>
      </c>
      <c r="DZ5" s="520">
        <v>222</v>
      </c>
      <c r="EA5" s="284" t="s">
        <v>1261</v>
      </c>
      <c r="EB5" s="285" t="s">
        <v>1559</v>
      </c>
      <c r="EC5" s="533" t="str">
        <f t="shared" ref="EC5:EC38" si="20">CONCATENATE(TEXT(DZ5,"000"),"-",EA5,"-",EB5)</f>
        <v>222-ARC-JUPITER
Archivo</v>
      </c>
      <c r="ED5" s="375">
        <v>458</v>
      </c>
      <c r="EE5" s="260" t="s">
        <v>1015</v>
      </c>
      <c r="EF5" s="264" t="s">
        <v>682</v>
      </c>
      <c r="EG5" s="533" t="str">
        <f t="shared" ref="EG5:EG35" si="21">CONCATENATE(TEXT(ED5,"000"),"-",EE5,"-",EF5)</f>
        <v>458-GEN_MAT-Harvest Generación de Matriz de Cambios</v>
      </c>
      <c r="EH5" s="258"/>
      <c r="EI5" s="260"/>
      <c r="EJ5" s="264"/>
      <c r="EK5" s="250" t="str">
        <f>CONCATENATE(EH5,"-",EI5,"-",EJ5)</f>
        <v>--</v>
      </c>
      <c r="EL5" s="258"/>
      <c r="EM5" s="260"/>
      <c r="EN5" s="264"/>
      <c r="EO5" s="250" t="str">
        <f>CONCATENATE(EL5,"-",EM5,"-",EN5)</f>
        <v>--</v>
      </c>
    </row>
    <row r="6" spans="2:145" s="89" customFormat="1" ht="34.5" customHeight="1" thickBot="1" x14ac:dyDescent="0.3">
      <c r="B6" s="98"/>
      <c r="C6" s="99" t="s">
        <v>1132</v>
      </c>
      <c r="D6" s="330" t="s">
        <v>512</v>
      </c>
      <c r="E6" s="100" t="s">
        <v>268</v>
      </c>
      <c r="F6" s="101" t="s">
        <v>1287</v>
      </c>
      <c r="G6" s="83" t="str">
        <f>CONCATENATE(C6,"_",D6)</f>
        <v>_03_Cobranza</v>
      </c>
      <c r="I6" s="17"/>
      <c r="J6" s="17"/>
      <c r="K6" s="17"/>
      <c r="L6" s="17"/>
      <c r="M6" s="86"/>
      <c r="N6" s="108" t="s">
        <v>124</v>
      </c>
      <c r="O6" s="114" t="s">
        <v>487</v>
      </c>
      <c r="P6" s="86"/>
      <c r="Q6" s="108" t="s">
        <v>1594</v>
      </c>
      <c r="R6" s="162" t="s">
        <v>1760</v>
      </c>
      <c r="S6" s="164"/>
      <c r="T6" s="350" t="s">
        <v>1259</v>
      </c>
      <c r="U6" s="237">
        <v>3</v>
      </c>
      <c r="V6" s="513">
        <v>545</v>
      </c>
      <c r="W6" s="333" t="s">
        <v>730</v>
      </c>
      <c r="X6" s="287" t="s">
        <v>730</v>
      </c>
      <c r="Y6" s="246" t="str">
        <f t="shared" si="3"/>
        <v>545-MORSA IVA 2.0-MORSA IVA 2.0</v>
      </c>
      <c r="Z6" s="352">
        <v>594</v>
      </c>
      <c r="AA6" s="260" t="s">
        <v>903</v>
      </c>
      <c r="AB6" s="264" t="s">
        <v>615</v>
      </c>
      <c r="AC6" s="271" t="str">
        <f t="shared" si="4"/>
        <v>594-Condonaciones-Condonación de Adeudos</v>
      </c>
      <c r="AD6" s="378">
        <v>172</v>
      </c>
      <c r="AE6" s="483" t="s">
        <v>843</v>
      </c>
      <c r="AF6" s="276" t="s">
        <v>620</v>
      </c>
      <c r="AG6" s="249" t="str">
        <f t="shared" si="5"/>
        <v>172-CRP-Consulta Remota de Pedimentos</v>
      </c>
      <c r="AH6" s="348">
        <v>411</v>
      </c>
      <c r="AI6" s="254" t="s">
        <v>885</v>
      </c>
      <c r="AJ6" s="277" t="s">
        <v>721</v>
      </c>
      <c r="AK6" s="249" t="str">
        <f t="shared" si="0"/>
        <v>411-INTERFASE SAAI - SAAAPA-Interfase SAAI-SAAPA</v>
      </c>
      <c r="AL6" s="347">
        <v>176</v>
      </c>
      <c r="AM6" s="254" t="s">
        <v>867</v>
      </c>
      <c r="AN6" s="276" t="s">
        <v>1251</v>
      </c>
      <c r="AO6" s="249" t="str">
        <f t="shared" si="6"/>
        <v>176-CIITEV-Encuesta de Atención del Centro de Importación e Internación Temporal de Vehiculos</v>
      </c>
      <c r="AP6" s="388">
        <v>627</v>
      </c>
      <c r="AQ6" s="254" t="s">
        <v>1077</v>
      </c>
      <c r="AR6" s="264" t="s">
        <v>657</v>
      </c>
      <c r="AS6" s="249" t="str">
        <f t="shared" si="7"/>
        <v>627-R32D-Opinión del Cumplimiento del Contribuyente</v>
      </c>
      <c r="AT6" s="244"/>
      <c r="AU6" s="243"/>
      <c r="AV6" s="232"/>
      <c r="AW6" s="247" t="str">
        <f>CONCATENATE(AT6,"-",AU6,"-",AV6)</f>
        <v>--</v>
      </c>
      <c r="AX6" s="358">
        <v>826</v>
      </c>
      <c r="AY6" s="260" t="s">
        <v>1582</v>
      </c>
      <c r="AZ6" s="264" t="s">
        <v>790</v>
      </c>
      <c r="BA6" s="271" t="str">
        <f t="shared" si="8"/>
        <v>826-Forma_63-Forma 63 “Declaración Informativa de los Regímenes Fiscales Preferentes”</v>
      </c>
      <c r="BB6" s="519">
        <v>78</v>
      </c>
      <c r="BC6" s="284" t="s">
        <v>1396</v>
      </c>
      <c r="BD6" s="285" t="s">
        <v>1395</v>
      </c>
      <c r="BE6" s="271" t="str">
        <f t="shared" si="9"/>
        <v>078-CONSUL_RETENS-Consulta de Retenidos (Esquema anterior)</v>
      </c>
      <c r="BF6" s="362">
        <v>90</v>
      </c>
      <c r="BG6" s="284" t="s">
        <v>935</v>
      </c>
      <c r="BH6" s="285" t="s">
        <v>768</v>
      </c>
      <c r="BI6" s="271" t="str">
        <f t="shared" si="10"/>
        <v>090-DIMM-Declaraciones Informativas en Medios Magnéticos (DIMM)</v>
      </c>
      <c r="BJ6" s="530">
        <v>97</v>
      </c>
      <c r="BK6" s="260" t="s">
        <v>836</v>
      </c>
      <c r="BL6" s="264" t="s">
        <v>626</v>
      </c>
      <c r="BM6" s="271" t="str">
        <f t="shared" si="11"/>
        <v xml:space="preserve">097-SIR/DyC-Devoluciones y Compensaciones </v>
      </c>
      <c r="BN6" s="352">
        <v>795</v>
      </c>
      <c r="BO6" s="254" t="s">
        <v>638</v>
      </c>
      <c r="BP6" s="264" t="s">
        <v>638</v>
      </c>
      <c r="BQ6" s="271" t="str">
        <f t="shared" si="12"/>
        <v>795-MAEFIEL-MAEFIEL</v>
      </c>
      <c r="BR6" s="510">
        <v>613</v>
      </c>
      <c r="BS6" s="274" t="s">
        <v>1399</v>
      </c>
      <c r="BT6" s="269" t="s">
        <v>1404</v>
      </c>
      <c r="BU6" s="533" t="str">
        <f t="shared" si="1"/>
        <v>613-PORTAL_PUBLICO-Portal Público del Contribuyente - Verificación de Comprobantes Fiscales por Internet</v>
      </c>
      <c r="BV6" s="530">
        <v>19</v>
      </c>
      <c r="BW6" s="260" t="s">
        <v>846</v>
      </c>
      <c r="BX6" s="264" t="s">
        <v>669</v>
      </c>
      <c r="BY6" s="533" t="str">
        <f t="shared" si="13"/>
        <v>019-SECREFI-Control y Seguimiento 2a. Etapa</v>
      </c>
      <c r="BZ6" s="231"/>
      <c r="CA6" s="230"/>
      <c r="CB6" s="232"/>
      <c r="CC6" s="233" t="str">
        <f>CONCATENATE(BZ6,"-",CA6,"-",CB6)</f>
        <v>--</v>
      </c>
      <c r="CD6" s="379">
        <v>887</v>
      </c>
      <c r="CE6" s="274" t="s">
        <v>1055</v>
      </c>
      <c r="CF6" s="276" t="s">
        <v>1517</v>
      </c>
      <c r="CG6" s="533" t="str">
        <f t="shared" si="14"/>
        <v>887-TCO_PITA-Tablero de Control Operativo de PITA</v>
      </c>
      <c r="CH6" s="231"/>
      <c r="CI6" s="230"/>
      <c r="CJ6" s="232"/>
      <c r="CK6" s="290" t="str">
        <f>CONCATENATE(CH6,"-",CI6,"-",CJ6)</f>
        <v>--</v>
      </c>
      <c r="CL6" s="336">
        <v>54</v>
      </c>
      <c r="CM6" s="260" t="s">
        <v>1128</v>
      </c>
      <c r="CN6" s="264" t="s">
        <v>661</v>
      </c>
      <c r="CO6" s="533" t="str">
        <f t="shared" si="15"/>
        <v>054-SIRREF-Sistema de Retroalimentación de Resultados de las Entidades Federativas</v>
      </c>
      <c r="CP6" s="244"/>
      <c r="CQ6" s="243"/>
      <c r="CR6" s="235"/>
      <c r="CS6" s="250" t="str">
        <f>CONCATENATE(CP6,"-",CQ6,"-",CR6)</f>
        <v>--</v>
      </c>
      <c r="CT6" s="244"/>
      <c r="CU6" s="243"/>
      <c r="CV6" s="232"/>
      <c r="CW6" s="283" t="str">
        <f>CONCATENATE(CT6,"-",CU6,"-",CV6)</f>
        <v>--</v>
      </c>
      <c r="CX6" s="369">
        <v>299</v>
      </c>
      <c r="CY6" s="260" t="s">
        <v>1529</v>
      </c>
      <c r="CZ6" s="264" t="s">
        <v>1530</v>
      </c>
      <c r="DA6" s="533" t="str">
        <f t="shared" si="16"/>
        <v>299-AGS-FSCM-AGS-FSCM
Solución Integral</v>
      </c>
      <c r="DB6" s="392">
        <v>83</v>
      </c>
      <c r="DC6" s="284" t="s">
        <v>932</v>
      </c>
      <c r="DD6" s="285" t="s">
        <v>693</v>
      </c>
      <c r="DE6" s="533" t="str">
        <f t="shared" si="2"/>
        <v>083-CONT_CENT-Contabilidad Central (Esquema anterior)</v>
      </c>
      <c r="DF6" s="258"/>
      <c r="DG6" s="254"/>
      <c r="DH6" s="264"/>
      <c r="DI6" s="250" t="str">
        <f>CONCATENATE(DF6,"-",DG6,"-",DH6)</f>
        <v>--</v>
      </c>
      <c r="DJ6" s="539">
        <v>28</v>
      </c>
      <c r="DK6" s="260" t="s">
        <v>915</v>
      </c>
      <c r="DL6" s="264" t="s">
        <v>610</v>
      </c>
      <c r="DM6" s="533" t="str">
        <f t="shared" si="17"/>
        <v>028-EXTMOVGC-Extracción de movimientos de GC para ALAC´s</v>
      </c>
      <c r="DN6" s="340">
        <v>704</v>
      </c>
      <c r="DO6" s="260" t="s">
        <v>842</v>
      </c>
      <c r="DP6" s="264" t="s">
        <v>592</v>
      </c>
      <c r="DQ6" s="533" t="str">
        <f t="shared" si="18"/>
        <v>704-MAT BUZÓN-Buzón Tributario</v>
      </c>
      <c r="DR6" s="238"/>
      <c r="DS6" s="226"/>
      <c r="DT6" s="234"/>
      <c r="DU6" s="283" t="str">
        <f>CONCATENATE(DR6,"-",DS6,"-",DT6)</f>
        <v>--</v>
      </c>
      <c r="DV6" s="339">
        <v>406</v>
      </c>
      <c r="DW6" s="260" t="s">
        <v>854</v>
      </c>
      <c r="DX6" s="264" t="s">
        <v>769</v>
      </c>
      <c r="DY6" s="533" t="str">
        <f t="shared" si="19"/>
        <v>406-SISE-Sistema de Seguridad para el Monitoreo de Aplicaciones</v>
      </c>
      <c r="DZ6" s="520">
        <v>223</v>
      </c>
      <c r="EA6" s="284" t="s">
        <v>1262</v>
      </c>
      <c r="EB6" s="285" t="s">
        <v>1560</v>
      </c>
      <c r="EC6" s="533" t="str">
        <f t="shared" si="20"/>
        <v>223-AL-JUPITER
Asistencia Legal</v>
      </c>
      <c r="ED6" s="384">
        <v>505</v>
      </c>
      <c r="EE6" s="254" t="s">
        <v>1079</v>
      </c>
      <c r="EF6" s="264" t="s">
        <v>703</v>
      </c>
      <c r="EG6" s="533" t="str">
        <f t="shared" si="21"/>
        <v>505-LCO-Lista de Control de Obligados</v>
      </c>
      <c r="EH6" s="258"/>
      <c r="EI6" s="254"/>
      <c r="EJ6" s="264"/>
      <c r="EK6" s="250" t="str">
        <f>CONCATENATE(EH6,"-",EI6,"-",EJ6)</f>
        <v>--</v>
      </c>
      <c r="EL6" s="258"/>
      <c r="EM6" s="254"/>
      <c r="EN6" s="264"/>
      <c r="EO6" s="250" t="str">
        <f>CONCATENATE(EL6,"-",EM6,"-",EN6)</f>
        <v>--</v>
      </c>
    </row>
    <row r="7" spans="2:145" s="89" customFormat="1" ht="35.25" customHeight="1" thickBot="1" x14ac:dyDescent="0.3">
      <c r="B7" s="98"/>
      <c r="C7" s="99" t="s">
        <v>1133</v>
      </c>
      <c r="D7" s="330" t="s">
        <v>1162</v>
      </c>
      <c r="E7" s="100" t="s">
        <v>115</v>
      </c>
      <c r="F7" s="101" t="s">
        <v>1288</v>
      </c>
      <c r="G7" s="83" t="str">
        <f>CONCATENATE(C7,"_",D7)</f>
        <v>_04_Control_de_Obligaciones</v>
      </c>
      <c r="I7" s="17"/>
      <c r="J7" s="17"/>
      <c r="K7" s="17"/>
      <c r="L7" s="17"/>
      <c r="M7" s="86"/>
      <c r="N7" s="108" t="s">
        <v>465</v>
      </c>
      <c r="O7" s="114" t="s">
        <v>145</v>
      </c>
      <c r="P7" s="86"/>
      <c r="Q7" s="108" t="s">
        <v>1470</v>
      </c>
      <c r="R7" s="163" t="s">
        <v>1761</v>
      </c>
      <c r="S7" s="164"/>
      <c r="T7" s="356" t="s">
        <v>1260</v>
      </c>
      <c r="U7" s="237">
        <v>4</v>
      </c>
      <c r="V7" s="513">
        <v>546</v>
      </c>
      <c r="W7" s="333" t="s">
        <v>726</v>
      </c>
      <c r="X7" s="287" t="s">
        <v>726</v>
      </c>
      <c r="Y7" s="246" t="str">
        <f t="shared" si="3"/>
        <v>546-MORSA ISR 1.0-MORSA ISR 1.0</v>
      </c>
      <c r="Z7" s="352">
        <v>644</v>
      </c>
      <c r="AA7" s="260" t="s">
        <v>904</v>
      </c>
      <c r="AB7" s="264" t="s">
        <v>624</v>
      </c>
      <c r="AC7" s="271" t="str">
        <f t="shared" si="4"/>
        <v>644-CREDFIS-Créditos Fiscales</v>
      </c>
      <c r="AD7" s="347">
        <v>173</v>
      </c>
      <c r="AE7" s="274" t="s">
        <v>864</v>
      </c>
      <c r="AF7" s="276" t="s">
        <v>672</v>
      </c>
      <c r="AG7" s="249" t="str">
        <f t="shared" si="5"/>
        <v>173-CONTINGENCIA-Contingencia</v>
      </c>
      <c r="AH7" s="348">
        <v>450</v>
      </c>
      <c r="AI7" s="254" t="s">
        <v>887</v>
      </c>
      <c r="AJ7" s="277" t="s">
        <v>783</v>
      </c>
      <c r="AK7" s="249" t="str">
        <f t="shared" si="0"/>
        <v>450-SAORS-Sistema de Análisis de Operaciones de Riesgo por Subvaluación</v>
      </c>
      <c r="AL7" s="347">
        <v>178</v>
      </c>
      <c r="AM7" s="274" t="s">
        <v>868</v>
      </c>
      <c r="AN7" s="276" t="s">
        <v>704</v>
      </c>
      <c r="AO7" s="249" t="str">
        <f t="shared" si="6"/>
        <v>178-DATA MART-Extractor de Información en las Aduanas para el Data Mart</v>
      </c>
      <c r="AP7" s="336">
        <v>698</v>
      </c>
      <c r="AQ7" s="260" t="s">
        <v>1028</v>
      </c>
      <c r="AR7" s="264" t="s">
        <v>636</v>
      </c>
      <c r="AS7" s="249" t="str">
        <f t="shared" si="7"/>
        <v>698-MAT-CO-MAT - Control de Obligaciones</v>
      </c>
      <c r="AT7" s="244"/>
      <c r="AU7" s="243"/>
      <c r="AV7" s="232"/>
      <c r="AW7" s="247" t="str">
        <f t="shared" ref="AW7:AW67" si="22">CONCATENATE(AT7,"-",AU7,"-",AV7)</f>
        <v>--</v>
      </c>
      <c r="AX7" s="358">
        <v>827</v>
      </c>
      <c r="AY7" s="260" t="s">
        <v>963</v>
      </c>
      <c r="AZ7" s="264" t="s">
        <v>729</v>
      </c>
      <c r="BA7" s="271" t="str">
        <f t="shared" si="8"/>
        <v>827-DIEMSE_ Documentos_Digitales-Declaración Informativa de Empresas Manufactureras, Maquiladoras y de Servicios de Exportación (Documentos Digitales)</v>
      </c>
      <c r="BB7" s="519">
        <v>79</v>
      </c>
      <c r="BC7" s="284" t="s">
        <v>931</v>
      </c>
      <c r="BD7" s="285" t="s">
        <v>673</v>
      </c>
      <c r="BE7" s="271" t="str">
        <f t="shared" si="9"/>
        <v>079-CONSULTA_TRA-Consulta de Transacciones</v>
      </c>
      <c r="BF7" s="362">
        <v>118</v>
      </c>
      <c r="BG7" s="284" t="s">
        <v>951</v>
      </c>
      <c r="BH7" s="285" t="s">
        <v>733</v>
      </c>
      <c r="BI7" s="271" t="str">
        <f t="shared" si="10"/>
        <v>118-DECLARANOT-Declaración Informativa de Notarios Públicos y demás Fedatarios.</v>
      </c>
      <c r="BJ7" s="336">
        <v>109</v>
      </c>
      <c r="BK7" s="260" t="s">
        <v>838</v>
      </c>
      <c r="BL7" s="264" t="s">
        <v>689</v>
      </c>
      <c r="BM7" s="271" t="str">
        <f t="shared" si="11"/>
        <v xml:space="preserve">109-RECEPCION_T-Recepción de Trámites </v>
      </c>
      <c r="BN7" s="352">
        <v>796</v>
      </c>
      <c r="BO7" s="254" t="s">
        <v>644</v>
      </c>
      <c r="BP7" s="264" t="s">
        <v>644</v>
      </c>
      <c r="BQ7" s="271" t="str">
        <f t="shared" si="12"/>
        <v>796-OCSP-OCSP</v>
      </c>
      <c r="BR7" s="510">
        <v>614</v>
      </c>
      <c r="BS7" s="274" t="s">
        <v>1400</v>
      </c>
      <c r="BT7" s="269" t="s">
        <v>1405</v>
      </c>
      <c r="BU7" s="533" t="str">
        <f t="shared" si="1"/>
        <v>614-RECEPCION CFDI-Servicio de Recepción, Timbrado y Almacenamiento de CFDI</v>
      </c>
      <c r="BV7" s="535">
        <v>39</v>
      </c>
      <c r="BW7" s="260" t="s">
        <v>849</v>
      </c>
      <c r="BX7" s="264" t="s">
        <v>739</v>
      </c>
      <c r="BY7" s="533" t="str">
        <f t="shared" si="13"/>
        <v>039-CPR'S-Registro de Contadores Públicos y Despachos</v>
      </c>
      <c r="BZ7" s="238"/>
      <c r="CA7" s="226"/>
      <c r="CB7" s="234"/>
      <c r="CC7" s="233" t="str">
        <f t="shared" ref="CC7:CC67" si="23">CONCATENATE(BZ7,"-",CA7,"-",CB7)</f>
        <v>--</v>
      </c>
      <c r="CD7" s="364">
        <v>919</v>
      </c>
      <c r="CE7" s="268" t="s">
        <v>1306</v>
      </c>
      <c r="CF7" s="269" t="s">
        <v>1518</v>
      </c>
      <c r="CG7" s="533" t="str">
        <f t="shared" si="14"/>
        <v>919-MATCE DODA-QR-MATCE - Documento de Operación de Despacho Aduanero QR Portal</v>
      </c>
      <c r="CH7" s="238"/>
      <c r="CI7" s="226"/>
      <c r="CJ7" s="234"/>
      <c r="CK7" s="290" t="str">
        <f t="shared" ref="CK7:CK67" si="24">CONCATENATE(CH7,"-",CI7,"-",CJ7)</f>
        <v>--</v>
      </c>
      <c r="CL7" s="339">
        <v>393</v>
      </c>
      <c r="CM7" s="260" t="s">
        <v>1127</v>
      </c>
      <c r="CN7" s="264" t="s">
        <v>653</v>
      </c>
      <c r="CO7" s="533" t="str">
        <f t="shared" si="15"/>
        <v>393-SIFEN-Sistema de Firmado Electrónico de Notificaciones</v>
      </c>
      <c r="CP7" s="244"/>
      <c r="CQ7" s="243"/>
      <c r="CR7" s="235"/>
      <c r="CS7" s="250" t="str">
        <f t="shared" ref="CS7:CS67" si="25">CONCATENATE(CP7,"-",CQ7,"-",CR7)</f>
        <v>--</v>
      </c>
      <c r="CT7" s="244"/>
      <c r="CU7" s="243"/>
      <c r="CV7" s="232"/>
      <c r="CW7" s="283" t="str">
        <f t="shared" ref="CW7:CW67" si="26">CONCATENATE(CT7,"-",CU7,"-",CV7)</f>
        <v>--</v>
      </c>
      <c r="CX7" s="367">
        <v>423</v>
      </c>
      <c r="CY7" s="260" t="s">
        <v>990</v>
      </c>
      <c r="CZ7" s="264" t="s">
        <v>702</v>
      </c>
      <c r="DA7" s="533" t="str">
        <f t="shared" si="16"/>
        <v>423-SGA-Sistema de Gestión de Acuerdos</v>
      </c>
      <c r="DB7" s="392">
        <v>85</v>
      </c>
      <c r="DC7" s="284" t="s">
        <v>933</v>
      </c>
      <c r="DD7" s="285" t="s">
        <v>698</v>
      </c>
      <c r="DE7" s="533" t="str">
        <f t="shared" si="2"/>
        <v>085-CONT_REG-Contabilidad Regional (Esquema anterior)</v>
      </c>
      <c r="DF7" s="258"/>
      <c r="DG7" s="254"/>
      <c r="DH7" s="264"/>
      <c r="DI7" s="250" t="str">
        <f t="shared" ref="DI7:DI66" si="27">CONCATENATE(DF7,"-",DG7,"-",DH7)</f>
        <v>--</v>
      </c>
      <c r="DJ7" s="539">
        <v>30</v>
      </c>
      <c r="DK7" s="260" t="s">
        <v>916</v>
      </c>
      <c r="DL7" s="264" t="s">
        <v>630</v>
      </c>
      <c r="DM7" s="533" t="str">
        <f t="shared" si="17"/>
        <v>030-EXTGC-Generación de Padrón de GC para AGGC</v>
      </c>
      <c r="DN7" s="340">
        <v>710</v>
      </c>
      <c r="DO7" s="260" t="s">
        <v>1039</v>
      </c>
      <c r="DP7" s="264" t="s">
        <v>748</v>
      </c>
      <c r="DQ7" s="533" t="str">
        <f t="shared" si="18"/>
        <v>710-SICODTAB-Sistema de Códigos de Tabacos</v>
      </c>
      <c r="DR7" s="238"/>
      <c r="DS7" s="226"/>
      <c r="DT7" s="232"/>
      <c r="DU7" s="283" t="str">
        <f t="shared" ref="DU7:DU67" si="28">CONCATENATE(DR7,"-",DS7,"-",DT7)</f>
        <v>--</v>
      </c>
      <c r="DV7" s="367">
        <v>433</v>
      </c>
      <c r="DW7" s="260" t="s">
        <v>993</v>
      </c>
      <c r="DX7" s="264" t="s">
        <v>687</v>
      </c>
      <c r="DY7" s="533" t="str">
        <f t="shared" si="19"/>
        <v>433-MMPI-Resultados Evaluación Minnesota Recursos Humanos</v>
      </c>
      <c r="DZ7" s="520">
        <v>224</v>
      </c>
      <c r="EA7" s="284" t="s">
        <v>994</v>
      </c>
      <c r="EB7" s="285" t="s">
        <v>1561</v>
      </c>
      <c r="EC7" s="533" t="str">
        <f t="shared" si="20"/>
        <v>224-AP-JUPITER
Asuntos Penales</v>
      </c>
      <c r="ED7" s="384">
        <v>506</v>
      </c>
      <c r="EE7" s="254" t="s">
        <v>1080</v>
      </c>
      <c r="EF7" s="264" t="s">
        <v>737</v>
      </c>
      <c r="EG7" s="533" t="str">
        <f t="shared" si="21"/>
        <v>506-PPE-Personas Políticamente Expuestas (PPE-FPPE)</v>
      </c>
      <c r="EH7" s="258"/>
      <c r="EI7" s="254"/>
      <c r="EJ7" s="264"/>
      <c r="EK7" s="250" t="str">
        <f t="shared" ref="EK7:EK66" si="29">CONCATENATE(EH7,"-",EI7,"-",EJ7)</f>
        <v>--</v>
      </c>
      <c r="EL7" s="258"/>
      <c r="EM7" s="254"/>
      <c r="EN7" s="264"/>
      <c r="EO7" s="250" t="str">
        <f t="shared" ref="EO7:EO66" si="30">CONCATENATE(EL7,"-",EM7,"-",EN7)</f>
        <v>--</v>
      </c>
    </row>
    <row r="8" spans="2:145" s="89" customFormat="1" ht="30" customHeight="1" thickBot="1" x14ac:dyDescent="0.3">
      <c r="B8" s="98"/>
      <c r="C8" s="99" t="s">
        <v>1134</v>
      </c>
      <c r="D8" s="330" t="s">
        <v>1163</v>
      </c>
      <c r="E8" s="100" t="s">
        <v>116</v>
      </c>
      <c r="F8" s="101" t="s">
        <v>116</v>
      </c>
      <c r="G8" s="83" t="str">
        <f>CONCATENATE(C8,"_",D8)</f>
        <v>_05_Cuenta_Tributaria</v>
      </c>
      <c r="I8" s="160" t="s">
        <v>1590</v>
      </c>
      <c r="J8" s="160" t="s">
        <v>283</v>
      </c>
      <c r="K8" s="17"/>
      <c r="L8" s="17"/>
      <c r="M8" s="86"/>
      <c r="N8" s="108" t="s">
        <v>279</v>
      </c>
      <c r="O8" s="114" t="s">
        <v>281</v>
      </c>
      <c r="P8" s="86"/>
      <c r="Q8" s="108" t="s">
        <v>1598</v>
      </c>
      <c r="R8" s="163" t="s">
        <v>1761</v>
      </c>
      <c r="S8" s="164"/>
      <c r="T8" s="363" t="s">
        <v>1277</v>
      </c>
      <c r="U8" s="237">
        <v>5</v>
      </c>
      <c r="V8" s="513">
        <v>547</v>
      </c>
      <c r="W8" s="333" t="s">
        <v>723</v>
      </c>
      <c r="X8" s="287" t="s">
        <v>723</v>
      </c>
      <c r="Y8" s="246" t="str">
        <f t="shared" si="3"/>
        <v>547-MORSA IDE 1.0-MORSA IDE 1.0</v>
      </c>
      <c r="Z8" s="352">
        <v>666</v>
      </c>
      <c r="AA8" s="260" t="s">
        <v>1026</v>
      </c>
      <c r="AB8" s="264" t="s">
        <v>649</v>
      </c>
      <c r="AC8" s="271" t="str">
        <f t="shared" si="4"/>
        <v>666-MAT-CBZ-Modelo de Administración Tributaria de Cobranza</v>
      </c>
      <c r="AD8" s="347">
        <v>175</v>
      </c>
      <c r="AE8" s="274" t="s">
        <v>866</v>
      </c>
      <c r="AF8" s="276" t="s">
        <v>688</v>
      </c>
      <c r="AG8" s="249" t="str">
        <f t="shared" si="5"/>
        <v>175-SAAI-Despacho Aduanero</v>
      </c>
      <c r="AH8" s="348">
        <v>584</v>
      </c>
      <c r="AI8" s="260" t="s">
        <v>889</v>
      </c>
      <c r="AJ8" s="264" t="s">
        <v>782</v>
      </c>
      <c r="AK8" s="249" t="str">
        <f t="shared" si="0"/>
        <v>584-SAAAPA-Sistema de Análisis Automatizado a Priori Aduanal</v>
      </c>
      <c r="AL8" s="347">
        <v>194</v>
      </c>
      <c r="AM8" s="254" t="s">
        <v>875</v>
      </c>
      <c r="AN8" s="276" t="s">
        <v>1484</v>
      </c>
      <c r="AO8" s="249" t="str">
        <f t="shared" si="6"/>
        <v>194-SAPS-Sistema de Atención a planteamiento de Síndicos de Contribuyentes</v>
      </c>
      <c r="AP8" s="357">
        <v>724</v>
      </c>
      <c r="AQ8" s="254" t="s">
        <v>926</v>
      </c>
      <c r="AR8" s="264" t="s">
        <v>577</v>
      </c>
      <c r="AS8" s="249" t="str">
        <f t="shared" si="7"/>
        <v>724-BUSLOCALIDADES-Buscador de localidades sin acceso a internet</v>
      </c>
      <c r="AT8" s="244"/>
      <c r="AU8" s="243"/>
      <c r="AV8" s="232"/>
      <c r="AW8" s="247" t="str">
        <f>CONCATENATE(AT8,"-",AU8,"-",AV8)</f>
        <v>--</v>
      </c>
      <c r="AX8" s="358">
        <v>837</v>
      </c>
      <c r="AY8" s="260" t="s">
        <v>1583</v>
      </c>
      <c r="AZ8" s="264" t="s">
        <v>794</v>
      </c>
      <c r="BA8" s="271" t="str">
        <f t="shared" si="8"/>
        <v>837-Forma 81-Forma 81 “Declaración Informativa de Consorcio Petrolero”</v>
      </c>
      <c r="BB8" s="519">
        <v>89</v>
      </c>
      <c r="BC8" s="284" t="s">
        <v>934</v>
      </c>
      <c r="BD8" s="285" t="s">
        <v>762</v>
      </c>
      <c r="BE8" s="271" t="str">
        <f t="shared" si="9"/>
        <v>089-DEM PEMEX-Declaraciones Electrónicas (Esquema Anterior) Central y Regional (Declaraciones PEMEX)</v>
      </c>
      <c r="BF8" s="362">
        <v>125</v>
      </c>
      <c r="BG8" s="284" t="s">
        <v>949</v>
      </c>
      <c r="BH8" s="285" t="s">
        <v>755</v>
      </c>
      <c r="BI8" s="271" t="str">
        <f t="shared" si="10"/>
        <v>125-Forma 35-Declaración Informativa por Contraprestaciones o Donativos Recibidos Superiores a $ 100,000.00</v>
      </c>
      <c r="BJ8" s="336">
        <v>360</v>
      </c>
      <c r="BK8" s="260" t="s">
        <v>841</v>
      </c>
      <c r="BL8" s="264" t="s">
        <v>708</v>
      </c>
      <c r="BM8" s="271" t="str">
        <f t="shared" si="11"/>
        <v>360-SICODEV-Sistema de Control de Devoluciones</v>
      </c>
      <c r="BN8" s="352">
        <v>797</v>
      </c>
      <c r="BO8" s="254" t="s">
        <v>652</v>
      </c>
      <c r="BP8" s="264" t="s">
        <v>652</v>
      </c>
      <c r="BQ8" s="271" t="str">
        <f t="shared" si="12"/>
        <v>797-Recuperación de certificados-Recuperación de certificados</v>
      </c>
      <c r="BR8" s="510">
        <v>622</v>
      </c>
      <c r="BS8" s="274" t="s">
        <v>1401</v>
      </c>
      <c r="BT8" s="269" t="s">
        <v>1406</v>
      </c>
      <c r="BU8" s="533" t="str">
        <f t="shared" si="1"/>
        <v>622-Portal Empleados CFDI-Portal de Empleados: Consulta Central / Estadísticos</v>
      </c>
      <c r="BV8" s="530">
        <v>51</v>
      </c>
      <c r="BW8" s="260" t="s">
        <v>851</v>
      </c>
      <c r="BX8" s="264" t="s">
        <v>752</v>
      </c>
      <c r="BY8" s="533" t="str">
        <f t="shared" si="13"/>
        <v>051-SRCD-Sistema de Control de Registro de Denuncias</v>
      </c>
      <c r="BZ8" s="238"/>
      <c r="CA8" s="226"/>
      <c r="CB8" s="234"/>
      <c r="CC8" s="233" t="str">
        <f t="shared" si="23"/>
        <v>--</v>
      </c>
      <c r="CD8" s="448">
        <v>924</v>
      </c>
      <c r="CE8" s="515" t="s">
        <v>1316</v>
      </c>
      <c r="CF8" s="516" t="s">
        <v>1317</v>
      </c>
      <c r="CG8" s="533" t="str">
        <f t="shared" si="14"/>
        <v>924-ADUPORTAL-Portal de facilitación para el pasajero</v>
      </c>
      <c r="CH8" s="238"/>
      <c r="CI8" s="226"/>
      <c r="CJ8" s="234"/>
      <c r="CK8" s="290" t="str">
        <f t="shared" si="24"/>
        <v>--</v>
      </c>
      <c r="CL8" s="336">
        <v>687</v>
      </c>
      <c r="CM8" s="260" t="s">
        <v>1123</v>
      </c>
      <c r="CN8" s="264" t="s">
        <v>602</v>
      </c>
      <c r="CO8" s="533" t="str">
        <f t="shared" si="15"/>
        <v>687-MAT NyV-Modelo de Administración Tributaria Notificación y Verificación</v>
      </c>
      <c r="CP8" s="244"/>
      <c r="CQ8" s="243"/>
      <c r="CR8" s="235"/>
      <c r="CS8" s="250" t="str">
        <f t="shared" si="25"/>
        <v>--</v>
      </c>
      <c r="CT8" s="244"/>
      <c r="CU8" s="243"/>
      <c r="CV8" s="234"/>
      <c r="CW8" s="283" t="str">
        <f t="shared" si="26"/>
        <v>--</v>
      </c>
      <c r="CX8" s="367">
        <v>424</v>
      </c>
      <c r="CY8" s="260" t="s">
        <v>991</v>
      </c>
      <c r="CZ8" s="264" t="s">
        <v>716</v>
      </c>
      <c r="DA8" s="533" t="str">
        <f t="shared" si="16"/>
        <v>424-SSCL-Sistema de Seguimiento y Control de Licitaciones</v>
      </c>
      <c r="DB8" s="359">
        <v>157</v>
      </c>
      <c r="DC8" s="304" t="s">
        <v>972</v>
      </c>
      <c r="DD8" s="528" t="s">
        <v>582</v>
      </c>
      <c r="DE8" s="533" t="str">
        <f t="shared" si="2"/>
        <v>157-SI- GL-Contabilidad General</v>
      </c>
      <c r="DF8" s="258"/>
      <c r="DG8" s="254"/>
      <c r="DH8" s="264"/>
      <c r="DI8" s="250" t="str">
        <f t="shared" si="27"/>
        <v>--</v>
      </c>
      <c r="DJ8" s="539">
        <v>44</v>
      </c>
      <c r="DK8" s="260" t="s">
        <v>917</v>
      </c>
      <c r="DL8" s="264" t="s">
        <v>670</v>
      </c>
      <c r="DM8" s="533" t="str">
        <f t="shared" si="17"/>
        <v>044-Seguridad SIR-Seguridad para el Sistema Integral de Recaudación (SIR)</v>
      </c>
      <c r="DN8" s="352">
        <v>722</v>
      </c>
      <c r="DO8" s="254" t="s">
        <v>1052</v>
      </c>
      <c r="DP8" s="264" t="s">
        <v>745</v>
      </c>
      <c r="DQ8" s="533" t="str">
        <f t="shared" si="18"/>
        <v>722-PTSC_RFS-PTSC-RFS - Portal Mis Cuentas</v>
      </c>
      <c r="DR8" s="231"/>
      <c r="DS8" s="230"/>
      <c r="DT8" s="232"/>
      <c r="DU8" s="283" t="str">
        <f t="shared" si="28"/>
        <v>--</v>
      </c>
      <c r="DV8" s="367">
        <v>439</v>
      </c>
      <c r="DW8" s="260" t="s">
        <v>1006</v>
      </c>
      <c r="DX8" s="264" t="s">
        <v>1554</v>
      </c>
      <c r="DY8" s="533" t="str">
        <f t="shared" si="19"/>
        <v>439-SIPRE-Sistema de Procedimientos de Evaluación</v>
      </c>
      <c r="DZ8" s="520">
        <v>230</v>
      </c>
      <c r="EA8" s="284" t="s">
        <v>101</v>
      </c>
      <c r="EB8" s="285" t="s">
        <v>1562</v>
      </c>
      <c r="EC8" s="533" t="str">
        <f t="shared" si="20"/>
        <v>230-CA-JUPITER
Clasificación Arancelaria</v>
      </c>
      <c r="ED8" s="352">
        <v>686</v>
      </c>
      <c r="EE8" s="254" t="s">
        <v>1049</v>
      </c>
      <c r="EF8" s="264" t="s">
        <v>711</v>
      </c>
      <c r="EG8" s="533" t="str">
        <f t="shared" si="21"/>
        <v>686-MAT-PE-MAT – Portal para Empleados</v>
      </c>
      <c r="EH8" s="258"/>
      <c r="EI8" s="254"/>
      <c r="EJ8" s="264"/>
      <c r="EK8" s="250" t="str">
        <f t="shared" si="29"/>
        <v>--</v>
      </c>
      <c r="EL8" s="258"/>
      <c r="EM8" s="254"/>
      <c r="EN8" s="264"/>
      <c r="EO8" s="250" t="str">
        <f t="shared" si="30"/>
        <v>--</v>
      </c>
    </row>
    <row r="9" spans="2:145" s="89" customFormat="1" ht="34.5" customHeight="1" thickBot="1" x14ac:dyDescent="0.3">
      <c r="B9" s="98"/>
      <c r="C9" s="99" t="s">
        <v>1135</v>
      </c>
      <c r="D9" s="408" t="s">
        <v>1302</v>
      </c>
      <c r="E9" s="100" t="s">
        <v>1223</v>
      </c>
      <c r="F9" s="101" t="s">
        <v>140</v>
      </c>
      <c r="G9" s="83" t="str">
        <f t="shared" ref="G9:G34" si="31">CONCATENATE(C9,"_",D9)</f>
        <v>_06_Declaraciones_y_Pagos__Documentos_Digitales</v>
      </c>
      <c r="I9" s="94" t="s">
        <v>1617</v>
      </c>
      <c r="J9" s="87" t="s">
        <v>98</v>
      </c>
      <c r="K9" s="17"/>
      <c r="L9" s="17"/>
      <c r="M9" s="86"/>
      <c r="N9" s="108" t="s">
        <v>148</v>
      </c>
      <c r="O9" s="112" t="s">
        <v>144</v>
      </c>
      <c r="P9" s="86"/>
      <c r="Q9" s="108" t="s">
        <v>1595</v>
      </c>
      <c r="R9" s="162" t="s">
        <v>1760</v>
      </c>
      <c r="S9" s="684" t="s">
        <v>522</v>
      </c>
      <c r="T9" s="366" t="s">
        <v>1278</v>
      </c>
      <c r="U9" s="237">
        <v>6</v>
      </c>
      <c r="V9" s="514">
        <v>693</v>
      </c>
      <c r="W9" s="254" t="s">
        <v>861</v>
      </c>
      <c r="X9" s="264" t="s">
        <v>614</v>
      </c>
      <c r="Y9" s="246" t="str">
        <f t="shared" si="3"/>
        <v>693-SCCCyG-Sistema de Control de Cuentas de Créditos y Garantías</v>
      </c>
      <c r="Z9" s="352">
        <v>683</v>
      </c>
      <c r="AA9" s="254" t="s">
        <v>1027</v>
      </c>
      <c r="AB9" s="264" t="s">
        <v>666</v>
      </c>
      <c r="AC9" s="271" t="str">
        <f t="shared" si="4"/>
        <v>683-PDC-Relación de Contribuyentes Incumplidos</v>
      </c>
      <c r="AD9" s="347">
        <v>179</v>
      </c>
      <c r="AE9" s="254" t="s">
        <v>869</v>
      </c>
      <c r="AF9" s="276" t="s">
        <v>1252</v>
      </c>
      <c r="AG9" s="249" t="str">
        <f t="shared" si="5"/>
        <v>179-FEA-Firma Electronica Avanzada (FEA Aduanas)</v>
      </c>
      <c r="AH9" s="244"/>
      <c r="AI9" s="243"/>
      <c r="AJ9" s="234"/>
      <c r="AK9" s="233" t="str">
        <f t="shared" si="0"/>
        <v>--</v>
      </c>
      <c r="AL9" s="347">
        <v>198</v>
      </c>
      <c r="AM9" s="254" t="s">
        <v>876</v>
      </c>
      <c r="AN9" s="276" t="s">
        <v>810</v>
      </c>
      <c r="AO9" s="249" t="str">
        <f>CONCATENATE(AL9,"-",AM9,"-",AN9)</f>
        <v>198-SICA-Sistema Integral de Contabilidad Aduanera</v>
      </c>
      <c r="AP9" s="358">
        <v>783</v>
      </c>
      <c r="AQ9" s="260" t="s">
        <v>927</v>
      </c>
      <c r="AR9" s="264" t="s">
        <v>667</v>
      </c>
      <c r="AS9" s="249" t="str">
        <f t="shared" si="7"/>
        <v>783-PROPUESTA-Propuesta de Pago Trimestral para ISR e IVA</v>
      </c>
      <c r="AT9" s="244"/>
      <c r="AU9" s="243"/>
      <c r="AV9" s="232"/>
      <c r="AW9" s="247" t="str">
        <f t="shared" si="22"/>
        <v>--</v>
      </c>
      <c r="AX9" s="358">
        <v>852</v>
      </c>
      <c r="AY9" s="260" t="s">
        <v>968</v>
      </c>
      <c r="AZ9" s="264" t="s">
        <v>562</v>
      </c>
      <c r="BA9" s="271" t="str">
        <f t="shared" si="8"/>
        <v>852-VFSDD-Validador de Forma y Sintaxis Documentos Digitales</v>
      </c>
      <c r="BB9" s="520">
        <v>102</v>
      </c>
      <c r="BC9" s="284" t="s">
        <v>797</v>
      </c>
      <c r="BD9" s="285" t="s">
        <v>799</v>
      </c>
      <c r="BE9" s="271" t="str">
        <f t="shared" si="9"/>
        <v>102-IDE-Impresión de Declaraciones Electrónicas  (Esquema anterior)</v>
      </c>
      <c r="BF9" s="362">
        <v>126</v>
      </c>
      <c r="BG9" s="284" t="s">
        <v>954</v>
      </c>
      <c r="BH9" s="285" t="s">
        <v>1493</v>
      </c>
      <c r="BI9" s="271" t="str">
        <f t="shared" si="10"/>
        <v>126-Forma 43A-Aviso para la Aplicación de Estimulos a Entidades Federativas, Municipios y otros Organismos Públicos</v>
      </c>
      <c r="BJ9" s="336">
        <v>377</v>
      </c>
      <c r="BK9" s="260" t="s">
        <v>835</v>
      </c>
      <c r="BL9" s="264" t="s">
        <v>600</v>
      </c>
      <c r="BM9" s="271" t="str">
        <f t="shared" si="11"/>
        <v>377-CDAWEB-Consulta Web  de Devoluciones Automáticas</v>
      </c>
      <c r="BN9" s="352">
        <v>798</v>
      </c>
      <c r="BO9" s="254" t="s">
        <v>660</v>
      </c>
      <c r="BP9" s="264" t="s">
        <v>660</v>
      </c>
      <c r="BQ9" s="271" t="str">
        <f t="shared" si="12"/>
        <v>798-Selladora y Selladora WEB-Selladora y Selladora WEB</v>
      </c>
      <c r="BR9" s="510">
        <v>983</v>
      </c>
      <c r="BS9" s="260" t="s">
        <v>1509</v>
      </c>
      <c r="BT9" s="264" t="s">
        <v>1510</v>
      </c>
      <c r="BU9" s="533" t="str">
        <f t="shared" si="1"/>
        <v>983-PIAC-Plataforma de Inteligencia Analítica del Contribuyente</v>
      </c>
      <c r="BV9" s="530">
        <v>53</v>
      </c>
      <c r="BW9" s="260" t="s">
        <v>860</v>
      </c>
      <c r="BX9" s="264" t="s">
        <v>765</v>
      </c>
      <c r="BY9" s="533" t="str">
        <f t="shared" si="13"/>
        <v>053-SIMA-Sistema de Monitoreo de Auditoria</v>
      </c>
      <c r="BZ9" s="238"/>
      <c r="CA9" s="226"/>
      <c r="CB9" s="234"/>
      <c r="CC9" s="233" t="str">
        <f t="shared" si="23"/>
        <v>--</v>
      </c>
      <c r="CD9" s="364">
        <v>925</v>
      </c>
      <c r="CE9" s="268" t="s">
        <v>1337</v>
      </c>
      <c r="CF9" s="269" t="s">
        <v>1519</v>
      </c>
      <c r="CG9" s="533" t="str">
        <f t="shared" si="14"/>
        <v>925-MAT-CE-REC-MATCE - Reconocimiento Aduanero</v>
      </c>
      <c r="CH9" s="238"/>
      <c r="CI9" s="226"/>
      <c r="CJ9" s="234"/>
      <c r="CK9" s="290" t="str">
        <f t="shared" si="24"/>
        <v>--</v>
      </c>
      <c r="CL9" s="388">
        <v>719</v>
      </c>
      <c r="CM9" s="254" t="s">
        <v>1114</v>
      </c>
      <c r="CN9" s="264" t="s">
        <v>565</v>
      </c>
      <c r="CO9" s="533" t="str">
        <f t="shared" si="15"/>
        <v>719-DMMA-Diligenciador Móvil de Actos Administrativos</v>
      </c>
      <c r="CP9" s="244"/>
      <c r="CQ9" s="243"/>
      <c r="CR9" s="235"/>
      <c r="CS9" s="250" t="str">
        <f t="shared" si="25"/>
        <v>--</v>
      </c>
      <c r="CT9" s="244"/>
      <c r="CU9" s="243"/>
      <c r="CV9" s="232"/>
      <c r="CW9" s="283" t="str">
        <f t="shared" si="26"/>
        <v>--</v>
      </c>
      <c r="CX9" s="367">
        <v>425</v>
      </c>
      <c r="CY9" s="260" t="s">
        <v>992</v>
      </c>
      <c r="CZ9" s="264" t="s">
        <v>629</v>
      </c>
      <c r="DA9" s="533" t="str">
        <f t="shared" si="16"/>
        <v>425-EIDD-Evaluación EIDD 360°</v>
      </c>
      <c r="DB9" s="359">
        <v>712</v>
      </c>
      <c r="DC9" s="304" t="s">
        <v>1756</v>
      </c>
      <c r="DD9" s="528" t="s">
        <v>1756</v>
      </c>
      <c r="DE9" s="533" t="str">
        <f t="shared" si="2"/>
        <v>712-Reportes al Congreso-Reportes al Congreso</v>
      </c>
      <c r="DF9" s="332"/>
      <c r="DG9" s="254"/>
      <c r="DH9" s="264"/>
      <c r="DI9" s="250" t="str">
        <f t="shared" si="27"/>
        <v>--</v>
      </c>
      <c r="DJ9" s="539">
        <v>45</v>
      </c>
      <c r="DK9" s="260" t="s">
        <v>918</v>
      </c>
      <c r="DL9" s="264" t="s">
        <v>675</v>
      </c>
      <c r="DM9" s="533" t="str">
        <f t="shared" si="17"/>
        <v>045-Seguridad SIR - GC-Seguridad para el Sistema Integral de Recaudación (SIR) Grandes Contribuyentes</v>
      </c>
      <c r="DN9" s="358">
        <v>727</v>
      </c>
      <c r="DO9" s="260" t="s">
        <v>973</v>
      </c>
      <c r="DP9" s="264" t="s">
        <v>571</v>
      </c>
      <c r="DQ9" s="533" t="str">
        <f t="shared" si="18"/>
        <v>727-ACW-Administrador de Contenidos Web</v>
      </c>
      <c r="DR9" s="231"/>
      <c r="DS9" s="230"/>
      <c r="DT9" s="232"/>
      <c r="DU9" s="283" t="str">
        <f t="shared" si="28"/>
        <v>--</v>
      </c>
      <c r="DV9" s="372">
        <v>708</v>
      </c>
      <c r="DW9" s="268" t="s">
        <v>1012</v>
      </c>
      <c r="DX9" s="269" t="s">
        <v>663</v>
      </c>
      <c r="DY9" s="533" t="str">
        <f t="shared" si="19"/>
        <v>708-SP_PPMC-Soporte a PPMC</v>
      </c>
      <c r="DZ9" s="520">
        <v>235</v>
      </c>
      <c r="EA9" s="284" t="s">
        <v>1275</v>
      </c>
      <c r="EB9" s="285" t="s">
        <v>1563</v>
      </c>
      <c r="EC9" s="533" t="str">
        <f t="shared" si="20"/>
        <v>235-DONATARIAS-JUPITER
Donatarias Autorizadas</v>
      </c>
      <c r="ED9" s="374">
        <v>689</v>
      </c>
      <c r="EE9" s="302" t="s">
        <v>1011</v>
      </c>
      <c r="EF9" s="264" t="s">
        <v>632</v>
      </c>
      <c r="EG9" s="533" t="str">
        <f t="shared" si="21"/>
        <v>689-PORT_DMA-Portal de la ACDMA</v>
      </c>
      <c r="EH9" s="332"/>
      <c r="EI9" s="254"/>
      <c r="EJ9" s="264"/>
      <c r="EK9" s="250" t="str">
        <f t="shared" si="29"/>
        <v>--</v>
      </c>
      <c r="EL9" s="332"/>
      <c r="EM9" s="254"/>
      <c r="EN9" s="264"/>
      <c r="EO9" s="250" t="str">
        <f t="shared" si="30"/>
        <v>--</v>
      </c>
    </row>
    <row r="10" spans="2:145" s="89" customFormat="1" ht="90.75" thickBot="1" x14ac:dyDescent="0.3">
      <c r="B10" s="98"/>
      <c r="C10" s="99" t="s">
        <v>1136</v>
      </c>
      <c r="D10" s="330" t="s">
        <v>1165</v>
      </c>
      <c r="E10" s="100" t="s">
        <v>117</v>
      </c>
      <c r="F10" s="101" t="s">
        <v>1289</v>
      </c>
      <c r="G10" s="83" t="str">
        <f t="shared" si="31"/>
        <v>_07_Devoluciones_y_Compensaciones</v>
      </c>
      <c r="I10" s="94" t="s">
        <v>1618</v>
      </c>
      <c r="J10" s="87" t="s">
        <v>104</v>
      </c>
      <c r="K10" s="17"/>
      <c r="L10" s="17"/>
      <c r="M10" s="86"/>
      <c r="N10" s="109" t="s">
        <v>149</v>
      </c>
      <c r="O10" s="113" t="s">
        <v>147</v>
      </c>
      <c r="P10" s="86"/>
      <c r="Q10" s="108" t="s">
        <v>1596</v>
      </c>
      <c r="R10" s="163" t="s">
        <v>1761</v>
      </c>
      <c r="S10" s="698"/>
      <c r="T10" s="371" t="s">
        <v>1279</v>
      </c>
      <c r="U10" s="237">
        <v>7</v>
      </c>
      <c r="V10" s="513">
        <v>732</v>
      </c>
      <c r="W10" s="254" t="s">
        <v>1107</v>
      </c>
      <c r="X10" s="264" t="s">
        <v>583</v>
      </c>
      <c r="Y10" s="246" t="str">
        <f t="shared" si="3"/>
        <v>732-MONITOREO_DE_MEDIOS-Comunicación Institucional SAT: Solución integral automatizada para toma de decisiones basado en el análisis de información publicada en los medios noticiosos</v>
      </c>
      <c r="Z10" s="352">
        <v>787</v>
      </c>
      <c r="AA10" s="254" t="s">
        <v>1206</v>
      </c>
      <c r="AB10" s="264" t="s">
        <v>1207</v>
      </c>
      <c r="AC10" s="271" t="str">
        <f t="shared" si="4"/>
        <v>787-SubastaSAT_Nva_Versión-SubastaSAT Nueva Versión</v>
      </c>
      <c r="AD10" s="378">
        <v>180</v>
      </c>
      <c r="AE10" s="254" t="s">
        <v>1058</v>
      </c>
      <c r="AF10" s="276" t="s">
        <v>784</v>
      </c>
      <c r="AG10" s="249" t="str">
        <f t="shared" si="5"/>
        <v>180-FRAUDIX-Sistema de Autorizaciones para Pitex y Maquila</v>
      </c>
      <c r="AH10" s="244"/>
      <c r="AI10" s="243"/>
      <c r="AJ10" s="234"/>
      <c r="AK10" s="233" t="str">
        <f t="shared" si="0"/>
        <v>--</v>
      </c>
      <c r="AL10" s="348">
        <v>457</v>
      </c>
      <c r="AM10" s="254" t="s">
        <v>888</v>
      </c>
      <c r="AN10" s="277" t="s">
        <v>635</v>
      </c>
      <c r="AO10" s="249" t="str">
        <f t="shared" si="6"/>
        <v>457-CPED-Centro de Procesamiento Electrónico de Datos</v>
      </c>
      <c r="AP10" s="358">
        <v>840</v>
      </c>
      <c r="AQ10" s="260" t="s">
        <v>928</v>
      </c>
      <c r="AR10" s="264" t="s">
        <v>1487</v>
      </c>
      <c r="AS10" s="249" t="str">
        <f t="shared" si="7"/>
        <v>840-BUSFI-Buscador de zonas sin Servicios Financieros</v>
      </c>
      <c r="AT10" s="244"/>
      <c r="AU10" s="243"/>
      <c r="AV10" s="232"/>
      <c r="AW10" s="247" t="str">
        <f t="shared" si="22"/>
        <v>--</v>
      </c>
      <c r="AX10" s="358">
        <v>853</v>
      </c>
      <c r="AY10" s="260" t="s">
        <v>969</v>
      </c>
      <c r="AZ10" s="264" t="s">
        <v>563</v>
      </c>
      <c r="BA10" s="271" t="str">
        <f t="shared" si="8"/>
        <v>853-DD-PCC-Documentos Digitales - Portal del Contribuyente Consultas</v>
      </c>
      <c r="BB10" s="520">
        <v>104</v>
      </c>
      <c r="BC10" s="284" t="s">
        <v>936</v>
      </c>
      <c r="BD10" s="285" t="s">
        <v>807</v>
      </c>
      <c r="BE10" s="271" t="str">
        <f t="shared" si="9"/>
        <v xml:space="preserve">104-MODELO-Monitor de Lotes “Modelo” (NEPE) </v>
      </c>
      <c r="BF10" s="362">
        <v>332</v>
      </c>
      <c r="BG10" s="284" t="s">
        <v>952</v>
      </c>
      <c r="BH10" s="285" t="s">
        <v>747</v>
      </c>
      <c r="BI10" s="271" t="str">
        <f t="shared" si="10"/>
        <v>332-MULTI-IEPS-Declaración Informativa Múltiple del IEPS</v>
      </c>
      <c r="BJ10" s="336">
        <v>477</v>
      </c>
      <c r="BK10" s="531" t="s">
        <v>1503</v>
      </c>
      <c r="BL10" s="532" t="s">
        <v>1504</v>
      </c>
      <c r="BM10" s="271" t="str">
        <f t="shared" si="11"/>
        <v>477-REP_RECUADA-Repositorio Recaudación</v>
      </c>
      <c r="BN10" s="352">
        <v>830</v>
      </c>
      <c r="BO10" s="254" t="s">
        <v>1507</v>
      </c>
      <c r="BP10" s="264" t="s">
        <v>1218</v>
      </c>
      <c r="BQ10" s="271" t="str">
        <f t="shared" si="12"/>
        <v>830-Reingenieria PKI-Reingeniería PKI</v>
      </c>
      <c r="BR10" s="231"/>
      <c r="BS10" s="230"/>
      <c r="BT10" s="232"/>
      <c r="BU10" s="283" t="str">
        <f>CONCATENATE(BR10,"-",BS10,"-",BT10)</f>
        <v>--</v>
      </c>
      <c r="BV10" s="530">
        <v>56</v>
      </c>
      <c r="BW10" s="260" t="s">
        <v>855</v>
      </c>
      <c r="BX10" s="264" t="s">
        <v>770</v>
      </c>
      <c r="BY10" s="533" t="str">
        <f t="shared" si="13"/>
        <v>056-SIVAOF-Sistema de Validación de Órdenes de Fiscalización</v>
      </c>
      <c r="BZ10" s="238"/>
      <c r="CA10" s="226"/>
      <c r="CB10" s="234"/>
      <c r="CC10" s="233" t="str">
        <f t="shared" si="23"/>
        <v>--</v>
      </c>
      <c r="CD10" s="364">
        <v>928</v>
      </c>
      <c r="CE10" s="254" t="s">
        <v>1338</v>
      </c>
      <c r="CF10" s="269" t="s">
        <v>1520</v>
      </c>
      <c r="CG10" s="533" t="str">
        <f t="shared" si="14"/>
        <v>928-MATCE-CS-MATCE - Copia Simple</v>
      </c>
      <c r="CH10" s="238"/>
      <c r="CI10" s="226"/>
      <c r="CJ10" s="234"/>
      <c r="CK10" s="290" t="str">
        <f t="shared" si="24"/>
        <v>--</v>
      </c>
      <c r="CL10" s="352">
        <v>745</v>
      </c>
      <c r="CM10" s="254" t="s">
        <v>909</v>
      </c>
      <c r="CN10" s="264" t="s">
        <v>581</v>
      </c>
      <c r="CO10" s="533" t="str">
        <f t="shared" si="15"/>
        <v>745-NV_GESTOR-Gestor Documental  / Expediente Electrónico</v>
      </c>
      <c r="CP10" s="244"/>
      <c r="CQ10" s="243"/>
      <c r="CR10" s="235"/>
      <c r="CS10" s="250" t="str">
        <f t="shared" si="25"/>
        <v>--</v>
      </c>
      <c r="CT10" s="244"/>
      <c r="CU10" s="243"/>
      <c r="CV10" s="232"/>
      <c r="CW10" s="283" t="str">
        <f t="shared" si="26"/>
        <v>--</v>
      </c>
      <c r="CX10" s="367">
        <v>435</v>
      </c>
      <c r="CY10" s="260" t="s">
        <v>1759</v>
      </c>
      <c r="CZ10" s="264" t="s">
        <v>690</v>
      </c>
      <c r="DA10" s="533" t="str">
        <f t="shared" si="16"/>
        <v>435-APP-Sistema de Administración de Puestos y Publicación</v>
      </c>
      <c r="DB10" s="359">
        <v>986</v>
      </c>
      <c r="DC10" s="304" t="s">
        <v>1758</v>
      </c>
      <c r="DD10" s="528" t="s">
        <v>1757</v>
      </c>
      <c r="DE10" s="533" t="str">
        <f t="shared" si="2"/>
        <v>986-CR-Consolidación de la Recaudación</v>
      </c>
      <c r="DF10" s="332"/>
      <c r="DG10" s="254"/>
      <c r="DH10" s="264"/>
      <c r="DI10" s="250" t="str">
        <f t="shared" si="27"/>
        <v>--</v>
      </c>
      <c r="DJ10" s="346">
        <v>185</v>
      </c>
      <c r="DK10" s="254" t="s">
        <v>870</v>
      </c>
      <c r="DL10" s="276" t="s">
        <v>732</v>
      </c>
      <c r="DM10" s="533" t="str">
        <f t="shared" si="17"/>
        <v>185-RNIE-Padrón de Importadores</v>
      </c>
      <c r="DN10" s="458">
        <v>728</v>
      </c>
      <c r="DO10" s="260" t="s">
        <v>1297</v>
      </c>
      <c r="DP10" s="264" t="s">
        <v>1298</v>
      </c>
      <c r="DQ10" s="533" t="str">
        <f t="shared" si="18"/>
        <v xml:space="preserve">728-RISS-Régimen de Incorporación al Seguro Social (RISS-IMSS E INFONAVIT) </v>
      </c>
      <c r="DR10" s="231"/>
      <c r="DS10" s="230"/>
      <c r="DT10" s="232"/>
      <c r="DU10" s="283" t="str">
        <f t="shared" si="28"/>
        <v>--</v>
      </c>
      <c r="DV10" s="388">
        <v>752</v>
      </c>
      <c r="DW10" s="254" t="s">
        <v>1110</v>
      </c>
      <c r="DX10" s="264" t="s">
        <v>1113</v>
      </c>
      <c r="DY10" s="533" t="str">
        <f t="shared" si="19"/>
        <v>752-MARC-Modelo de Administración de Riesgo Corrupción</v>
      </c>
      <c r="DZ10" s="520">
        <v>242</v>
      </c>
      <c r="EA10" s="284" t="s">
        <v>1263</v>
      </c>
      <c r="EB10" s="285" t="s">
        <v>1564</v>
      </c>
      <c r="EC10" s="533" t="str">
        <f t="shared" si="20"/>
        <v>242-EXTHOR-JUPITER
Extracción Horizontal</v>
      </c>
      <c r="ED10" s="470">
        <v>721</v>
      </c>
      <c r="EE10" s="254" t="s">
        <v>1050</v>
      </c>
      <c r="EF10" s="264" t="s">
        <v>754</v>
      </c>
      <c r="EG10" s="533" t="str">
        <f t="shared" si="21"/>
        <v>721-PTSC_SEG-PTSC - Seguridad SIAT - Fase 3 (Integración de nuevas ligas)</v>
      </c>
      <c r="EH10" s="332"/>
      <c r="EI10" s="254"/>
      <c r="EJ10" s="264"/>
      <c r="EK10" s="250" t="str">
        <f t="shared" si="29"/>
        <v>--</v>
      </c>
      <c r="EL10" s="332"/>
      <c r="EM10" s="254"/>
      <c r="EN10" s="264"/>
      <c r="EO10" s="250" t="str">
        <f t="shared" si="30"/>
        <v>--</v>
      </c>
    </row>
    <row r="11" spans="2:145" s="89" customFormat="1" ht="61.5" customHeight="1" thickBot="1" x14ac:dyDescent="0.3">
      <c r="B11" s="98"/>
      <c r="C11" s="99" t="s">
        <v>1137</v>
      </c>
      <c r="D11" s="330" t="s">
        <v>511</v>
      </c>
      <c r="E11" s="100" t="s">
        <v>118</v>
      </c>
      <c r="F11" s="101" t="s">
        <v>141</v>
      </c>
      <c r="G11" s="83" t="str">
        <f t="shared" si="31"/>
        <v>_08_Fiscalización</v>
      </c>
      <c r="I11" s="94" t="s">
        <v>1619</v>
      </c>
      <c r="J11" s="87" t="s">
        <v>105</v>
      </c>
      <c r="K11" s="17"/>
      <c r="L11" s="17"/>
      <c r="M11" s="86"/>
      <c r="N11" s="120"/>
      <c r="O11" s="86"/>
      <c r="P11" s="86"/>
      <c r="Q11" s="147" t="s">
        <v>505</v>
      </c>
      <c r="R11" s="163" t="s">
        <v>1761</v>
      </c>
      <c r="S11" s="164"/>
      <c r="T11" s="376" t="s">
        <v>148</v>
      </c>
      <c r="U11" s="237">
        <v>8</v>
      </c>
      <c r="V11" s="513">
        <v>836</v>
      </c>
      <c r="W11" s="254" t="s">
        <v>1472</v>
      </c>
      <c r="X11" s="264" t="s">
        <v>1471</v>
      </c>
      <c r="Y11" s="246" t="str">
        <f t="shared" si="3"/>
        <v>836-SAGI-Sistema de Administración de Garantías IMMEX</v>
      </c>
      <c r="Z11" s="386">
        <v>816</v>
      </c>
      <c r="AA11" s="268" t="s">
        <v>1084</v>
      </c>
      <c r="AB11" s="269" t="s">
        <v>696</v>
      </c>
      <c r="AC11" s="271" t="str">
        <f t="shared" si="4"/>
        <v>816-COBRA-ODS de Cobranza</v>
      </c>
      <c r="AD11" s="378">
        <v>182</v>
      </c>
      <c r="AE11" s="254" t="s">
        <v>1059</v>
      </c>
      <c r="AF11" s="276" t="s">
        <v>1478</v>
      </c>
      <c r="AG11" s="249" t="str">
        <f t="shared" si="5"/>
        <v>182-IEE-Intersecretarias (Secretarias de Estado / Entidades Internas / Entidades Externas)</v>
      </c>
      <c r="AH11" s="244"/>
      <c r="AI11" s="243"/>
      <c r="AJ11" s="234"/>
      <c r="AK11" s="233" t="str">
        <f t="shared" si="0"/>
        <v>--</v>
      </c>
      <c r="AL11" s="384">
        <v>502</v>
      </c>
      <c r="AM11" s="254" t="s">
        <v>1103</v>
      </c>
      <c r="AN11" s="277" t="s">
        <v>741</v>
      </c>
      <c r="AO11" s="249" t="str">
        <f t="shared" si="6"/>
        <v>502-PNR-PNR - Passenger Name Record</v>
      </c>
      <c r="AP11" s="358">
        <v>872</v>
      </c>
      <c r="AQ11" s="254" t="s">
        <v>929</v>
      </c>
      <c r="AR11" s="277" t="s">
        <v>599</v>
      </c>
      <c r="AS11" s="249" t="str">
        <f t="shared" si="7"/>
        <v>872-CPRIV-Consulta de las Escuelas Privadas Verificadas</v>
      </c>
      <c r="AT11" s="244"/>
      <c r="AU11" s="243"/>
      <c r="AV11" s="232"/>
      <c r="AW11" s="247" t="str">
        <f t="shared" si="22"/>
        <v>--</v>
      </c>
      <c r="AX11" s="358">
        <v>854</v>
      </c>
      <c r="AY11" s="260" t="s">
        <v>970</v>
      </c>
      <c r="AZ11" s="264" t="s">
        <v>578</v>
      </c>
      <c r="BA11" s="271" t="str">
        <f t="shared" si="8"/>
        <v>854-DD-PE-Documentos Digitales - Portal Empleados</v>
      </c>
      <c r="BB11" s="520">
        <v>105</v>
      </c>
      <c r="BC11" s="284" t="s">
        <v>937</v>
      </c>
      <c r="BD11" s="285" t="s">
        <v>811</v>
      </c>
      <c r="BE11" s="271" t="str">
        <f t="shared" si="9"/>
        <v>105-NEPE-Nuevo Esquema de Pagos Electrónicos</v>
      </c>
      <c r="BF11" s="362">
        <v>335</v>
      </c>
      <c r="BG11" s="284" t="s">
        <v>942</v>
      </c>
      <c r="BH11" s="285" t="s">
        <v>736</v>
      </c>
      <c r="BI11" s="271" t="str">
        <f t="shared" si="10"/>
        <v>335-DIOT-Declaración Informativa de Operaciones con Terceros</v>
      </c>
      <c r="BJ11" s="336">
        <v>641</v>
      </c>
      <c r="BK11" s="260" t="s">
        <v>1036</v>
      </c>
      <c r="BL11" s="264" t="s">
        <v>685</v>
      </c>
      <c r="BM11" s="271" t="str">
        <f t="shared" si="11"/>
        <v>641-MAT-DyC-Modelo de Administración Tributaria Devoluciones y Compensaciones</v>
      </c>
      <c r="BN11" s="461">
        <v>926</v>
      </c>
      <c r="BO11" s="260" t="s">
        <v>1345</v>
      </c>
      <c r="BP11" s="264" t="s">
        <v>1346</v>
      </c>
      <c r="BQ11" s="271" t="str">
        <f t="shared" si="12"/>
        <v>926-NvoSOKY-Actualización de la herramienta de Socket de Seguridad</v>
      </c>
      <c r="BR11" s="231"/>
      <c r="BS11" s="230"/>
      <c r="BT11" s="232"/>
      <c r="BU11" s="283" t="str">
        <f>CONCATENATE(BR11,"-",BS11,"-",BT11)</f>
        <v>--</v>
      </c>
      <c r="BV11" s="530">
        <v>57</v>
      </c>
      <c r="BW11" s="260" t="s">
        <v>856</v>
      </c>
      <c r="BX11" s="264" t="s">
        <v>772</v>
      </c>
      <c r="BY11" s="533" t="str">
        <f t="shared" si="13"/>
        <v>057-SDC-Sistema Dinámico de Consulta</v>
      </c>
      <c r="BZ11" s="238"/>
      <c r="CA11" s="226"/>
      <c r="CB11" s="234"/>
      <c r="CC11" s="233" t="str">
        <f t="shared" si="23"/>
        <v>--</v>
      </c>
      <c r="CD11" s="364">
        <v>929</v>
      </c>
      <c r="CE11" s="254" t="s">
        <v>1339</v>
      </c>
      <c r="CF11" s="269" t="s">
        <v>1521</v>
      </c>
      <c r="CG11" s="533" t="str">
        <f t="shared" si="14"/>
        <v>929-MATCE-TRANSITOS-MATCE - SA Tránsitos</v>
      </c>
      <c r="CH11" s="238"/>
      <c r="CI11" s="226"/>
      <c r="CJ11" s="234"/>
      <c r="CK11" s="290" t="str">
        <f t="shared" si="24"/>
        <v>--</v>
      </c>
      <c r="CL11" s="336">
        <v>769</v>
      </c>
      <c r="CM11" s="260" t="s">
        <v>1041</v>
      </c>
      <c r="CN11" s="264" t="s">
        <v>609</v>
      </c>
      <c r="CO11" s="533" t="str">
        <f t="shared" si="15"/>
        <v>769-NEE-Notificación por Estrados o Edictos</v>
      </c>
      <c r="CP11" s="244"/>
      <c r="CQ11" s="243"/>
      <c r="CR11" s="235"/>
      <c r="CS11" s="250" t="str">
        <f t="shared" si="25"/>
        <v>--</v>
      </c>
      <c r="CT11" s="244"/>
      <c r="CU11" s="243"/>
      <c r="CV11" s="232"/>
      <c r="CW11" s="283" t="str">
        <f t="shared" si="26"/>
        <v>--</v>
      </c>
      <c r="CX11" s="367">
        <v>436</v>
      </c>
      <c r="CY11" s="260" t="s">
        <v>995</v>
      </c>
      <c r="CZ11" s="264" t="s">
        <v>1531</v>
      </c>
      <c r="DA11" s="533" t="str">
        <f t="shared" si="16"/>
        <v>436-TCV-Test de Compatibilidad y Valores
(antes llamado Sistema de Evaluación de Integridad)</v>
      </c>
      <c r="DB11" s="244"/>
      <c r="DC11" s="243"/>
      <c r="DD11" s="232"/>
      <c r="DE11" s="247" t="str">
        <f t="shared" ref="DE11:DE67" si="32">CONCATENATE(DB11,"-",DC11,"-",DD11)</f>
        <v>--</v>
      </c>
      <c r="DF11" s="332"/>
      <c r="DG11" s="254"/>
      <c r="DH11" s="264"/>
      <c r="DI11" s="250" t="str">
        <f t="shared" si="27"/>
        <v>--</v>
      </c>
      <c r="DJ11" s="346">
        <v>186</v>
      </c>
      <c r="DK11" s="274" t="s">
        <v>871</v>
      </c>
      <c r="DL11" s="276" t="s">
        <v>735</v>
      </c>
      <c r="DM11" s="533" t="str">
        <f t="shared" si="17"/>
        <v>186-PADRONES SECTORIALES-Padrones Sectoriales</v>
      </c>
      <c r="DN11" s="469">
        <v>733</v>
      </c>
      <c r="DO11" s="260" t="s">
        <v>1540</v>
      </c>
      <c r="DP11" s="264" t="s">
        <v>724</v>
      </c>
      <c r="DQ11" s="533" t="str">
        <f t="shared" si="18"/>
        <v>733-NOMINA_RIF-Nómina RIF</v>
      </c>
      <c r="DR11" s="231"/>
      <c r="DS11" s="230"/>
      <c r="DT11" s="232"/>
      <c r="DU11" s="283" t="str">
        <f t="shared" si="28"/>
        <v>--</v>
      </c>
      <c r="DV11" s="375">
        <v>828</v>
      </c>
      <c r="DW11" s="254" t="s">
        <v>1013</v>
      </c>
      <c r="DX11" s="276" t="s">
        <v>572</v>
      </c>
      <c r="DY11" s="533" t="str">
        <f t="shared" si="19"/>
        <v>828-ADAC-Administración de Acuerdos de la Jefatura del SAT</v>
      </c>
      <c r="DZ11" s="520">
        <v>243</v>
      </c>
      <c r="EA11" s="284" t="s">
        <v>1264</v>
      </c>
      <c r="EB11" s="285" t="s">
        <v>1565</v>
      </c>
      <c r="EC11" s="533" t="str">
        <f t="shared" si="20"/>
        <v>243-GEN-JUPITER
Generalidades</v>
      </c>
      <c r="ED11" s="372">
        <v>725</v>
      </c>
      <c r="EE11" s="268" t="s">
        <v>1016</v>
      </c>
      <c r="EF11" s="269" t="s">
        <v>634</v>
      </c>
      <c r="EG11" s="533" t="str">
        <f t="shared" si="21"/>
        <v>725-ENC_SAT-Encuestas de las Unidades Administrativas del SAT</v>
      </c>
      <c r="EH11" s="332"/>
      <c r="EI11" s="254"/>
      <c r="EJ11" s="264"/>
      <c r="EK11" s="250" t="str">
        <f t="shared" si="29"/>
        <v>--</v>
      </c>
      <c r="EL11" s="332"/>
      <c r="EM11" s="254"/>
      <c r="EN11" s="264"/>
      <c r="EO11" s="250" t="str">
        <f t="shared" si="30"/>
        <v>--</v>
      </c>
    </row>
    <row r="12" spans="2:145" s="89" customFormat="1" ht="34.5" customHeight="1" thickBot="1" x14ac:dyDescent="0.25">
      <c r="B12" s="98"/>
      <c r="C12" s="99" t="s">
        <v>1138</v>
      </c>
      <c r="D12" s="330" t="s">
        <v>1170</v>
      </c>
      <c r="E12" s="100" t="s">
        <v>269</v>
      </c>
      <c r="F12" s="101" t="s">
        <v>142</v>
      </c>
      <c r="G12" s="83" t="str">
        <f t="shared" si="31"/>
        <v>_09_Notificación_Verificación</v>
      </c>
      <c r="I12" s="1"/>
      <c r="J12" s="88"/>
      <c r="K12" s="17"/>
      <c r="L12" s="17"/>
      <c r="M12" s="86"/>
      <c r="N12" s="693" t="s">
        <v>150</v>
      </c>
      <c r="O12" s="694"/>
      <c r="P12" s="86"/>
      <c r="Q12" s="148" t="s">
        <v>506</v>
      </c>
      <c r="R12" s="163" t="s">
        <v>1761</v>
      </c>
      <c r="S12" s="164"/>
      <c r="T12" s="380" t="s">
        <v>279</v>
      </c>
      <c r="U12" s="237">
        <v>9</v>
      </c>
      <c r="V12" s="513">
        <v>845</v>
      </c>
      <c r="W12" s="254" t="s">
        <v>1108</v>
      </c>
      <c r="X12" s="277" t="s">
        <v>604</v>
      </c>
      <c r="Y12" s="246" t="str">
        <f t="shared" si="3"/>
        <v>845-FIA-AGE-Fraud Intelligence Analysis para la AGE</v>
      </c>
      <c r="Z12" s="352">
        <v>861</v>
      </c>
      <c r="AA12" s="254" t="s">
        <v>1475</v>
      </c>
      <c r="AB12" s="266" t="s">
        <v>1474</v>
      </c>
      <c r="AC12" s="271" t="str">
        <f t="shared" si="4"/>
        <v>861-RVU-Registro Vehicular Unificado</v>
      </c>
      <c r="AD12" s="378">
        <v>183</v>
      </c>
      <c r="AE12" s="274" t="s">
        <v>1060</v>
      </c>
      <c r="AF12" s="276" t="s">
        <v>728</v>
      </c>
      <c r="AG12" s="249" t="str">
        <f t="shared" si="5"/>
        <v>183-JUSTIFICADOR_DE_PEDIMENTOS-Justificador de Pedimentos</v>
      </c>
      <c r="AH12" s="244"/>
      <c r="AI12" s="243"/>
      <c r="AJ12" s="232"/>
      <c r="AK12" s="233" t="str">
        <f t="shared" si="0"/>
        <v>--</v>
      </c>
      <c r="AL12" s="384">
        <v>503</v>
      </c>
      <c r="AM12" s="254" t="s">
        <v>1100</v>
      </c>
      <c r="AN12" s="277" t="s">
        <v>587</v>
      </c>
      <c r="AO12" s="249" t="str">
        <f t="shared" si="6"/>
        <v>503-APIS_2008-Apis_legado  (para 2008 y 2009)</v>
      </c>
      <c r="AP12" s="449">
        <v>915</v>
      </c>
      <c r="AQ12" s="260" t="s">
        <v>1300</v>
      </c>
      <c r="AR12" s="264" t="s">
        <v>1299</v>
      </c>
      <c r="AS12" s="249" t="str">
        <f t="shared" si="7"/>
        <v>915-LC-Líneas de Captura</v>
      </c>
      <c r="AT12" s="231"/>
      <c r="AU12" s="230"/>
      <c r="AV12" s="232"/>
      <c r="AW12" s="247" t="str">
        <f t="shared" si="22"/>
        <v>--</v>
      </c>
      <c r="AX12" s="360">
        <v>914</v>
      </c>
      <c r="AY12" s="260" t="s">
        <v>1296</v>
      </c>
      <c r="AZ12" s="264" t="s">
        <v>1296</v>
      </c>
      <c r="BA12" s="271" t="str">
        <f t="shared" si="8"/>
        <v>914-FATCA-CRS-FATCA-CRS</v>
      </c>
      <c r="BB12" s="520">
        <v>107</v>
      </c>
      <c r="BC12" s="284" t="s">
        <v>938</v>
      </c>
      <c r="BD12" s="285" t="s">
        <v>822</v>
      </c>
      <c r="BE12" s="271" t="str">
        <f t="shared" si="9"/>
        <v>107-CONT_LOCAL-Recepción de Declaraciones y Pagos SIR_Local</v>
      </c>
      <c r="BF12" s="362">
        <v>382</v>
      </c>
      <c r="BG12" s="284" t="s">
        <v>941</v>
      </c>
      <c r="BH12" s="285" t="s">
        <v>742</v>
      </c>
      <c r="BI12" s="271" t="str">
        <f t="shared" si="10"/>
        <v>382-DEC_IDE-Declaración Informativa Mensual y Anual del Impuesto a los Depósitos en Efectivo</v>
      </c>
      <c r="BJ12" s="388">
        <v>677</v>
      </c>
      <c r="BK12" s="254" t="s">
        <v>1093</v>
      </c>
      <c r="BL12" s="264" t="s">
        <v>674</v>
      </c>
      <c r="BM12" s="271" t="str">
        <f t="shared" si="11"/>
        <v>677-DYCND-Integración de SIOS, anexos 7, 11 y 11A (Morsa IVA – SIOS)</v>
      </c>
      <c r="BN12" s="354">
        <v>2079</v>
      </c>
      <c r="BO12" s="291" t="s">
        <v>905</v>
      </c>
      <c r="BP12" s="292" t="s">
        <v>564</v>
      </c>
      <c r="BQ12" s="271" t="str">
        <f t="shared" si="12"/>
        <v>2079-CertiSAT-Certificación SAT (Ventanilla y WEB)</v>
      </c>
      <c r="BR12" s="231"/>
      <c r="BS12" s="230"/>
      <c r="BT12" s="232"/>
      <c r="BU12" s="283" t="str">
        <f>CONCATENATE(BR12,"-",BS12,"-",BT12)</f>
        <v>--</v>
      </c>
      <c r="BV12" s="530">
        <v>60</v>
      </c>
      <c r="BW12" s="260" t="s">
        <v>857</v>
      </c>
      <c r="BX12" s="264" t="s">
        <v>778</v>
      </c>
      <c r="BY12" s="533" t="str">
        <f t="shared" si="13"/>
        <v>060-SID-Sistema Integral del Dictamen</v>
      </c>
      <c r="BZ12" s="238"/>
      <c r="CA12" s="226"/>
      <c r="CB12" s="234"/>
      <c r="CC12" s="233" t="str">
        <f t="shared" si="23"/>
        <v>--</v>
      </c>
      <c r="CD12" s="364">
        <v>930</v>
      </c>
      <c r="CE12" s="268" t="s">
        <v>1340</v>
      </c>
      <c r="CF12" s="269" t="s">
        <v>1522</v>
      </c>
      <c r="CG12" s="533" t="str">
        <f t="shared" si="14"/>
        <v>930-FMP CE-MATCE - Formulario Múltiple de Pago</v>
      </c>
      <c r="CH12" s="238"/>
      <c r="CI12" s="226"/>
      <c r="CJ12" s="234"/>
      <c r="CK12" s="290" t="str">
        <f t="shared" si="24"/>
        <v>--</v>
      </c>
      <c r="CL12" s="336">
        <v>807</v>
      </c>
      <c r="CM12" s="260" t="s">
        <v>1126</v>
      </c>
      <c r="CN12" s="264" t="s">
        <v>1375</v>
      </c>
      <c r="CO12" s="533" t="str">
        <f t="shared" si="15"/>
        <v>807-NV_PORTAL-Nuevo Portal de Trámites y Servicios</v>
      </c>
      <c r="CP12" s="244"/>
      <c r="CQ12" s="243"/>
      <c r="CR12" s="235"/>
      <c r="CS12" s="250" t="str">
        <f t="shared" si="25"/>
        <v>--</v>
      </c>
      <c r="CT12" s="244"/>
      <c r="CU12" s="243"/>
      <c r="CV12" s="232"/>
      <c r="CW12" s="283" t="str">
        <f t="shared" si="26"/>
        <v>--</v>
      </c>
      <c r="CX12" s="367">
        <v>440</v>
      </c>
      <c r="CY12" s="260" t="s">
        <v>996</v>
      </c>
      <c r="CZ12" s="264" t="s">
        <v>593</v>
      </c>
      <c r="DA12" s="533" t="str">
        <f t="shared" si="16"/>
        <v>440-CE-Componente de Evaluación</v>
      </c>
      <c r="DB12" s="244"/>
      <c r="DC12" s="243"/>
      <c r="DD12" s="232"/>
      <c r="DE12" s="247" t="str">
        <f t="shared" si="32"/>
        <v>--</v>
      </c>
      <c r="DF12" s="332"/>
      <c r="DG12" s="254"/>
      <c r="DH12" s="264"/>
      <c r="DI12" s="250" t="str">
        <f t="shared" si="27"/>
        <v>--</v>
      </c>
      <c r="DJ12" s="388">
        <v>682</v>
      </c>
      <c r="DK12" s="254" t="s">
        <v>1099</v>
      </c>
      <c r="DL12" s="264" t="s">
        <v>731</v>
      </c>
      <c r="DM12" s="533" t="str">
        <f t="shared" si="17"/>
        <v>682-RP RFC CURP-Padrón de RFC a Ciudadanos con CURP</v>
      </c>
      <c r="DN12" s="367">
        <v>734</v>
      </c>
      <c r="DO12" s="260" t="s">
        <v>1004</v>
      </c>
      <c r="DP12" s="264" t="s">
        <v>753</v>
      </c>
      <c r="DQ12" s="533" t="str">
        <f t="shared" si="18"/>
        <v>734-SORTEO_BF-Sorteo Fiscal del Buen Fin</v>
      </c>
      <c r="DR12" s="231"/>
      <c r="DS12" s="230"/>
      <c r="DT12" s="234"/>
      <c r="DU12" s="283" t="str">
        <f t="shared" si="28"/>
        <v>--</v>
      </c>
      <c r="DV12" s="541">
        <v>831</v>
      </c>
      <c r="DW12" s="254" t="s">
        <v>1555</v>
      </c>
      <c r="DX12" s="276" t="s">
        <v>1556</v>
      </c>
      <c r="DY12" s="533" t="str">
        <f t="shared" si="19"/>
        <v>831-SAT-INE-Intercambio de información SAT- INE, así como con el TFJPE</v>
      </c>
      <c r="DZ12" s="520">
        <v>244</v>
      </c>
      <c r="EA12" s="284" t="s">
        <v>1265</v>
      </c>
      <c r="EB12" s="285" t="s">
        <v>1566</v>
      </c>
      <c r="EC12" s="533" t="str">
        <f t="shared" si="20"/>
        <v>244-CREDITOS CONTROVERTIDOS-JUPITER
Herramienta de créditos controvertidos</v>
      </c>
      <c r="ED12" s="372">
        <v>735</v>
      </c>
      <c r="EE12" s="268" t="s">
        <v>1017</v>
      </c>
      <c r="EF12" s="269" t="s">
        <v>613</v>
      </c>
      <c r="EG12" s="533" t="str">
        <f t="shared" si="21"/>
        <v>735-SIFO-Control de Folios para Atentas Notas y Oficios de las Unidades Administrativas del SAT</v>
      </c>
      <c r="EH12" s="332"/>
      <c r="EI12" s="254"/>
      <c r="EJ12" s="264"/>
      <c r="EK12" s="250" t="str">
        <f t="shared" si="29"/>
        <v>--</v>
      </c>
      <c r="EL12" s="332"/>
      <c r="EM12" s="254"/>
      <c r="EN12" s="264"/>
      <c r="EO12" s="250" t="str">
        <f t="shared" si="30"/>
        <v>--</v>
      </c>
    </row>
    <row r="13" spans="2:145" s="89" customFormat="1" ht="25.5" customHeight="1" thickBot="1" x14ac:dyDescent="0.3">
      <c r="B13" s="98"/>
      <c r="C13" s="99" t="s">
        <v>1139</v>
      </c>
      <c r="D13" s="330" t="s">
        <v>1173</v>
      </c>
      <c r="E13" s="100" t="s">
        <v>119</v>
      </c>
      <c r="F13" s="101" t="s">
        <v>119</v>
      </c>
      <c r="G13" s="83" t="str">
        <f t="shared" si="31"/>
        <v>_10_Registro_Contable</v>
      </c>
      <c r="I13" s="689" t="s">
        <v>479</v>
      </c>
      <c r="J13" s="690"/>
      <c r="M13" s="86"/>
      <c r="N13" s="110" t="s">
        <v>152</v>
      </c>
      <c r="O13" s="111" t="s">
        <v>151</v>
      </c>
      <c r="P13" s="86"/>
      <c r="Q13" s="148" t="s">
        <v>1599</v>
      </c>
      <c r="R13" s="162" t="s">
        <v>1760</v>
      </c>
      <c r="S13" s="547" t="s">
        <v>523</v>
      </c>
      <c r="T13" s="381" t="s">
        <v>1282</v>
      </c>
      <c r="U13" s="237">
        <v>10</v>
      </c>
      <c r="V13" s="513">
        <v>849</v>
      </c>
      <c r="W13" s="254" t="s">
        <v>1081</v>
      </c>
      <c r="X13" s="277" t="s">
        <v>1376</v>
      </c>
      <c r="Y13" s="246" t="str">
        <f t="shared" si="3"/>
        <v>849-IMMEX-Modelo de Riesgo IMMEX</v>
      </c>
      <c r="Z13" s="352">
        <v>883</v>
      </c>
      <c r="AA13" s="254" t="s">
        <v>1477</v>
      </c>
      <c r="AB13" s="266" t="s">
        <v>1476</v>
      </c>
      <c r="AC13" s="271" t="str">
        <f t="shared" si="4"/>
        <v xml:space="preserve">883-CINDI-Sistema de Registro de Certificados de Incapacidad o Discapacidad </v>
      </c>
      <c r="AD13" s="347">
        <v>187</v>
      </c>
      <c r="AE13" s="274" t="s">
        <v>872</v>
      </c>
      <c r="AF13" s="276" t="s">
        <v>738</v>
      </c>
      <c r="AG13" s="249" t="str">
        <f t="shared" si="5"/>
        <v>187-PARAMETRIZACION-Parametrización</v>
      </c>
      <c r="AH13" s="238"/>
      <c r="AI13" s="226"/>
      <c r="AJ13" s="232"/>
      <c r="AK13" s="233" t="str">
        <f t="shared" ref="AK13:AK67" si="33">CONCATENATE(AH13,"-",AI13,"-",AJ13)</f>
        <v>--</v>
      </c>
      <c r="AL13" s="348">
        <v>585</v>
      </c>
      <c r="AM13" s="260" t="s">
        <v>697</v>
      </c>
      <c r="AN13" s="264" t="s">
        <v>697</v>
      </c>
      <c r="AO13" s="249" t="str">
        <f t="shared" si="6"/>
        <v>585-e5Cinco-e5Cinco</v>
      </c>
      <c r="AP13" s="384">
        <v>927</v>
      </c>
      <c r="AQ13" s="333" t="s">
        <v>1347</v>
      </c>
      <c r="AR13" s="287" t="s">
        <v>1348</v>
      </c>
      <c r="AS13" s="249" t="str">
        <f t="shared" si="7"/>
        <v>927-ECOVUL-Estructura de Cumplimiento de Operaciones Vulnerables</v>
      </c>
      <c r="AT13" s="238"/>
      <c r="AU13" s="226"/>
      <c r="AV13" s="232"/>
      <c r="AW13" s="247" t="str">
        <f t="shared" si="22"/>
        <v>--</v>
      </c>
      <c r="AX13" s="358">
        <v>917</v>
      </c>
      <c r="AY13" s="260" t="s">
        <v>1301</v>
      </c>
      <c r="AZ13" s="264" t="s">
        <v>747</v>
      </c>
      <c r="BA13" s="271" t="str">
        <f t="shared" si="8"/>
        <v>917-MULTI-IEPS-DD-Declaración Informativa Múltiple del IEPS</v>
      </c>
      <c r="BB13" s="521">
        <v>133</v>
      </c>
      <c r="BC13" s="284" t="s">
        <v>955</v>
      </c>
      <c r="BD13" s="285" t="s">
        <v>967</v>
      </c>
      <c r="BE13" s="271" t="str">
        <f t="shared" si="9"/>
        <v>133-DEC_EDITORES-Declaración  Informática de Editores</v>
      </c>
      <c r="BF13" s="362">
        <v>383</v>
      </c>
      <c r="BG13" s="284" t="s">
        <v>940</v>
      </c>
      <c r="BH13" s="285" t="s">
        <v>1494</v>
      </c>
      <c r="BI13" s="271" t="str">
        <f t="shared" si="10"/>
        <v xml:space="preserve">383-GDEF-Declaración Informativa de las Entidades Federativas por la Recaudación de IEPS por Venta Final de Gasolina y Diesel </v>
      </c>
      <c r="BJ13" s="388">
        <v>743</v>
      </c>
      <c r="BK13" s="254" t="s">
        <v>1089</v>
      </c>
      <c r="BL13" s="264" t="s">
        <v>651</v>
      </c>
      <c r="BM13" s="271" t="str">
        <f t="shared" si="11"/>
        <v>743-DYCMS-Devoluciones y Compensaciones Interface de MAT a SIR</v>
      </c>
      <c r="BN13" s="354">
        <v>2081</v>
      </c>
      <c r="BO13" s="291" t="s">
        <v>1508</v>
      </c>
      <c r="BP13" s="292" t="s">
        <v>591</v>
      </c>
      <c r="BQ13" s="271" t="str">
        <f t="shared" si="12"/>
        <v>2081-Librerias-Librerías de Criptografía</v>
      </c>
      <c r="BR13" s="231"/>
      <c r="BS13" s="230"/>
      <c r="BT13" s="232"/>
      <c r="BU13" s="283" t="str">
        <f>CONCATENATE(BR13,"-",BS13,"-",BT13)</f>
        <v>--</v>
      </c>
      <c r="BV13" s="530">
        <v>63</v>
      </c>
      <c r="BW13" s="260" t="s">
        <v>853</v>
      </c>
      <c r="BX13" s="264" t="s">
        <v>763</v>
      </c>
      <c r="BY13" s="533" t="str">
        <f t="shared" si="13"/>
        <v>063-SIINCO-Situación Integral del Contribuyente</v>
      </c>
      <c r="BZ13" s="238"/>
      <c r="CA13" s="226"/>
      <c r="CB13" s="234"/>
      <c r="CC13" s="233" t="str">
        <f t="shared" si="23"/>
        <v>--</v>
      </c>
      <c r="CD13" s="364">
        <v>931</v>
      </c>
      <c r="CE13" s="268" t="s">
        <v>1341</v>
      </c>
      <c r="CF13" s="269" t="s">
        <v>1344</v>
      </c>
      <c r="CG13" s="533" t="str">
        <f t="shared" si="14"/>
        <v>931-MATCE PITA-MATCE - PITA</v>
      </c>
      <c r="CH13" s="238"/>
      <c r="CI13" s="226"/>
      <c r="CJ13" s="234"/>
      <c r="CK13" s="290" t="str">
        <f t="shared" si="24"/>
        <v>--</v>
      </c>
      <c r="CL13" s="339">
        <v>890</v>
      </c>
      <c r="CM13" s="260" t="s">
        <v>1040</v>
      </c>
      <c r="CN13" s="264" t="s">
        <v>1525</v>
      </c>
      <c r="CO13" s="533" t="str">
        <f t="shared" si="15"/>
        <v>890-GVI-MAT-NyV: Módulo de Administración de Verificaciones</v>
      </c>
      <c r="CP13" s="244"/>
      <c r="CQ13" s="243"/>
      <c r="CR13" s="232"/>
      <c r="CS13" s="250" t="str">
        <f t="shared" si="25"/>
        <v>--</v>
      </c>
      <c r="CT13" s="231"/>
      <c r="CU13" s="230"/>
      <c r="CV13" s="234"/>
      <c r="CW13" s="283" t="str">
        <f t="shared" si="26"/>
        <v>--</v>
      </c>
      <c r="CX13" s="367">
        <v>443</v>
      </c>
      <c r="CY13" s="268" t="s">
        <v>997</v>
      </c>
      <c r="CZ13" s="269" t="s">
        <v>710</v>
      </c>
      <c r="DA13" s="533" t="str">
        <f t="shared" si="16"/>
        <v>443-SIPO-Sistema de Pólizas</v>
      </c>
      <c r="DB13" s="244"/>
      <c r="DC13" s="243"/>
      <c r="DD13" s="232"/>
      <c r="DE13" s="247" t="str">
        <f t="shared" si="32"/>
        <v>--</v>
      </c>
      <c r="DF13" s="332"/>
      <c r="DG13" s="254"/>
      <c r="DH13" s="264"/>
      <c r="DI13" s="250" t="str">
        <f t="shared" si="27"/>
        <v>--</v>
      </c>
      <c r="DJ13" s="352">
        <v>684</v>
      </c>
      <c r="DK13" s="260" t="s">
        <v>1535</v>
      </c>
      <c r="DL13" s="264" t="s">
        <v>1536</v>
      </c>
      <c r="DM13" s="533" t="str">
        <f t="shared" si="17"/>
        <v>684-RFC_AMPLIADO GEN CIF-RFC Ampliado
Generación de Cédula de Identificación Fiscal (GEN CIF)</v>
      </c>
      <c r="DN13" s="468">
        <v>738</v>
      </c>
      <c r="DO13" s="260" t="s">
        <v>1005</v>
      </c>
      <c r="DP13" s="264" t="s">
        <v>1541</v>
      </c>
      <c r="DQ13" s="533" t="str">
        <f t="shared" si="18"/>
        <v>738-SORTEO_PAGO_EN ESPECIE-Sorteo a Entidades Federativas de obras de arte recibidas como Pago en Especie</v>
      </c>
      <c r="DR13" s="238"/>
      <c r="DS13" s="226"/>
      <c r="DT13" s="232"/>
      <c r="DU13" s="283" t="str">
        <f t="shared" si="28"/>
        <v>--</v>
      </c>
      <c r="DV13" s="385">
        <v>862</v>
      </c>
      <c r="DW13" s="260" t="s">
        <v>1096</v>
      </c>
      <c r="DX13" s="264" t="s">
        <v>569</v>
      </c>
      <c r="DY13" s="533" t="str">
        <f t="shared" si="19"/>
        <v>862-APPEE-Automatizar el Monitoreo de PPEE’s (Personas Política y Económicamente Expuestas)</v>
      </c>
      <c r="DZ13" s="520">
        <v>247</v>
      </c>
      <c r="EA13" s="284" t="s">
        <v>978</v>
      </c>
      <c r="EB13" s="285" t="s">
        <v>612</v>
      </c>
      <c r="EC13" s="533" t="str">
        <f t="shared" si="20"/>
        <v>247-IMPRESORES-Impresores/Autoimpresores Autorizados</v>
      </c>
      <c r="ED13" s="388">
        <v>751</v>
      </c>
      <c r="EE13" s="254" t="s">
        <v>1111</v>
      </c>
      <c r="EF13" s="264" t="s">
        <v>720</v>
      </c>
      <c r="EG13" s="533" t="str">
        <f t="shared" si="21"/>
        <v>751-MODELO_DE_CONTROL-Modelo de Control</v>
      </c>
      <c r="EH13" s="332"/>
      <c r="EI13" s="254"/>
      <c r="EJ13" s="264"/>
      <c r="EK13" s="250" t="str">
        <f t="shared" si="29"/>
        <v>--</v>
      </c>
      <c r="EL13" s="332"/>
      <c r="EM13" s="254"/>
      <c r="EN13" s="264"/>
      <c r="EO13" s="250" t="str">
        <f t="shared" si="30"/>
        <v>--</v>
      </c>
    </row>
    <row r="14" spans="2:145" s="89" customFormat="1" ht="45.75" thickBot="1" x14ac:dyDescent="0.3">
      <c r="B14" s="98"/>
      <c r="C14" s="99" t="s">
        <v>1140</v>
      </c>
      <c r="D14" s="330" t="s">
        <v>1319</v>
      </c>
      <c r="E14" s="100" t="s">
        <v>120</v>
      </c>
      <c r="F14" s="101" t="s">
        <v>1320</v>
      </c>
      <c r="G14" s="83" t="str">
        <f t="shared" si="31"/>
        <v>_11_Identificación_del_Contribuyente</v>
      </c>
      <c r="I14" s="102" t="s">
        <v>129</v>
      </c>
      <c r="J14" s="103"/>
      <c r="M14" s="86"/>
      <c r="N14" s="108" t="s">
        <v>158</v>
      </c>
      <c r="O14" s="112" t="s">
        <v>146</v>
      </c>
      <c r="P14" s="86"/>
      <c r="Q14" s="200" t="s">
        <v>542</v>
      </c>
      <c r="R14" s="162" t="s">
        <v>1760</v>
      </c>
      <c r="S14" s="684" t="s">
        <v>1219</v>
      </c>
      <c r="T14" s="415" t="s">
        <v>1312</v>
      </c>
      <c r="U14" s="237">
        <v>11</v>
      </c>
      <c r="V14" s="513">
        <v>884</v>
      </c>
      <c r="W14" s="260" t="s">
        <v>1085</v>
      </c>
      <c r="X14" s="264" t="s">
        <v>1473</v>
      </c>
      <c r="Y14" s="246" t="str">
        <f t="shared" si="3"/>
        <v>884-SIA- Sistema de Investigación para Auditoria</v>
      </c>
      <c r="Z14" s="511"/>
      <c r="AA14" s="268"/>
      <c r="AB14" s="273"/>
      <c r="AC14" s="272" t="str">
        <f>CONCATENATE(Z14,"-",AA14,"-",AB14)</f>
        <v>--</v>
      </c>
      <c r="AD14" s="347">
        <v>189</v>
      </c>
      <c r="AE14" s="254" t="s">
        <v>873</v>
      </c>
      <c r="AF14" s="276" t="s">
        <v>746</v>
      </c>
      <c r="AG14" s="249" t="str">
        <f t="shared" si="5"/>
        <v>189-RECONOCIMIENTO GAMMA-Rayos Gamma M3</v>
      </c>
      <c r="AH14" s="244"/>
      <c r="AI14" s="243"/>
      <c r="AJ14" s="232"/>
      <c r="AK14" s="233" t="str">
        <f t="shared" si="33"/>
        <v>--</v>
      </c>
      <c r="AL14" s="348">
        <v>593</v>
      </c>
      <c r="AM14" s="260" t="s">
        <v>890</v>
      </c>
      <c r="AN14" s="277" t="s">
        <v>656</v>
      </c>
      <c r="AO14" s="249" t="str">
        <f t="shared" si="6"/>
        <v>593-CPITV-Consulta de Permisos de Importación Temporal de Vehículos</v>
      </c>
      <c r="AP14" s="384">
        <v>935</v>
      </c>
      <c r="AQ14" s="333" t="s">
        <v>1361</v>
      </c>
      <c r="AR14" s="287" t="s">
        <v>1362</v>
      </c>
      <c r="AS14" s="249" t="str">
        <f t="shared" si="7"/>
        <v>935-R32D-P-Reporte Opinión de Cumplimiento  Proveedores Sector Gobierno</v>
      </c>
      <c r="AT14" s="244"/>
      <c r="AU14" s="243"/>
      <c r="AV14" s="232"/>
      <c r="AW14" s="247" t="str">
        <f t="shared" si="22"/>
        <v>--</v>
      </c>
      <c r="AX14" s="358">
        <v>918</v>
      </c>
      <c r="AY14" s="260" t="s">
        <v>1304</v>
      </c>
      <c r="AZ14" s="264" t="s">
        <v>1305</v>
      </c>
      <c r="BA14" s="271" t="str">
        <f t="shared" si="8"/>
        <v>918-F64-Forma Oficial 64 - Declaración Informativa del IEPS de Gasolinas y Diesel</v>
      </c>
      <c r="BB14" s="522">
        <v>146</v>
      </c>
      <c r="BC14" s="284" t="s">
        <v>945</v>
      </c>
      <c r="BD14" s="285" t="s">
        <v>828</v>
      </c>
      <c r="BE14" s="271" t="str">
        <f t="shared" si="9"/>
        <v>146-SELLOS_DIG-Verificación de Sellos Digitales</v>
      </c>
      <c r="BF14" s="362">
        <v>385</v>
      </c>
      <c r="BG14" s="284" t="s">
        <v>943</v>
      </c>
      <c r="BH14" s="285" t="s">
        <v>802</v>
      </c>
      <c r="BI14" s="271" t="str">
        <f t="shared" si="10"/>
        <v>385-LIE-Listado de Conceptos que sirvió de base para calcular el Impuesto Empresarial a Determinar</v>
      </c>
      <c r="BJ14" s="388">
        <v>768</v>
      </c>
      <c r="BK14" s="254" t="s">
        <v>1090</v>
      </c>
      <c r="BL14" s="264" t="s">
        <v>643</v>
      </c>
      <c r="BM14" s="271" t="str">
        <f t="shared" si="11"/>
        <v>768-DyC_ODS-Devoluciones y Compensaciones ODS</v>
      </c>
      <c r="BN14" s="354">
        <v>2082</v>
      </c>
      <c r="BO14" s="291" t="s">
        <v>907</v>
      </c>
      <c r="BP14" s="292" t="s">
        <v>601</v>
      </c>
      <c r="BQ14" s="271" t="str">
        <f t="shared" si="12"/>
        <v>2082-PKI - SAT-PKI-SAT (Public Key Infraestructure - SAT)</v>
      </c>
      <c r="BR14" s="231"/>
      <c r="BS14" s="230"/>
      <c r="BT14" s="232"/>
      <c r="BU14" s="283" t="str">
        <f t="shared" ref="BU14:BU67" si="34">CONCATENATE(BR14,"-",BS14,"-",BT14)</f>
        <v>--</v>
      </c>
      <c r="BV14" s="530">
        <v>65</v>
      </c>
      <c r="BW14" s="260" t="s">
        <v>859</v>
      </c>
      <c r="BX14" s="264" t="s">
        <v>1511</v>
      </c>
      <c r="BY14" s="533" t="str">
        <f t="shared" si="13"/>
        <v>065-SUIEFI-Sistema Unico de Información para Entidades Federativas Integral</v>
      </c>
      <c r="BZ14" s="238"/>
      <c r="CA14" s="226"/>
      <c r="CB14" s="234"/>
      <c r="CC14" s="233" t="str">
        <f t="shared" si="23"/>
        <v>--</v>
      </c>
      <c r="CD14" s="364">
        <v>932</v>
      </c>
      <c r="CE14" s="254" t="s">
        <v>1342</v>
      </c>
      <c r="CF14" s="277" t="s">
        <v>1523</v>
      </c>
      <c r="CG14" s="533" t="str">
        <f t="shared" si="14"/>
        <v>932-MATCE-VOCE-MATCE - Validador de Operaciones de Comercio Exterior</v>
      </c>
      <c r="CH14" s="238"/>
      <c r="CI14" s="226"/>
      <c r="CJ14" s="234"/>
      <c r="CK14" s="290" t="str">
        <f t="shared" si="24"/>
        <v>--</v>
      </c>
      <c r="CL14" s="281"/>
      <c r="CM14" s="254"/>
      <c r="CN14" s="264"/>
      <c r="CO14" s="250" t="str">
        <f>CONCATENATE(CL14,"-",CM14,"-",CN14)</f>
        <v>--</v>
      </c>
      <c r="CP14" s="231"/>
      <c r="CQ14" s="230"/>
      <c r="CR14" s="232"/>
      <c r="CS14" s="250" t="str">
        <f t="shared" si="25"/>
        <v>--</v>
      </c>
      <c r="CT14" s="231"/>
      <c r="CU14" s="230"/>
      <c r="CV14" s="232"/>
      <c r="CW14" s="283" t="str">
        <f t="shared" si="26"/>
        <v>--</v>
      </c>
      <c r="CX14" s="367">
        <v>444</v>
      </c>
      <c r="CY14" s="268" t="s">
        <v>998</v>
      </c>
      <c r="CZ14" s="269" t="s">
        <v>1532</v>
      </c>
      <c r="DA14" s="533" t="str">
        <f t="shared" si="16"/>
        <v>444-IRH-Inventario de Recursos Humanos</v>
      </c>
      <c r="DB14" s="244"/>
      <c r="DC14" s="243"/>
      <c r="DD14" s="232"/>
      <c r="DE14" s="247" t="str">
        <f t="shared" si="32"/>
        <v>--</v>
      </c>
      <c r="DF14" s="332"/>
      <c r="DG14" s="254"/>
      <c r="DH14" s="264"/>
      <c r="DI14" s="250" t="str">
        <f t="shared" si="27"/>
        <v>--</v>
      </c>
      <c r="DJ14" s="355">
        <v>700</v>
      </c>
      <c r="DK14" s="260" t="s">
        <v>920</v>
      </c>
      <c r="DL14" s="264" t="s">
        <v>662</v>
      </c>
      <c r="DM14" s="533" t="str">
        <f t="shared" si="17"/>
        <v>700-RFC_AMPLIADO-RFC Ampliado</v>
      </c>
      <c r="DN14" s="352">
        <v>744</v>
      </c>
      <c r="DO14" s="254" t="s">
        <v>1098</v>
      </c>
      <c r="DP14" s="264" t="s">
        <v>611</v>
      </c>
      <c r="DQ14" s="533" t="str">
        <f t="shared" si="18"/>
        <v>744-CONTRASEÑA-Contraseña</v>
      </c>
      <c r="DR14" s="231"/>
      <c r="DS14" s="230"/>
      <c r="DT14" s="232"/>
      <c r="DU14" s="283" t="str">
        <f t="shared" si="28"/>
        <v>--</v>
      </c>
      <c r="DV14" s="383">
        <v>903</v>
      </c>
      <c r="DW14" s="254" t="s">
        <v>1202</v>
      </c>
      <c r="DX14" s="264" t="s">
        <v>1203</v>
      </c>
      <c r="DY14" s="533" t="str">
        <f t="shared" si="19"/>
        <v>903-CEFI-Cédula de Información Fiscal</v>
      </c>
      <c r="DZ14" s="520">
        <v>248</v>
      </c>
      <c r="EA14" s="284" t="s">
        <v>1266</v>
      </c>
      <c r="EB14" s="285" t="s">
        <v>1567</v>
      </c>
      <c r="EC14" s="533" t="str">
        <f t="shared" si="20"/>
        <v>248-JN-JUPITER
Juicio de Nulidad</v>
      </c>
      <c r="ED14" s="375">
        <v>754</v>
      </c>
      <c r="EE14" s="254" t="s">
        <v>1018</v>
      </c>
      <c r="EF14" s="276" t="s">
        <v>758</v>
      </c>
      <c r="EG14" s="533" t="str">
        <f t="shared" si="21"/>
        <v>754-IS4-Registro de las fechas planeadas de Atención y las fechas reales de Atención a Incidentes</v>
      </c>
      <c r="EH14" s="332"/>
      <c r="EI14" s="254"/>
      <c r="EJ14" s="264"/>
      <c r="EK14" s="250" t="str">
        <f t="shared" si="29"/>
        <v>--</v>
      </c>
      <c r="EL14" s="332"/>
      <c r="EM14" s="254"/>
      <c r="EN14" s="264"/>
      <c r="EO14" s="250" t="str">
        <f t="shared" si="30"/>
        <v>--</v>
      </c>
    </row>
    <row r="15" spans="2:145" s="89" customFormat="1" ht="60.75" thickBot="1" x14ac:dyDescent="0.3">
      <c r="B15" s="98"/>
      <c r="C15" s="99" t="s">
        <v>1141</v>
      </c>
      <c r="D15" s="330" t="s">
        <v>1321</v>
      </c>
      <c r="E15" s="100" t="s">
        <v>1322</v>
      </c>
      <c r="F15" s="101" t="s">
        <v>1322</v>
      </c>
      <c r="G15" s="83" t="str">
        <f t="shared" si="31"/>
        <v>_12_Al_Contribuyente</v>
      </c>
      <c r="I15" s="102" t="s">
        <v>389</v>
      </c>
      <c r="J15" s="103"/>
      <c r="M15" s="86"/>
      <c r="N15" s="108" t="s">
        <v>156</v>
      </c>
      <c r="O15" s="112" t="s">
        <v>153</v>
      </c>
      <c r="P15" s="86"/>
      <c r="Q15" s="146" t="s">
        <v>543</v>
      </c>
      <c r="R15" s="163" t="s">
        <v>1761</v>
      </c>
      <c r="S15" s="685"/>
      <c r="T15" s="419" t="s">
        <v>124</v>
      </c>
      <c r="U15" s="237">
        <v>12</v>
      </c>
      <c r="V15" s="513">
        <v>891</v>
      </c>
      <c r="W15" s="254" t="s">
        <v>275</v>
      </c>
      <c r="X15" s="277" t="s">
        <v>590</v>
      </c>
      <c r="Y15" s="246" t="str">
        <f t="shared" si="3"/>
        <v>891-CED-Consulta Especializada de Devoluciones</v>
      </c>
      <c r="Z15" s="511"/>
      <c r="AA15" s="230"/>
      <c r="AB15" s="270"/>
      <c r="AC15" s="272" t="str">
        <f>CONCATENATE(Z15,"-",AA15,"-",AB15)</f>
        <v>--</v>
      </c>
      <c r="AD15" s="378">
        <v>191</v>
      </c>
      <c r="AE15" s="274" t="s">
        <v>1061</v>
      </c>
      <c r="AF15" s="276" t="s">
        <v>761</v>
      </c>
      <c r="AG15" s="249" t="str">
        <f t="shared" si="5"/>
        <v>191-SAAI M3 BANCOS-SAAI M3 Bancos</v>
      </c>
      <c r="AH15" s="244"/>
      <c r="AI15" s="243"/>
      <c r="AJ15" s="232"/>
      <c r="AK15" s="233" t="str">
        <f t="shared" si="33"/>
        <v>--</v>
      </c>
      <c r="AL15" s="348">
        <v>610</v>
      </c>
      <c r="AM15" s="254" t="s">
        <v>892</v>
      </c>
      <c r="AN15" s="264" t="s">
        <v>714</v>
      </c>
      <c r="AO15" s="249" t="str">
        <f t="shared" si="6"/>
        <v>610-INPC-Índice Nacional de Precios al Consumidor</v>
      </c>
      <c r="AP15" s="508">
        <v>970</v>
      </c>
      <c r="AQ15" s="260" t="s">
        <v>1390</v>
      </c>
      <c r="AR15" s="264" t="s">
        <v>1389</v>
      </c>
      <c r="AS15" s="249" t="str">
        <f t="shared" si="7"/>
        <v>970-VICOMAS-Validaciones del Cumplimiento Obligaciones Fiscales en materia Subcontratación laboral</v>
      </c>
      <c r="AT15" s="244"/>
      <c r="AU15" s="243"/>
      <c r="AV15" s="232"/>
      <c r="AW15" s="247" t="str">
        <f t="shared" si="22"/>
        <v>--</v>
      </c>
      <c r="AX15" s="384">
        <v>943</v>
      </c>
      <c r="AY15" s="333" t="s">
        <v>1368</v>
      </c>
      <c r="AZ15" s="287" t="s">
        <v>1369</v>
      </c>
      <c r="BA15" s="271" t="str">
        <f t="shared" si="8"/>
        <v>943-REP-DD-Reporteador de Documentos Digitales</v>
      </c>
      <c r="BB15" s="520">
        <v>159</v>
      </c>
      <c r="BC15" s="284" t="s">
        <v>939</v>
      </c>
      <c r="BD15" s="285" t="s">
        <v>826</v>
      </c>
      <c r="BE15" s="271" t="str">
        <f t="shared" si="9"/>
        <v>159-SIVIPEB-Sistema Visualizador de Pagos Electrónicos Bancarios (Esquema anterior)</v>
      </c>
      <c r="BF15" s="362">
        <v>402</v>
      </c>
      <c r="BG15" s="284" t="s">
        <v>948</v>
      </c>
      <c r="BH15" s="285" t="s">
        <v>589</v>
      </c>
      <c r="BI15" s="271" t="str">
        <f t="shared" si="10"/>
        <v>402-Avisos 86A-Aviso de Préstamos, Aportaciones para futuros aumentos de Capital o aumentos de Capital recibidos en Efectivo.</v>
      </c>
      <c r="BJ15" s="336">
        <v>843</v>
      </c>
      <c r="BK15" s="260" t="s">
        <v>837</v>
      </c>
      <c r="BL15" s="264" t="s">
        <v>679</v>
      </c>
      <c r="BM15" s="271" t="str">
        <f t="shared" si="11"/>
        <v>843-MAT- SAD-MAT- Sistema de Devoluciones Automáticas</v>
      </c>
      <c r="BN15" s="462">
        <v>2083</v>
      </c>
      <c r="BO15" s="291" t="s">
        <v>906</v>
      </c>
      <c r="BP15" s="292" t="s">
        <v>580</v>
      </c>
      <c r="BQ15" s="271" t="str">
        <f t="shared" si="12"/>
        <v>2083-SOLCEDI-Solicitud de Certificados Digital</v>
      </c>
      <c r="BR15" s="231"/>
      <c r="BS15" s="230"/>
      <c r="BT15" s="232"/>
      <c r="BU15" s="283" t="str">
        <f t="shared" si="34"/>
        <v>--</v>
      </c>
      <c r="BV15" s="339">
        <v>408</v>
      </c>
      <c r="BW15" s="260" t="s">
        <v>1770</v>
      </c>
      <c r="BX15" s="264" t="s">
        <v>1771</v>
      </c>
      <c r="BY15" s="533" t="str">
        <f t="shared" si="13"/>
        <v>408-SIPRED-Sistema de Presentación de Documentos</v>
      </c>
      <c r="BZ15" s="238"/>
      <c r="CA15" s="226"/>
      <c r="CB15" s="234"/>
      <c r="CC15" s="233" t="str">
        <f t="shared" si="23"/>
        <v>--</v>
      </c>
      <c r="CD15" s="364">
        <v>933</v>
      </c>
      <c r="CE15" s="254" t="s">
        <v>1343</v>
      </c>
      <c r="CF15" s="269" t="s">
        <v>1524</v>
      </c>
      <c r="CG15" s="533" t="str">
        <f t="shared" si="14"/>
        <v>933-MATCE-RNI-MATCE - Reconocimiento no Intrusivo</v>
      </c>
      <c r="CH15" s="238"/>
      <c r="CI15" s="226"/>
      <c r="CJ15" s="234"/>
      <c r="CK15" s="290" t="str">
        <f t="shared" si="24"/>
        <v>--</v>
      </c>
      <c r="CL15" s="259"/>
      <c r="CM15" s="293"/>
      <c r="CN15" s="230"/>
      <c r="CO15" s="250" t="str">
        <f>CONCATENATE(CL15,"-",CM15,"-",CN15)</f>
        <v>--</v>
      </c>
      <c r="CP15" s="231"/>
      <c r="CQ15" s="230"/>
      <c r="CR15" s="232"/>
      <c r="CS15" s="250" t="str">
        <f t="shared" si="25"/>
        <v>--</v>
      </c>
      <c r="CT15" s="231"/>
      <c r="CU15" s="230"/>
      <c r="CV15" s="232"/>
      <c r="CW15" s="283" t="str">
        <f t="shared" si="26"/>
        <v>--</v>
      </c>
      <c r="CX15" s="367">
        <v>601</v>
      </c>
      <c r="CY15" s="268" t="s">
        <v>999</v>
      </c>
      <c r="CZ15" s="269" t="s">
        <v>700</v>
      </c>
      <c r="DA15" s="533" t="str">
        <f t="shared" si="16"/>
        <v>601-SCOS-Sistema de Control de Oficios de Suficiencia</v>
      </c>
      <c r="DB15" s="244"/>
      <c r="DC15" s="243"/>
      <c r="DD15" s="232"/>
      <c r="DE15" s="247" t="str">
        <f t="shared" si="32"/>
        <v>--</v>
      </c>
      <c r="DF15" s="332"/>
      <c r="DG15" s="254"/>
      <c r="DH15" s="264"/>
      <c r="DI15" s="250" t="str">
        <f t="shared" si="27"/>
        <v>--</v>
      </c>
      <c r="DJ15" s="352">
        <v>723</v>
      </c>
      <c r="DK15" s="254" t="s">
        <v>1051</v>
      </c>
      <c r="DL15" s="264" t="s">
        <v>749</v>
      </c>
      <c r="DM15" s="533" t="str">
        <f t="shared" si="17"/>
        <v>723-PTSC_RFC-PTSC-RFC - Portal RFC Ampliado</v>
      </c>
      <c r="DN15" s="390">
        <v>746</v>
      </c>
      <c r="DO15" s="254" t="s">
        <v>1101</v>
      </c>
      <c r="DP15" s="264" t="s">
        <v>616</v>
      </c>
      <c r="DQ15" s="533" t="str">
        <f t="shared" si="18"/>
        <v>746-CARGA_DIARIA-Carga Diaria de Comercio Exterior</v>
      </c>
      <c r="DR15" s="231"/>
      <c r="DS15" s="230"/>
      <c r="DT15" s="232"/>
      <c r="DU15" s="283" t="str">
        <f t="shared" si="28"/>
        <v>--</v>
      </c>
      <c r="DV15" s="367">
        <v>956</v>
      </c>
      <c r="DW15" s="260" t="s">
        <v>1456</v>
      </c>
      <c r="DX15" s="264" t="s">
        <v>1455</v>
      </c>
      <c r="DY15" s="533" t="str">
        <f t="shared" si="19"/>
        <v>956-SER-Sistema de Entrega Recepción</v>
      </c>
      <c r="DZ15" s="520">
        <v>250</v>
      </c>
      <c r="EA15" s="284" t="s">
        <v>1267</v>
      </c>
      <c r="EB15" s="285" t="s">
        <v>1568</v>
      </c>
      <c r="EC15" s="533" t="str">
        <f t="shared" si="20"/>
        <v>250-MANTENIMIENTO-JUPITER
Mantenimiento</v>
      </c>
      <c r="ED15" s="375">
        <v>756</v>
      </c>
      <c r="EE15" s="254" t="s">
        <v>1019</v>
      </c>
      <c r="EF15" s="276" t="s">
        <v>760</v>
      </c>
      <c r="EG15" s="533" t="str">
        <f t="shared" si="21"/>
        <v>756-MEJORAS-Registro de sugerencias de mejoras sobre aplicativos</v>
      </c>
      <c r="EH15" s="332"/>
      <c r="EI15" s="254"/>
      <c r="EJ15" s="264"/>
      <c r="EK15" s="250" t="str">
        <f t="shared" si="29"/>
        <v>--</v>
      </c>
      <c r="EL15" s="332"/>
      <c r="EM15" s="254"/>
      <c r="EN15" s="264"/>
      <c r="EO15" s="250" t="str">
        <f t="shared" si="30"/>
        <v>--</v>
      </c>
    </row>
    <row r="16" spans="2:145" s="89" customFormat="1" ht="25.5" customHeight="1" thickBot="1" x14ac:dyDescent="0.3">
      <c r="B16" s="98"/>
      <c r="C16" s="99" t="s">
        <v>1142</v>
      </c>
      <c r="D16" s="330" t="s">
        <v>1159</v>
      </c>
      <c r="E16" s="100" t="s">
        <v>275</v>
      </c>
      <c r="F16" s="101" t="s">
        <v>996</v>
      </c>
      <c r="G16" s="83" t="str">
        <f t="shared" si="31"/>
        <v>_13_Comercio_Exterior_Despacho</v>
      </c>
      <c r="I16" s="104" t="s">
        <v>390</v>
      </c>
      <c r="J16" s="105"/>
      <c r="M16" s="91"/>
      <c r="N16" s="108" t="s">
        <v>157</v>
      </c>
      <c r="O16" s="112" t="s">
        <v>154</v>
      </c>
      <c r="P16" s="91"/>
      <c r="Q16" s="86"/>
      <c r="R16" s="86"/>
      <c r="S16" s="86"/>
      <c r="T16" s="91"/>
      <c r="U16" s="237">
        <v>13</v>
      </c>
      <c r="V16" s="393"/>
      <c r="W16" s="394"/>
      <c r="X16" s="247"/>
      <c r="Y16" s="247"/>
      <c r="Z16" s="267"/>
      <c r="AA16" s="268"/>
      <c r="AB16" s="273"/>
      <c r="AC16" s="272" t="str">
        <f>CONCATENATE(Z16,"-",AA16,"-",AB16)</f>
        <v>--</v>
      </c>
      <c r="AD16" s="378">
        <v>192</v>
      </c>
      <c r="AE16" s="254" t="s">
        <v>1062</v>
      </c>
      <c r="AF16" s="276" t="s">
        <v>1253</v>
      </c>
      <c r="AG16" s="249" t="str">
        <f t="shared" si="5"/>
        <v>192-SAIT-Sistema de Importacion y Exportacion Temporal de Remolques y Semiremolques</v>
      </c>
      <c r="AH16" s="244"/>
      <c r="AI16" s="243"/>
      <c r="AJ16" s="232"/>
      <c r="AK16" s="233" t="str">
        <f t="shared" si="33"/>
        <v>--</v>
      </c>
      <c r="AL16" s="348">
        <v>618</v>
      </c>
      <c r="AM16" s="260" t="s">
        <v>893</v>
      </c>
      <c r="AN16" s="264" t="s">
        <v>771</v>
      </c>
      <c r="AO16" s="249" t="str">
        <f t="shared" si="6"/>
        <v>618-DIAMANTES-Servicio de Emisión de Correo Electrónico a la Aduana Extranjera de origen/destino a la Importación o Exportación de Diamantes en bruto</v>
      </c>
      <c r="AP16" s="384">
        <v>987</v>
      </c>
      <c r="AQ16" s="260" t="s">
        <v>1775</v>
      </c>
      <c r="AR16" s="235" t="s">
        <v>1778</v>
      </c>
      <c r="AS16" s="250" t="str">
        <f t="shared" ref="AS16:AS21" si="35">CONCATENATE(AP16,"-",AQ16,"-",AR16)</f>
        <v>987-MAT-CO_Vul-MAT Control de Obligaciones de Operaciones Vulnerables</v>
      </c>
      <c r="AT16" s="244"/>
      <c r="AU16" s="243"/>
      <c r="AV16" s="232"/>
      <c r="AW16" s="247" t="str">
        <f t="shared" si="22"/>
        <v>--</v>
      </c>
      <c r="AX16" s="358">
        <v>962</v>
      </c>
      <c r="AY16" s="260" t="s">
        <v>1584</v>
      </c>
      <c r="AZ16" s="264" t="s">
        <v>1585</v>
      </c>
      <c r="BA16" s="271" t="str">
        <f t="shared" si="8"/>
        <v>962-COMAS-Cumplimiento Obligaciones Fiscales en materia Subcontratación laboral</v>
      </c>
      <c r="BB16" s="522">
        <v>416</v>
      </c>
      <c r="BC16" s="284" t="s">
        <v>946</v>
      </c>
      <c r="BD16" s="285" t="s">
        <v>820</v>
      </c>
      <c r="BE16" s="271" t="str">
        <f t="shared" si="9"/>
        <v>416-VALIDADOR DE FIDEICOMISOS-Programa Validador de la Información generada por las Instituciones de Crédito, Aseguradoras, Afianzadoras y Casas de Bolsa, por la Obligación derivada del Art. 32-B Fracción VIII del CFF</v>
      </c>
      <c r="BF16" s="362">
        <v>404</v>
      </c>
      <c r="BG16" s="284" t="s">
        <v>950</v>
      </c>
      <c r="BH16" s="285" t="s">
        <v>966</v>
      </c>
      <c r="BI16" s="271" t="str">
        <f t="shared" si="10"/>
        <v>404-Forma R15- Declaración Informativa de Aprovechamientos por el Manejo, Almacenaje y Custodia de Mercancías de Comercio Exterior.</v>
      </c>
      <c r="BJ16" s="384">
        <v>851</v>
      </c>
      <c r="BK16" s="254" t="s">
        <v>1091</v>
      </c>
      <c r="BL16" s="277" t="s">
        <v>659</v>
      </c>
      <c r="BM16" s="271" t="str">
        <f t="shared" si="11"/>
        <v>851-F3241-FORMA 3241</v>
      </c>
      <c r="BN16" s="231"/>
      <c r="BO16" s="230"/>
      <c r="BP16" s="232"/>
      <c r="BQ16" s="247" t="str">
        <f>CONCATENATE(BN16,"-",BO16,"-",BP16)</f>
        <v>--</v>
      </c>
      <c r="BR16" s="231"/>
      <c r="BS16" s="230"/>
      <c r="BT16" s="232"/>
      <c r="BU16" s="283" t="str">
        <f t="shared" si="34"/>
        <v>--</v>
      </c>
      <c r="BV16" s="388">
        <v>637</v>
      </c>
      <c r="BW16" s="254" t="s">
        <v>1078</v>
      </c>
      <c r="BX16" s="264" t="s">
        <v>680</v>
      </c>
      <c r="BY16" s="533" t="str">
        <f t="shared" si="13"/>
        <v>637-DFE-Desdoble de Factura Electrónica</v>
      </c>
      <c r="BZ16" s="238"/>
      <c r="CA16" s="226"/>
      <c r="CB16" s="234"/>
      <c r="CC16" s="233" t="str">
        <f t="shared" si="23"/>
        <v>--</v>
      </c>
      <c r="CD16" s="364">
        <v>947</v>
      </c>
      <c r="CE16" s="260" t="s">
        <v>1407</v>
      </c>
      <c r="CF16" s="264" t="s">
        <v>1420</v>
      </c>
      <c r="CG16" s="533" t="str">
        <f t="shared" si="14"/>
        <v>947-MATCE - PR-MATCE -Pago Referenciado</v>
      </c>
      <c r="CH16" s="238"/>
      <c r="CI16" s="226"/>
      <c r="CJ16" s="234"/>
      <c r="CK16" s="290" t="str">
        <f t="shared" si="24"/>
        <v>--</v>
      </c>
      <c r="CL16" s="238"/>
      <c r="CM16" s="226"/>
      <c r="CN16" s="230"/>
      <c r="CO16" s="250" t="str">
        <f t="shared" ref="CO16:CO67" si="36">CONCATENATE(CL16,"-",CM16,"-",CN16)</f>
        <v>--</v>
      </c>
      <c r="CP16" s="231"/>
      <c r="CQ16" s="230"/>
      <c r="CR16" s="232"/>
      <c r="CS16" s="250" t="str">
        <f t="shared" si="25"/>
        <v>--</v>
      </c>
      <c r="CT16" s="231"/>
      <c r="CU16" s="230"/>
      <c r="CV16" s="232"/>
      <c r="CW16" s="283" t="str">
        <f t="shared" si="26"/>
        <v>--</v>
      </c>
      <c r="CX16" s="367">
        <v>606</v>
      </c>
      <c r="CY16" s="268" t="s">
        <v>1000</v>
      </c>
      <c r="CZ16" s="269" t="s">
        <v>694</v>
      </c>
      <c r="DA16" s="533" t="str">
        <f t="shared" si="16"/>
        <v>606-CSC-Sistema de Capital humano</v>
      </c>
      <c r="DB16" s="244"/>
      <c r="DC16" s="243"/>
      <c r="DD16" s="232"/>
      <c r="DE16" s="247" t="str">
        <f t="shared" si="32"/>
        <v>--</v>
      </c>
      <c r="DF16" s="281"/>
      <c r="DG16" s="268"/>
      <c r="DH16" s="269"/>
      <c r="DI16" s="250" t="str">
        <f t="shared" si="27"/>
        <v>--</v>
      </c>
      <c r="DJ16" s="352">
        <v>739</v>
      </c>
      <c r="DK16" s="254" t="s">
        <v>921</v>
      </c>
      <c r="DL16" s="264" t="s">
        <v>646</v>
      </c>
      <c r="DM16" s="533" t="str">
        <f t="shared" si="17"/>
        <v>739-PROMAINS-Modelo de Administración Tributaria Proceso Masivo de Inscripción</v>
      </c>
      <c r="DN16" s="340">
        <v>767</v>
      </c>
      <c r="DO16" s="260" t="s">
        <v>1037</v>
      </c>
      <c r="DP16" s="264" t="s">
        <v>734</v>
      </c>
      <c r="DQ16" s="533" t="str">
        <f t="shared" si="18"/>
        <v>767-PIT-Padrón de Tabacaleras</v>
      </c>
      <c r="DR16" s="231"/>
      <c r="DS16" s="230"/>
      <c r="DT16" s="232"/>
      <c r="DU16" s="283" t="str">
        <f t="shared" si="28"/>
        <v>--</v>
      </c>
      <c r="DV16" s="367">
        <v>964</v>
      </c>
      <c r="DW16" s="260" t="s">
        <v>1462</v>
      </c>
      <c r="DX16" s="264" t="s">
        <v>1457</v>
      </c>
      <c r="DY16" s="533" t="str">
        <f t="shared" si="19"/>
        <v>964-PAGR-Portal de la AGR en la IntraSAT</v>
      </c>
      <c r="DZ16" s="520">
        <v>252</v>
      </c>
      <c r="EA16" s="284" t="s">
        <v>1268</v>
      </c>
      <c r="EB16" s="285" t="s">
        <v>1569</v>
      </c>
      <c r="EC16" s="533" t="str">
        <f t="shared" si="20"/>
        <v>252-OP-JUPITER
Oficialía de partes</v>
      </c>
      <c r="ED16" s="375">
        <v>759</v>
      </c>
      <c r="EE16" s="254" t="s">
        <v>1020</v>
      </c>
      <c r="EF16" s="277" t="s">
        <v>128</v>
      </c>
      <c r="EG16" s="533" t="str">
        <f t="shared" si="21"/>
        <v>759-TAB_CTRL_SDMA-Tablero de Control</v>
      </c>
      <c r="EH16" s="281"/>
      <c r="EI16" s="268"/>
      <c r="EJ16" s="269"/>
      <c r="EK16" s="250" t="str">
        <f t="shared" si="29"/>
        <v>--</v>
      </c>
      <c r="EL16" s="281"/>
      <c r="EM16" s="268"/>
      <c r="EN16" s="269"/>
      <c r="EO16" s="250" t="str">
        <f t="shared" si="30"/>
        <v>--</v>
      </c>
    </row>
    <row r="17" spans="2:145" s="89" customFormat="1" ht="75.75" thickBot="1" x14ac:dyDescent="0.3">
      <c r="B17" s="98"/>
      <c r="C17" s="99" t="s">
        <v>1143</v>
      </c>
      <c r="D17" s="330" t="s">
        <v>1323</v>
      </c>
      <c r="E17" s="100" t="s">
        <v>270</v>
      </c>
      <c r="F17" s="101" t="s">
        <v>1324</v>
      </c>
      <c r="G17" s="83" t="str">
        <f t="shared" si="31"/>
        <v>_14_Planeación</v>
      </c>
      <c r="I17" s="90"/>
      <c r="M17" s="91"/>
      <c r="N17" s="108" t="s">
        <v>160</v>
      </c>
      <c r="O17" s="112" t="s">
        <v>155</v>
      </c>
      <c r="P17" s="91"/>
      <c r="Q17" s="91"/>
      <c r="R17" s="91"/>
      <c r="S17" s="91"/>
      <c r="T17" s="91"/>
      <c r="U17" s="237">
        <v>14</v>
      </c>
      <c r="V17" s="393"/>
      <c r="W17" s="394"/>
      <c r="X17" s="247"/>
      <c r="Y17" s="247"/>
      <c r="Z17" s="267"/>
      <c r="AA17" s="268"/>
      <c r="AB17" s="273"/>
      <c r="AC17" s="272" t="str">
        <f>CONCATENATE(Z17,"-",AA17,"-",AB17)</f>
        <v>--</v>
      </c>
      <c r="AD17" s="378">
        <v>195</v>
      </c>
      <c r="AE17" s="254" t="s">
        <v>1063</v>
      </c>
      <c r="AF17" s="276" t="s">
        <v>789</v>
      </c>
      <c r="AG17" s="249" t="str">
        <f t="shared" si="5"/>
        <v>195-SCAAA-Sistema de Control de Agentes y Apoderados Aduanales</v>
      </c>
      <c r="AH17" s="244"/>
      <c r="AI17" s="243"/>
      <c r="AJ17" s="232"/>
      <c r="AK17" s="233" t="str">
        <f t="shared" si="33"/>
        <v>--</v>
      </c>
      <c r="AL17" s="347">
        <v>640</v>
      </c>
      <c r="AM17" s="254" t="s">
        <v>894</v>
      </c>
      <c r="AN17" s="276" t="s">
        <v>800</v>
      </c>
      <c r="AO17" s="249" t="str">
        <f t="shared" si="6"/>
        <v>640-SIGER-PVC-Sistema de Gestión de Riesgo para el Programa Viajero Confiable</v>
      </c>
      <c r="AP17" s="117"/>
      <c r="AQ17" s="260"/>
      <c r="AR17" s="234"/>
      <c r="AS17" s="250"/>
      <c r="AT17" s="244"/>
      <c r="AU17" s="243"/>
      <c r="AV17" s="232"/>
      <c r="AW17" s="247" t="str">
        <f t="shared" si="22"/>
        <v>--</v>
      </c>
      <c r="AX17" s="358">
        <v>963</v>
      </c>
      <c r="AY17" s="260" t="s">
        <v>1586</v>
      </c>
      <c r="AZ17" s="264" t="s">
        <v>1587</v>
      </c>
      <c r="BA17" s="271" t="str">
        <f t="shared" si="8"/>
        <v xml:space="preserve">963-Forma 33-Declaración Informativa Múltiple del IEPS en Línea </v>
      </c>
      <c r="BB17" s="522">
        <v>417</v>
      </c>
      <c r="BC17" s="284" t="s">
        <v>947</v>
      </c>
      <c r="BD17" s="285" t="s">
        <v>821</v>
      </c>
      <c r="BE17" s="271" t="str">
        <f t="shared" si="9"/>
        <v>417-VALIDADOR DE INTERESES-Programa Validador para la Recepción de Intereses, Enajenación de Acciones, Sociedades de Inversión e Intereses Hipotecarios</v>
      </c>
      <c r="BF17" s="362">
        <v>418</v>
      </c>
      <c r="BG17" s="284" t="s">
        <v>953</v>
      </c>
      <c r="BH17" s="285" t="s">
        <v>658</v>
      </c>
      <c r="BI17" s="271" t="str">
        <f t="shared" si="10"/>
        <v>418-CONSULTA DE FEDATARIOS-Consulta de Enajenación de Casa-Habitación para Fedatarios Públicos</v>
      </c>
      <c r="BJ17" s="385">
        <v>893</v>
      </c>
      <c r="BK17" s="260" t="s">
        <v>1092</v>
      </c>
      <c r="BL17" s="264" t="s">
        <v>668</v>
      </c>
      <c r="BM17" s="271" t="str">
        <f t="shared" si="11"/>
        <v>893-INSUMOS_SAD-Generación de Insumos para MAT-SAD</v>
      </c>
      <c r="BN17" s="231"/>
      <c r="BO17" s="230"/>
      <c r="BP17" s="232"/>
      <c r="BQ17" s="247" t="str">
        <f>CONCATENATE(BN17,"-",BO17,"-",BP17)</f>
        <v>--</v>
      </c>
      <c r="BR17" s="231"/>
      <c r="BS17" s="230"/>
      <c r="BT17" s="232"/>
      <c r="BU17" s="283" t="str">
        <f t="shared" si="34"/>
        <v>--</v>
      </c>
      <c r="BV17" s="336">
        <v>691</v>
      </c>
      <c r="BW17" s="260" t="s">
        <v>1512</v>
      </c>
      <c r="BX17" s="264" t="s">
        <v>1513</v>
      </c>
      <c r="BY17" s="533" t="str">
        <f t="shared" si="13"/>
        <v>691-FI-Fiscalización Integral</v>
      </c>
      <c r="BZ17" s="231"/>
      <c r="CA17" s="230"/>
      <c r="CB17" s="232"/>
      <c r="CC17" s="233" t="str">
        <f t="shared" si="23"/>
        <v>--</v>
      </c>
      <c r="CD17" s="364">
        <v>1925</v>
      </c>
      <c r="CE17" s="268" t="s">
        <v>1408</v>
      </c>
      <c r="CF17" s="277" t="s">
        <v>1419</v>
      </c>
      <c r="CG17" s="533" t="str">
        <f t="shared" si="14"/>
        <v>1925-MAT - LDA-MATCE - Laboratorio de Aduanas</v>
      </c>
      <c r="CH17" s="231"/>
      <c r="CI17" s="230"/>
      <c r="CJ17" s="232"/>
      <c r="CK17" s="290" t="str">
        <f t="shared" si="24"/>
        <v>--</v>
      </c>
      <c r="CL17" s="231"/>
      <c r="CM17" s="230"/>
      <c r="CN17" s="226"/>
      <c r="CO17" s="250" t="str">
        <f t="shared" si="36"/>
        <v>--</v>
      </c>
      <c r="CP17" s="238"/>
      <c r="CQ17" s="226"/>
      <c r="CR17" s="234"/>
      <c r="CS17" s="250" t="str">
        <f t="shared" si="25"/>
        <v>--</v>
      </c>
      <c r="CT17" s="238"/>
      <c r="CU17" s="226"/>
      <c r="CV17" s="232"/>
      <c r="CW17" s="283" t="str">
        <f t="shared" si="26"/>
        <v>--</v>
      </c>
      <c r="CX17" s="386">
        <v>608</v>
      </c>
      <c r="CY17" s="268" t="s">
        <v>1095</v>
      </c>
      <c r="CZ17" s="269" t="s">
        <v>567</v>
      </c>
      <c r="DA17" s="533" t="str">
        <f t="shared" si="16"/>
        <v>608-ACCESOPROV-Acceso a Proveedores en CPN</v>
      </c>
      <c r="DB17" s="244"/>
      <c r="DC17" s="243"/>
      <c r="DD17" s="232"/>
      <c r="DE17" s="247" t="str">
        <f t="shared" si="32"/>
        <v>--</v>
      </c>
      <c r="DF17" s="332"/>
      <c r="DG17" s="254"/>
      <c r="DH17" s="264"/>
      <c r="DI17" s="250" t="str">
        <f t="shared" si="27"/>
        <v>--</v>
      </c>
      <c r="DJ17" s="352">
        <v>788</v>
      </c>
      <c r="DK17" s="254" t="s">
        <v>922</v>
      </c>
      <c r="DL17" s="264" t="s">
        <v>691</v>
      </c>
      <c r="DM17" s="533" t="str">
        <f t="shared" si="17"/>
        <v>788-IDC Interno-Webservice (Internos y Externo)</v>
      </c>
      <c r="DN17" s="470">
        <v>799</v>
      </c>
      <c r="DO17" s="254" t="s">
        <v>757</v>
      </c>
      <c r="DP17" s="264" t="s">
        <v>757</v>
      </c>
      <c r="DQ17" s="533" t="str">
        <f t="shared" si="18"/>
        <v>799-SAC-BPM-SAC-BPM</v>
      </c>
      <c r="DR17" s="231"/>
      <c r="DS17" s="230"/>
      <c r="DT17" s="232"/>
      <c r="DU17" s="283" t="str">
        <f t="shared" si="28"/>
        <v>--</v>
      </c>
      <c r="DV17" s="367">
        <v>965</v>
      </c>
      <c r="DW17" s="260" t="s">
        <v>1557</v>
      </c>
      <c r="DX17" s="264" t="s">
        <v>1458</v>
      </c>
      <c r="DY17" s="533" t="str">
        <f t="shared" si="19"/>
        <v>965-PAGAFF-Portal de la AGAFF en la IntraSAT</v>
      </c>
      <c r="DZ17" s="520">
        <v>255</v>
      </c>
      <c r="EA17" s="284" t="s">
        <v>1269</v>
      </c>
      <c r="EB17" s="285" t="s">
        <v>1570</v>
      </c>
      <c r="EC17" s="533" t="str">
        <f t="shared" si="20"/>
        <v>255-RA-JUPITER
Recursos Administrativos</v>
      </c>
      <c r="ED17" s="375">
        <v>760</v>
      </c>
      <c r="EE17" s="254" t="s">
        <v>1021</v>
      </c>
      <c r="EF17" s="277" t="s">
        <v>781</v>
      </c>
      <c r="EG17" s="533" t="str">
        <f t="shared" si="21"/>
        <v>760-TAB_VAL-Tablero de Valoración</v>
      </c>
      <c r="EH17" s="332"/>
      <c r="EI17" s="254"/>
      <c r="EJ17" s="264"/>
      <c r="EK17" s="250" t="str">
        <f t="shared" si="29"/>
        <v>--</v>
      </c>
      <c r="EL17" s="332"/>
      <c r="EM17" s="254"/>
      <c r="EN17" s="264"/>
      <c r="EO17" s="250" t="str">
        <f t="shared" si="30"/>
        <v>--</v>
      </c>
    </row>
    <row r="18" spans="2:145" s="89" customFormat="1" ht="47.25" customHeight="1" thickBot="1" x14ac:dyDescent="0.3">
      <c r="B18" s="98"/>
      <c r="C18" s="99" t="s">
        <v>1144</v>
      </c>
      <c r="D18" s="330" t="s">
        <v>1325</v>
      </c>
      <c r="E18" s="100" t="s">
        <v>1326</v>
      </c>
      <c r="F18" s="101" t="s">
        <v>1327</v>
      </c>
      <c r="G18" s="83" t="str">
        <f t="shared" si="31"/>
        <v>_15_Internos_de_Control</v>
      </c>
      <c r="I18" s="90"/>
      <c r="J18" s="12"/>
      <c r="M18" s="91"/>
      <c r="N18" s="109" t="s">
        <v>159</v>
      </c>
      <c r="O18" s="113" t="s">
        <v>121</v>
      </c>
      <c r="P18" s="91"/>
      <c r="Q18" s="91"/>
      <c r="R18" s="91"/>
      <c r="S18" s="91"/>
      <c r="T18" s="91"/>
      <c r="U18" s="237">
        <v>15</v>
      </c>
      <c r="V18" s="393"/>
      <c r="W18" s="394"/>
      <c r="X18" s="247"/>
      <c r="Y18" s="247"/>
      <c r="Z18" s="267"/>
      <c r="AA18" s="268"/>
      <c r="AB18" s="273"/>
      <c r="AC18" s="272" t="str">
        <f>CONCATENATE(Z18,"-",AA18,"-",AB18)</f>
        <v>--</v>
      </c>
      <c r="AD18" s="378">
        <v>196</v>
      </c>
      <c r="AE18" s="274" t="s">
        <v>1479</v>
      </c>
      <c r="AF18" s="276" t="s">
        <v>767</v>
      </c>
      <c r="AG18" s="249" t="str">
        <f t="shared" si="5"/>
        <v>196-SELECCION_AUTOMATIZADA-Selección Automatizada</v>
      </c>
      <c r="AH18" s="244"/>
      <c r="AI18" s="243"/>
      <c r="AJ18" s="232"/>
      <c r="AK18" s="233" t="str">
        <f t="shared" si="33"/>
        <v>--</v>
      </c>
      <c r="AL18" s="346">
        <v>646</v>
      </c>
      <c r="AM18" s="260" t="s">
        <v>1046</v>
      </c>
      <c r="AN18" s="264" t="s">
        <v>588</v>
      </c>
      <c r="AO18" s="249" t="str">
        <f t="shared" si="6"/>
        <v>646-INAMI-Declaración de Pasajeros y Excedente de Franquicia</v>
      </c>
      <c r="AP18" s="117"/>
      <c r="AQ18" s="260"/>
      <c r="AR18" s="235"/>
      <c r="AS18" s="250"/>
      <c r="AT18" s="244"/>
      <c r="AU18" s="243"/>
      <c r="AV18" s="232"/>
      <c r="AW18" s="247" t="str">
        <f t="shared" si="22"/>
        <v>--</v>
      </c>
      <c r="AX18" s="358">
        <v>969</v>
      </c>
      <c r="AY18" s="260" t="s">
        <v>1393</v>
      </c>
      <c r="AZ18" s="264" t="s">
        <v>1391</v>
      </c>
      <c r="BA18" s="271" t="str">
        <f t="shared" si="8"/>
        <v>969-DNOT-DeclaraNOT en Línea</v>
      </c>
      <c r="BB18" s="522">
        <v>478</v>
      </c>
      <c r="BC18" s="284" t="s">
        <v>1819</v>
      </c>
      <c r="BD18" s="285" t="s">
        <v>1820</v>
      </c>
      <c r="BE18" s="271" t="str">
        <f t="shared" ref="BE18" si="37">CONCATENATE(TEXT(BB18,"000"),"-",BC18,"-",BD18)</f>
        <v>478-DYP-Generar el proceso de integración y analítico del determinación de los pagos de Personas físicas y Morales y de los datos del clasificador generados en la determinación</v>
      </c>
      <c r="BF18" s="362">
        <v>421</v>
      </c>
      <c r="BG18" s="284" t="s">
        <v>956</v>
      </c>
      <c r="BH18" s="285" t="s">
        <v>722</v>
      </c>
      <c r="BI18" s="271" t="str">
        <f t="shared" si="10"/>
        <v>421-DIFPE-Declaración Informativa de Fomento al Primer Empleo</v>
      </c>
      <c r="BJ18" s="389">
        <v>900</v>
      </c>
      <c r="BK18" s="260" t="s">
        <v>1200</v>
      </c>
      <c r="BL18" s="264" t="s">
        <v>1201</v>
      </c>
      <c r="BM18" s="271" t="str">
        <f t="shared" si="11"/>
        <v>900-Reportes_TESOFE-Reportes de Pago de Devoluciones Manuales a TESOFE MAT DYC</v>
      </c>
      <c r="BN18" s="231"/>
      <c r="BO18" s="230"/>
      <c r="BP18" s="232"/>
      <c r="BQ18" s="247" t="str">
        <f>CONCATENATE(BN18,"-",BO18,"-",BP18)</f>
        <v>--</v>
      </c>
      <c r="BR18" s="231"/>
      <c r="BS18" s="230"/>
      <c r="BT18" s="232"/>
      <c r="BU18" s="283" t="str">
        <f t="shared" si="34"/>
        <v>--</v>
      </c>
      <c r="BV18" s="336">
        <v>748</v>
      </c>
      <c r="BW18" s="260" t="s">
        <v>844</v>
      </c>
      <c r="BX18" s="264" t="s">
        <v>1224</v>
      </c>
      <c r="BY18" s="533" t="str">
        <f t="shared" si="13"/>
        <v>748-ContabE-Contabilidad Electrónica</v>
      </c>
      <c r="BZ18" s="238"/>
      <c r="CA18" s="226"/>
      <c r="CB18" s="234"/>
      <c r="CC18" s="233" t="str">
        <f t="shared" si="23"/>
        <v>--</v>
      </c>
      <c r="CD18" s="364">
        <v>2925</v>
      </c>
      <c r="CE18" s="268" t="s">
        <v>1409</v>
      </c>
      <c r="CF18" s="277" t="s">
        <v>1418</v>
      </c>
      <c r="CG18" s="533" t="str">
        <f t="shared" si="14"/>
        <v>2925-MAT - OE-MATCE - Ordenes y Escaneo</v>
      </c>
      <c r="CH18" s="238"/>
      <c r="CI18" s="226"/>
      <c r="CJ18" s="234"/>
      <c r="CK18" s="290" t="str">
        <f t="shared" si="24"/>
        <v>--</v>
      </c>
      <c r="CL18" s="238"/>
      <c r="CM18" s="226"/>
      <c r="CN18" s="230"/>
      <c r="CO18" s="250" t="str">
        <f t="shared" si="36"/>
        <v>--</v>
      </c>
      <c r="CP18" s="231"/>
      <c r="CQ18" s="230"/>
      <c r="CR18" s="232"/>
      <c r="CS18" s="250" t="str">
        <f t="shared" si="25"/>
        <v>--</v>
      </c>
      <c r="CT18" s="231"/>
      <c r="CU18" s="230"/>
      <c r="CV18" s="232"/>
      <c r="CW18" s="283" t="str">
        <f t="shared" si="26"/>
        <v>--</v>
      </c>
      <c r="CX18" s="370">
        <v>653</v>
      </c>
      <c r="CY18" s="302" t="s">
        <v>1001</v>
      </c>
      <c r="CZ18" s="303" t="s">
        <v>719</v>
      </c>
      <c r="DA18" s="533" t="str">
        <f t="shared" si="16"/>
        <v>653-POA-Sistema Programa Operativo Anual ( POA)</v>
      </c>
      <c r="DB18" s="244"/>
      <c r="DC18" s="243"/>
      <c r="DD18" s="232"/>
      <c r="DE18" s="247" t="str">
        <f t="shared" si="32"/>
        <v>--</v>
      </c>
      <c r="DF18" s="281"/>
      <c r="DG18" s="268"/>
      <c r="DH18" s="269"/>
      <c r="DI18" s="250" t="str">
        <f t="shared" si="27"/>
        <v>--</v>
      </c>
      <c r="DJ18" s="352">
        <v>789</v>
      </c>
      <c r="DK18" s="254" t="s">
        <v>923</v>
      </c>
      <c r="DL18" s="264" t="s">
        <v>594</v>
      </c>
      <c r="DM18" s="533" t="str">
        <f t="shared" si="17"/>
        <v>789-MAT Cuestionario ODM-Cuestionario ODM</v>
      </c>
      <c r="DN18" s="352">
        <v>850</v>
      </c>
      <c r="DO18" s="254" t="s">
        <v>912</v>
      </c>
      <c r="DP18" s="264" t="s">
        <v>701</v>
      </c>
      <c r="DQ18" s="533" t="str">
        <f t="shared" si="18"/>
        <v>850-EXPVIEW (Webtop)-Herramienta para visualizar la información digitalizada obtenida en SaC e IdC.</v>
      </c>
      <c r="DR18" s="231"/>
      <c r="DS18" s="230"/>
      <c r="DT18" s="232"/>
      <c r="DU18" s="283" t="str">
        <f t="shared" si="28"/>
        <v>--</v>
      </c>
      <c r="DV18" s="367">
        <v>966</v>
      </c>
      <c r="DW18" s="260" t="s">
        <v>1463</v>
      </c>
      <c r="DX18" s="264" t="s">
        <v>1459</v>
      </c>
      <c r="DY18" s="533" t="str">
        <f t="shared" si="19"/>
        <v>966-PAGH-Portal de la AGH en la IntraSAT</v>
      </c>
      <c r="DZ18" s="520">
        <v>260</v>
      </c>
      <c r="EA18" s="284" t="s">
        <v>1270</v>
      </c>
      <c r="EB18" s="285" t="s">
        <v>1571</v>
      </c>
      <c r="EC18" s="533" t="str">
        <f t="shared" si="20"/>
        <v>260-SEGURIDAD WEB-JUPITER
Seguridad JUPITER WEB</v>
      </c>
      <c r="ED18" s="372">
        <v>774</v>
      </c>
      <c r="EE18" s="268" t="s">
        <v>1022</v>
      </c>
      <c r="EF18" s="269" t="s">
        <v>1578</v>
      </c>
      <c r="EG18" s="533" t="str">
        <f t="shared" si="21"/>
        <v>774-SICAP-Herramienta para el control y gestión de cursos dentro de la ACDMA</v>
      </c>
      <c r="EH18" s="281"/>
      <c r="EI18" s="268"/>
      <c r="EJ18" s="269"/>
      <c r="EK18" s="250" t="str">
        <f t="shared" si="29"/>
        <v>--</v>
      </c>
      <c r="EL18" s="281"/>
      <c r="EM18" s="268"/>
      <c r="EN18" s="269"/>
      <c r="EO18" s="250" t="str">
        <f t="shared" si="30"/>
        <v>--</v>
      </c>
    </row>
    <row r="19" spans="2:145" s="89" customFormat="1" ht="60.75" thickBot="1" x14ac:dyDescent="0.3">
      <c r="B19" s="98"/>
      <c r="C19" s="99" t="s">
        <v>1145</v>
      </c>
      <c r="D19" s="330" t="s">
        <v>1328</v>
      </c>
      <c r="E19" s="100" t="s">
        <v>271</v>
      </c>
      <c r="F19" s="101" t="s">
        <v>1329</v>
      </c>
      <c r="G19" s="83" t="str">
        <f t="shared" si="31"/>
        <v>_16_Jurídicos</v>
      </c>
      <c r="I19" s="90"/>
      <c r="J19" s="12"/>
      <c r="M19" s="91"/>
      <c r="N19" s="91"/>
      <c r="O19" s="91"/>
      <c r="P19" s="91"/>
      <c r="Q19" s="91"/>
      <c r="R19" s="91"/>
      <c r="S19" s="91"/>
      <c r="T19" s="91"/>
      <c r="U19" s="237">
        <v>16</v>
      </c>
      <c r="V19" s="393"/>
      <c r="W19" s="394"/>
      <c r="X19" s="247"/>
      <c r="Y19" s="247"/>
      <c r="Z19" s="267"/>
      <c r="AA19" s="268"/>
      <c r="AB19" s="273"/>
      <c r="AC19" s="272" t="str">
        <f t="shared" ref="AC19:AC63" si="38">CONCATENATE(Z19,"-",AA19,"-",AB19)</f>
        <v>--</v>
      </c>
      <c r="AD19" s="347">
        <v>199</v>
      </c>
      <c r="AE19" s="254" t="s">
        <v>877</v>
      </c>
      <c r="AF19" s="276" t="s">
        <v>785</v>
      </c>
      <c r="AG19" s="249" t="str">
        <f t="shared" si="5"/>
        <v>199-SICADED-Sistema de Captura de Declaraciones de Dinero</v>
      </c>
      <c r="AH19" s="244"/>
      <c r="AI19" s="243"/>
      <c r="AJ19" s="232"/>
      <c r="AK19" s="233" t="str">
        <f t="shared" si="33"/>
        <v>--</v>
      </c>
      <c r="AL19" s="388">
        <v>670</v>
      </c>
      <c r="AM19" s="260" t="s">
        <v>598</v>
      </c>
      <c r="AN19" s="264" t="s">
        <v>598</v>
      </c>
      <c r="AO19" s="249" t="str">
        <f t="shared" si="6"/>
        <v>670-ETL Balanza Comercial-ETL Balanza Comercial</v>
      </c>
      <c r="AP19" s="117"/>
      <c r="AQ19" s="254"/>
      <c r="AR19" s="235"/>
      <c r="AS19" s="250" t="str">
        <f t="shared" si="35"/>
        <v>--</v>
      </c>
      <c r="AT19" s="244"/>
      <c r="AU19" s="243"/>
      <c r="AV19" s="232"/>
      <c r="AW19" s="247" t="str">
        <f t="shared" si="22"/>
        <v>--</v>
      </c>
      <c r="AX19" s="358">
        <v>971</v>
      </c>
      <c r="AY19" s="260" t="s">
        <v>1394</v>
      </c>
      <c r="AZ19" s="264" t="s">
        <v>1392</v>
      </c>
      <c r="BA19" s="271" t="str">
        <f t="shared" si="8"/>
        <v>971-DPARTES-Declaración Informativa de Partes Relacionadas</v>
      </c>
      <c r="BB19" s="522">
        <v>481</v>
      </c>
      <c r="BC19" s="284" t="s">
        <v>1821</v>
      </c>
      <c r="BD19" s="285" t="s">
        <v>1822</v>
      </c>
      <c r="BE19" s="271" t="str">
        <f t="shared" ref="BE19" si="39">CONCATENATE(TEXT(BB19,"000"),"-",BC19,"-",BD19)</f>
        <v>481-NEPE-1-Realizar la recepción, procesamiento y almacenamiento de los pagos, avisos en cero y declaraciones correctivas de PM y PF.</v>
      </c>
      <c r="BF19" s="362">
        <v>501</v>
      </c>
      <c r="BG19" s="260" t="s">
        <v>959</v>
      </c>
      <c r="BH19" s="264" t="s">
        <v>1495</v>
      </c>
      <c r="BI19" s="271" t="str">
        <f t="shared" si="10"/>
        <v>501-SISPR-Declaraciones y otros documentos con LC</v>
      </c>
      <c r="BJ19" s="389">
        <v>975</v>
      </c>
      <c r="BK19" s="260" t="s">
        <v>1505</v>
      </c>
      <c r="BL19" s="264" t="s">
        <v>1506</v>
      </c>
      <c r="BM19" s="271" t="str">
        <f t="shared" si="11"/>
        <v>975-BI-TDD-Trazabilidad de Declaraciones y Devoluciones Ejercicio 2016</v>
      </c>
      <c r="BN19" s="231"/>
      <c r="BO19" s="230"/>
      <c r="BP19" s="232"/>
      <c r="BQ19" s="247" t="str">
        <f t="shared" ref="BQ19:BQ27" si="40">CONCATENATE(BN19,"-",BO19,"-",BP19)</f>
        <v>--</v>
      </c>
      <c r="BR19" s="231"/>
      <c r="BS19" s="230"/>
      <c r="BT19" s="232"/>
      <c r="BU19" s="283" t="str">
        <f t="shared" si="34"/>
        <v>--</v>
      </c>
      <c r="BV19" s="463">
        <v>775</v>
      </c>
      <c r="BW19" s="260" t="s">
        <v>850</v>
      </c>
      <c r="BX19" s="264" t="s">
        <v>743</v>
      </c>
      <c r="BY19" s="533" t="str">
        <f t="shared" si="13"/>
        <v>775-SCP-Sistema de Contadores Públicos</v>
      </c>
      <c r="BZ19" s="238"/>
      <c r="CA19" s="226"/>
      <c r="CB19" s="234"/>
      <c r="CC19" s="233" t="str">
        <f t="shared" si="23"/>
        <v>--</v>
      </c>
      <c r="CD19" s="364">
        <v>3925</v>
      </c>
      <c r="CE19" s="268" t="s">
        <v>1410</v>
      </c>
      <c r="CF19" s="277" t="s">
        <v>1417</v>
      </c>
      <c r="CG19" s="533" t="str">
        <f t="shared" si="14"/>
        <v>3925-MAT - ADMIN - CAT-MATCE - Administrador de Catálogos</v>
      </c>
      <c r="CH19" s="238"/>
      <c r="CI19" s="226"/>
      <c r="CJ19" s="234"/>
      <c r="CK19" s="290" t="str">
        <f t="shared" si="24"/>
        <v>--</v>
      </c>
      <c r="CL19" s="238"/>
      <c r="CM19" s="226"/>
      <c r="CN19" s="230"/>
      <c r="CO19" s="250" t="str">
        <f t="shared" si="36"/>
        <v>--</v>
      </c>
      <c r="CP19" s="231"/>
      <c r="CQ19" s="230"/>
      <c r="CR19" s="232"/>
      <c r="CS19" s="250" t="str">
        <f t="shared" si="25"/>
        <v>--</v>
      </c>
      <c r="CT19" s="231"/>
      <c r="CU19" s="230"/>
      <c r="CV19" s="232"/>
      <c r="CW19" s="283" t="str">
        <f t="shared" si="26"/>
        <v>--</v>
      </c>
      <c r="CX19" s="465">
        <v>772</v>
      </c>
      <c r="CY19" s="260" t="s">
        <v>1007</v>
      </c>
      <c r="CZ19" s="264" t="s">
        <v>707</v>
      </c>
      <c r="DA19" s="533" t="str">
        <f t="shared" si="16"/>
        <v>772-MAPA_SAT-Mapa Interactivo Funcionarios SAT</v>
      </c>
      <c r="DB19" s="244"/>
      <c r="DC19" s="243"/>
      <c r="DD19" s="232"/>
      <c r="DE19" s="247" t="str">
        <f t="shared" si="32"/>
        <v>--</v>
      </c>
      <c r="DF19" s="332"/>
      <c r="DG19" s="254"/>
      <c r="DH19" s="264"/>
      <c r="DI19" s="250" t="str">
        <f t="shared" si="27"/>
        <v>--</v>
      </c>
      <c r="DJ19" s="352">
        <v>790</v>
      </c>
      <c r="DK19" s="254" t="s">
        <v>924</v>
      </c>
      <c r="DL19" s="264" t="s">
        <v>654</v>
      </c>
      <c r="DM19" s="533" t="str">
        <f t="shared" si="17"/>
        <v>790-MAT Lavado de Dinero-Portal Anti Lavado de Dinero</v>
      </c>
      <c r="DN19" s="385">
        <v>866</v>
      </c>
      <c r="DO19" s="260" t="s">
        <v>1097</v>
      </c>
      <c r="DP19" s="264" t="s">
        <v>595</v>
      </c>
      <c r="DQ19" s="533" t="str">
        <f t="shared" si="18"/>
        <v>866-COMPILACION-Compilación Fiscal y Aduanera</v>
      </c>
      <c r="DR19" s="231"/>
      <c r="DS19" s="230"/>
      <c r="DT19" s="232"/>
      <c r="DU19" s="283" t="str">
        <f t="shared" si="28"/>
        <v>--</v>
      </c>
      <c r="DV19" s="367">
        <v>967</v>
      </c>
      <c r="DW19" s="260" t="s">
        <v>1464</v>
      </c>
      <c r="DX19" s="264" t="s">
        <v>1460</v>
      </c>
      <c r="DY19" s="533" t="str">
        <f t="shared" si="19"/>
        <v>967-PAGJ-Portal de la AGJ en la IntraSAT</v>
      </c>
      <c r="DZ19" s="520">
        <v>261</v>
      </c>
      <c r="EA19" s="284" t="s">
        <v>102</v>
      </c>
      <c r="EB19" s="285" t="s">
        <v>1572</v>
      </c>
      <c r="EC19" s="533" t="str">
        <f t="shared" si="20"/>
        <v>261-SC-JUPITER
Servicios al Contribuyente</v>
      </c>
      <c r="ED19" s="388">
        <v>777</v>
      </c>
      <c r="EE19" s="254" t="s">
        <v>1112</v>
      </c>
      <c r="EF19" s="264" t="s">
        <v>727</v>
      </c>
      <c r="EG19" s="533" t="str">
        <f t="shared" si="21"/>
        <v>777-MONSI-Monitor del Servicio de Identidades</v>
      </c>
      <c r="EH19" s="332"/>
      <c r="EI19" s="254"/>
      <c r="EJ19" s="264"/>
      <c r="EK19" s="250" t="str">
        <f t="shared" si="29"/>
        <v>--</v>
      </c>
      <c r="EL19" s="332"/>
      <c r="EM19" s="254"/>
      <c r="EN19" s="264"/>
      <c r="EO19" s="250" t="str">
        <f t="shared" si="30"/>
        <v>--</v>
      </c>
    </row>
    <row r="20" spans="2:145" s="89" customFormat="1" ht="45.75" thickBot="1" x14ac:dyDescent="0.3">
      <c r="B20" s="98"/>
      <c r="C20" s="99" t="s">
        <v>1146</v>
      </c>
      <c r="D20" s="330" t="s">
        <v>1330</v>
      </c>
      <c r="E20" s="100" t="s">
        <v>264</v>
      </c>
      <c r="F20" s="101" t="s">
        <v>1331</v>
      </c>
      <c r="G20" s="83" t="str">
        <f t="shared" si="31"/>
        <v>_17_Transversales_de_TI</v>
      </c>
      <c r="J20" s="12"/>
      <c r="M20" s="91"/>
      <c r="N20" s="91"/>
      <c r="O20" s="91"/>
      <c r="P20" s="91"/>
      <c r="Q20" s="91"/>
      <c r="R20" s="91"/>
      <c r="S20" s="91"/>
      <c r="T20" s="91"/>
      <c r="U20" s="237">
        <v>17</v>
      </c>
      <c r="V20" s="393"/>
      <c r="W20" s="394"/>
      <c r="X20" s="247"/>
      <c r="Y20" s="247"/>
      <c r="Z20" s="261"/>
      <c r="AA20" s="254"/>
      <c r="AB20" s="266"/>
      <c r="AC20" s="272" t="str">
        <f t="shared" si="38"/>
        <v>--</v>
      </c>
      <c r="AD20" s="378">
        <v>200</v>
      </c>
      <c r="AE20" s="254" t="s">
        <v>1064</v>
      </c>
      <c r="AF20" s="276" t="s">
        <v>791</v>
      </c>
      <c r="AG20" s="249" t="str">
        <f t="shared" si="5"/>
        <v>200-SICOCA-Sistema de Control de Catálogos</v>
      </c>
      <c r="AH20" s="238"/>
      <c r="AI20" s="226"/>
      <c r="AJ20" s="232"/>
      <c r="AK20" s="233" t="str">
        <f t="shared" si="33"/>
        <v>--</v>
      </c>
      <c r="AL20" s="388">
        <v>671</v>
      </c>
      <c r="AM20" s="260" t="s">
        <v>617</v>
      </c>
      <c r="AN20" s="264" t="s">
        <v>617</v>
      </c>
      <c r="AO20" s="249" t="str">
        <f t="shared" si="6"/>
        <v>671-Northbound-Northbound</v>
      </c>
      <c r="AP20" s="258"/>
      <c r="AQ20" s="254"/>
      <c r="AR20" s="235"/>
      <c r="AS20" s="250" t="str">
        <f t="shared" si="35"/>
        <v>--</v>
      </c>
      <c r="AT20" s="244"/>
      <c r="AU20" s="243"/>
      <c r="AV20" s="232"/>
      <c r="AW20" s="247" t="str">
        <f t="shared" si="22"/>
        <v>--</v>
      </c>
      <c r="AX20" s="358">
        <v>979</v>
      </c>
      <c r="AY20" s="260" t="s">
        <v>1588</v>
      </c>
      <c r="AZ20" s="264" t="s">
        <v>1589</v>
      </c>
      <c r="BA20" s="271" t="str">
        <f t="shared" si="8"/>
        <v xml:space="preserve">979-CBC-País por País </v>
      </c>
      <c r="BB20" s="523">
        <v>630</v>
      </c>
      <c r="BC20" s="524" t="s">
        <v>1088</v>
      </c>
      <c r="BD20" s="303" t="s">
        <v>818</v>
      </c>
      <c r="BE20" s="271" t="str">
        <f t="shared" ref="BE20:BE28" si="41">CONCATENATE(TEXT(BB20,"000"),"-",BC20,"-",BD20)</f>
        <v>630-PORTAL ANTILAVADO-Portal de Operaciones Vulnerables</v>
      </c>
      <c r="BF20" s="362">
        <v>631</v>
      </c>
      <c r="BG20" s="254" t="s">
        <v>958</v>
      </c>
      <c r="BH20" s="264" t="s">
        <v>827</v>
      </c>
      <c r="BI20" s="271" t="str">
        <f t="shared" si="10"/>
        <v>631-VDIMM-Validador de Declaraciones Informativas en Medios Magnéticos</v>
      </c>
      <c r="BJ20" s="389">
        <v>991</v>
      </c>
      <c r="BK20" s="260" t="s">
        <v>1809</v>
      </c>
      <c r="BL20" s="264" t="s">
        <v>1810</v>
      </c>
      <c r="BM20" s="271" t="str">
        <f t="shared" si="11"/>
        <v>991-Insumos_Compe-Proyecto ETL generación de insumos del proceso de control de compensaciones</v>
      </c>
      <c r="BN20" s="231"/>
      <c r="BO20" s="230"/>
      <c r="BP20" s="232"/>
      <c r="BQ20" s="247" t="str">
        <f t="shared" si="40"/>
        <v>--</v>
      </c>
      <c r="BR20" s="231"/>
      <c r="BS20" s="230"/>
      <c r="BT20" s="232"/>
      <c r="BU20" s="283" t="str">
        <f t="shared" si="34"/>
        <v>--</v>
      </c>
      <c r="BV20" s="388">
        <v>779</v>
      </c>
      <c r="BW20" s="254" t="s">
        <v>1094</v>
      </c>
      <c r="BX20" s="287" t="s">
        <v>715</v>
      </c>
      <c r="BY20" s="533" t="str">
        <f t="shared" si="13"/>
        <v>779-BSC AGAFF-Indicadores de tableros de mando de AGAFF</v>
      </c>
      <c r="BZ20" s="238"/>
      <c r="CA20" s="226"/>
      <c r="CB20" s="234"/>
      <c r="CC20" s="233" t="str">
        <f t="shared" si="23"/>
        <v>--</v>
      </c>
      <c r="CD20" s="364">
        <v>4925</v>
      </c>
      <c r="CE20" s="268" t="s">
        <v>1411</v>
      </c>
      <c r="CF20" s="277" t="s">
        <v>1416</v>
      </c>
      <c r="CG20" s="533" t="str">
        <f t="shared" si="14"/>
        <v>4925-MAT - ADMIN - SERV-MATCE - Administrador de Servicios</v>
      </c>
      <c r="CH20" s="238"/>
      <c r="CI20" s="226"/>
      <c r="CJ20" s="234"/>
      <c r="CK20" s="290" t="str">
        <f t="shared" si="24"/>
        <v>--</v>
      </c>
      <c r="CL20" s="238"/>
      <c r="CM20" s="226"/>
      <c r="CN20" s="230"/>
      <c r="CO20" s="250" t="str">
        <f t="shared" si="36"/>
        <v>--</v>
      </c>
      <c r="CP20" s="231"/>
      <c r="CQ20" s="230"/>
      <c r="CR20" s="232"/>
      <c r="CS20" s="250" t="str">
        <f t="shared" si="25"/>
        <v>--</v>
      </c>
      <c r="CT20" s="231"/>
      <c r="CU20" s="230"/>
      <c r="CV20" s="232"/>
      <c r="CW20" s="283" t="str">
        <f t="shared" si="26"/>
        <v>--</v>
      </c>
      <c r="CX20" s="367">
        <v>803</v>
      </c>
      <c r="CY20" s="260" t="s">
        <v>1002</v>
      </c>
      <c r="CZ20" s="264" t="s">
        <v>712</v>
      </c>
      <c r="DA20" s="533" t="str">
        <f t="shared" si="16"/>
        <v>803-SRCFD-Sistema de Recepción de Comprobantes Fiscales Digitales</v>
      </c>
      <c r="DB20" s="244"/>
      <c r="DC20" s="243"/>
      <c r="DD20" s="232"/>
      <c r="DE20" s="247" t="str">
        <f t="shared" si="32"/>
        <v>--</v>
      </c>
      <c r="DF20" s="332"/>
      <c r="DG20" s="254"/>
      <c r="DH20" s="264"/>
      <c r="DI20" s="250" t="str">
        <f t="shared" si="27"/>
        <v>--</v>
      </c>
      <c r="DJ20" s="354">
        <v>791</v>
      </c>
      <c r="DK20" s="254" t="s">
        <v>1452</v>
      </c>
      <c r="DL20" s="264" t="s">
        <v>1451</v>
      </c>
      <c r="DM20" s="533" t="str">
        <f t="shared" si="17"/>
        <v>791-MAT Masivos-Masivos de Inscripción</v>
      </c>
      <c r="DN20" s="382">
        <v>869</v>
      </c>
      <c r="DO20" s="254" t="s">
        <v>1119</v>
      </c>
      <c r="DP20" s="264" t="s">
        <v>1377</v>
      </c>
      <c r="DQ20" s="533" t="str">
        <f t="shared" si="18"/>
        <v>869-CITASAT-CitaSAT - Sistema de Citas y Control de Turnos</v>
      </c>
      <c r="DR20" s="238"/>
      <c r="DS20" s="226"/>
      <c r="DT20" s="232"/>
      <c r="DU20" s="283" t="str">
        <f t="shared" si="28"/>
        <v>--</v>
      </c>
      <c r="DV20" s="367">
        <v>968</v>
      </c>
      <c r="DW20" s="260" t="s">
        <v>1465</v>
      </c>
      <c r="DX20" s="264" t="s">
        <v>1461</v>
      </c>
      <c r="DY20" s="533" t="str">
        <f t="shared" si="19"/>
        <v>968-PAGP-Portal de la AGP en la IntraSAT</v>
      </c>
      <c r="DZ20" s="520">
        <v>269</v>
      </c>
      <c r="EA20" s="284" t="s">
        <v>1271</v>
      </c>
      <c r="EB20" s="285" t="s">
        <v>1573</v>
      </c>
      <c r="EC20" s="533" t="str">
        <f t="shared" si="20"/>
        <v>269-SIPECA-JUPITER
Pestaña, Carátula y Volantes</v>
      </c>
      <c r="ED20" s="384">
        <v>804</v>
      </c>
      <c r="EE20" s="333" t="s">
        <v>1579</v>
      </c>
      <c r="EF20" s="287" t="s">
        <v>766</v>
      </c>
      <c r="EG20" s="533" t="str">
        <f t="shared" si="21"/>
        <v>804-NEBULA-Repositorio de Seguridad de la Información - Nébula</v>
      </c>
      <c r="EH20" s="332"/>
      <c r="EI20" s="254"/>
      <c r="EJ20" s="264"/>
      <c r="EK20" s="250" t="str">
        <f t="shared" si="29"/>
        <v>--</v>
      </c>
      <c r="EL20" s="332"/>
      <c r="EM20" s="254"/>
      <c r="EN20" s="264"/>
      <c r="EO20" s="250" t="str">
        <f t="shared" si="30"/>
        <v>--</v>
      </c>
    </row>
    <row r="21" spans="2:145" s="89" customFormat="1" ht="45.75" thickBot="1" x14ac:dyDescent="0.3">
      <c r="B21" s="98"/>
      <c r="C21" s="99" t="s">
        <v>1147</v>
      </c>
      <c r="D21" s="331" t="s">
        <v>1208</v>
      </c>
      <c r="E21" s="100" t="s">
        <v>1209</v>
      </c>
      <c r="F21" s="101" t="s">
        <v>1241</v>
      </c>
      <c r="G21" s="83" t="str">
        <f t="shared" si="31"/>
        <v>_19_e.Firma</v>
      </c>
      <c r="J21" s="12"/>
      <c r="M21" s="91"/>
      <c r="N21" s="91"/>
      <c r="O21" s="91"/>
      <c r="P21" s="91"/>
      <c r="Q21" s="91"/>
      <c r="R21" s="91"/>
      <c r="S21" s="91"/>
      <c r="T21" s="91"/>
      <c r="U21" s="237">
        <v>18</v>
      </c>
      <c r="V21" s="231"/>
      <c r="W21" s="230"/>
      <c r="X21" s="247"/>
      <c r="Y21" s="247"/>
      <c r="Z21" s="261"/>
      <c r="AA21" s="254"/>
      <c r="AB21" s="266"/>
      <c r="AC21" s="272" t="str">
        <f t="shared" si="38"/>
        <v>--</v>
      </c>
      <c r="AD21" s="347">
        <v>201</v>
      </c>
      <c r="AE21" s="254" t="s">
        <v>878</v>
      </c>
      <c r="AF21" s="276" t="s">
        <v>795</v>
      </c>
      <c r="AG21" s="249" t="str">
        <f t="shared" si="5"/>
        <v>201-SICOFE-Sistema de Control Ferroviario</v>
      </c>
      <c r="AH21" s="244"/>
      <c r="AI21" s="243"/>
      <c r="AJ21" s="232"/>
      <c r="AK21" s="233" t="str">
        <f t="shared" si="33"/>
        <v>--</v>
      </c>
      <c r="AL21" s="390">
        <v>703</v>
      </c>
      <c r="AM21" s="254" t="s">
        <v>1105</v>
      </c>
      <c r="AN21" s="264" t="s">
        <v>776</v>
      </c>
      <c r="AO21" s="249" t="str">
        <f t="shared" si="6"/>
        <v>703-OPER_CONTABLE-SICA_COGNOS: Integrar las cuentas contables correspondientes al 2014</v>
      </c>
      <c r="AP21" s="258"/>
      <c r="AQ21" s="230"/>
      <c r="AR21" s="232"/>
      <c r="AS21" s="250" t="str">
        <f t="shared" si="35"/>
        <v>--</v>
      </c>
      <c r="AT21" s="231"/>
      <c r="AU21" s="230"/>
      <c r="AV21" s="232"/>
      <c r="AW21" s="247" t="str">
        <f t="shared" si="22"/>
        <v>--</v>
      </c>
      <c r="AX21" s="565">
        <v>992</v>
      </c>
      <c r="AY21" s="566" t="s">
        <v>1811</v>
      </c>
      <c r="AZ21" s="566" t="s">
        <v>1812</v>
      </c>
      <c r="BA21" s="233" t="str">
        <f t="shared" ref="BA21:BA45" si="42">CONCATENATE(AX21,"-",AY21,"-",AZ21)</f>
        <v>992-ECFC-Estados de Cuenta Financieros del Contribuyente</v>
      </c>
      <c r="BB21" s="525">
        <v>636</v>
      </c>
      <c r="BC21" s="524" t="s">
        <v>1807</v>
      </c>
      <c r="BD21" s="303" t="s">
        <v>1808</v>
      </c>
      <c r="BE21" s="271" t="str">
        <f t="shared" si="41"/>
        <v>636-DIOT MF-Declaración Informativa de operaciones con terceros Completa  (MF)- DIOT Completa (MF)</v>
      </c>
      <c r="BF21" s="362">
        <v>632</v>
      </c>
      <c r="BG21" s="260" t="s">
        <v>1353</v>
      </c>
      <c r="BH21" s="264" t="s">
        <v>1354</v>
      </c>
      <c r="BI21" s="271" t="str">
        <f t="shared" si="10"/>
        <v xml:space="preserve">632-DPA's-Incorporación del pago de Derechos, Productos y Aprovechamientos (DPA’s) </v>
      </c>
      <c r="BJ21" s="339">
        <v>2097</v>
      </c>
      <c r="BK21" s="260" t="s">
        <v>839</v>
      </c>
      <c r="BL21" s="264" t="s">
        <v>699</v>
      </c>
      <c r="BM21" s="271" t="str">
        <f t="shared" si="11"/>
        <v>2097-SIOS-DyC-SIOS Devoluciones y Compensaciones</v>
      </c>
      <c r="BN21" s="231"/>
      <c r="BO21" s="230"/>
      <c r="BP21" s="232"/>
      <c r="BQ21" s="247" t="str">
        <f t="shared" si="40"/>
        <v>--</v>
      </c>
      <c r="BR21" s="231"/>
      <c r="BS21" s="230"/>
      <c r="BT21" s="232"/>
      <c r="BU21" s="283" t="str">
        <f t="shared" si="34"/>
        <v>--</v>
      </c>
      <c r="BV21" s="344">
        <v>785</v>
      </c>
      <c r="BW21" s="260" t="s">
        <v>847</v>
      </c>
      <c r="BX21" s="264" t="s">
        <v>686</v>
      </c>
      <c r="BY21" s="533" t="str">
        <f t="shared" si="13"/>
        <v>785-DICTAMENES BI-Dictámenes Inteligencia de Negocio</v>
      </c>
      <c r="BZ21" s="238"/>
      <c r="CA21" s="226"/>
      <c r="CB21" s="234"/>
      <c r="CC21" s="233" t="str">
        <f t="shared" si="23"/>
        <v>--</v>
      </c>
      <c r="CD21" s="364">
        <v>5925</v>
      </c>
      <c r="CE21" s="268" t="s">
        <v>1412</v>
      </c>
      <c r="CF21" s="277" t="s">
        <v>1415</v>
      </c>
      <c r="CG21" s="533" t="str">
        <f t="shared" si="14"/>
        <v>5925-MAT - CYR-MATCE - Consultas y Reportes</v>
      </c>
      <c r="CH21" s="238"/>
      <c r="CI21" s="226"/>
      <c r="CJ21" s="234"/>
      <c r="CK21" s="290" t="str">
        <f t="shared" si="24"/>
        <v>--</v>
      </c>
      <c r="CL21" s="238"/>
      <c r="CM21" s="226"/>
      <c r="CN21" s="230"/>
      <c r="CO21" s="250" t="str">
        <f t="shared" si="36"/>
        <v>--</v>
      </c>
      <c r="CP21" s="231"/>
      <c r="CQ21" s="230"/>
      <c r="CR21" s="232"/>
      <c r="CS21" s="250" t="str">
        <f t="shared" si="25"/>
        <v>--</v>
      </c>
      <c r="CT21" s="231"/>
      <c r="CU21" s="230"/>
      <c r="CV21" s="232"/>
      <c r="CW21" s="283" t="str">
        <f t="shared" si="26"/>
        <v>--</v>
      </c>
      <c r="CX21" s="369">
        <v>820</v>
      </c>
      <c r="CY21" s="260" t="s">
        <v>1003</v>
      </c>
      <c r="CZ21" s="264" t="s">
        <v>706</v>
      </c>
      <c r="DA21" s="533" t="str">
        <f t="shared" si="16"/>
        <v>820-NOMINASAT-Sistema de Nómina Institucional del SAT</v>
      </c>
      <c r="DB21" s="244"/>
      <c r="DC21" s="243"/>
      <c r="DD21" s="232"/>
      <c r="DE21" s="247" t="str">
        <f t="shared" si="32"/>
        <v>--</v>
      </c>
      <c r="DF21" s="258"/>
      <c r="DG21" s="254"/>
      <c r="DH21" s="276"/>
      <c r="DI21" s="250" t="str">
        <f t="shared" si="27"/>
        <v>--</v>
      </c>
      <c r="DJ21" s="354">
        <v>792</v>
      </c>
      <c r="DK21" s="254" t="s">
        <v>1373</v>
      </c>
      <c r="DL21" s="266" t="s">
        <v>1374</v>
      </c>
      <c r="DM21" s="533" t="str">
        <f t="shared" si="17"/>
        <v>792-MAT RIF-Regimen de Incorporación Fiscal</v>
      </c>
      <c r="DN21" s="382">
        <v>870</v>
      </c>
      <c r="DO21" s="254" t="s">
        <v>1120</v>
      </c>
      <c r="DP21" s="264" t="s">
        <v>1378</v>
      </c>
      <c r="DQ21" s="533" t="str">
        <f t="shared" si="18"/>
        <v>870-PORIF-Programa Operativo RIF</v>
      </c>
      <c r="DR21" s="231"/>
      <c r="DS21" s="230"/>
      <c r="DT21" s="232"/>
      <c r="DU21" s="283" t="str">
        <f t="shared" si="28"/>
        <v>--</v>
      </c>
      <c r="DV21" s="231"/>
      <c r="DW21" s="230"/>
      <c r="DX21" s="232"/>
      <c r="DY21" s="247" t="str">
        <f>CONCATENATE(DV21,"-",DW21,"-",DX21)</f>
        <v>--</v>
      </c>
      <c r="DZ21" s="521">
        <v>420</v>
      </c>
      <c r="EA21" s="284" t="s">
        <v>1274</v>
      </c>
      <c r="EB21" s="285" t="s">
        <v>1574</v>
      </c>
      <c r="EC21" s="533" t="str">
        <f t="shared" si="20"/>
        <v>420-SICOV-JUPITER
Sistema de Control Vehicular</v>
      </c>
      <c r="ED21" s="352">
        <v>805</v>
      </c>
      <c r="EE21" s="268" t="s">
        <v>1351</v>
      </c>
      <c r="EF21" s="269" t="s">
        <v>1352</v>
      </c>
      <c r="EG21" s="533" t="str">
        <f t="shared" si="21"/>
        <v>805-SVC_Moviles-Servicios de Movilidad</v>
      </c>
      <c r="EH21" s="258"/>
      <c r="EI21" s="254"/>
      <c r="EJ21" s="276"/>
      <c r="EK21" s="250" t="str">
        <f t="shared" si="29"/>
        <v>--</v>
      </c>
      <c r="EL21" s="258"/>
      <c r="EM21" s="254"/>
      <c r="EN21" s="276"/>
      <c r="EO21" s="250" t="str">
        <f t="shared" si="30"/>
        <v>--</v>
      </c>
    </row>
    <row r="22" spans="2:145" s="89" customFormat="1" ht="60.75" thickBot="1" x14ac:dyDescent="0.3">
      <c r="B22" s="98"/>
      <c r="C22" s="99" t="s">
        <v>1148</v>
      </c>
      <c r="D22" s="331" t="s">
        <v>1160</v>
      </c>
      <c r="E22" s="100" t="s">
        <v>276</v>
      </c>
      <c r="F22" s="101" t="s">
        <v>265</v>
      </c>
      <c r="G22" s="83" t="str">
        <f t="shared" si="31"/>
        <v>_20_Comercio_exterior_Pre_despacho</v>
      </c>
      <c r="J22" s="12"/>
      <c r="M22" s="91"/>
      <c r="N22" s="91"/>
      <c r="O22" s="91"/>
      <c r="P22" s="91"/>
      <c r="Q22" s="91"/>
      <c r="R22" s="91"/>
      <c r="S22" s="91"/>
      <c r="T22" s="91"/>
      <c r="U22" s="237">
        <v>19</v>
      </c>
      <c r="V22" s="231"/>
      <c r="W22" s="230"/>
      <c r="X22" s="247"/>
      <c r="Y22" s="247"/>
      <c r="Z22" s="231"/>
      <c r="AA22" s="230"/>
      <c r="AB22" s="270"/>
      <c r="AC22" s="272" t="str">
        <f t="shared" si="38"/>
        <v>--</v>
      </c>
      <c r="AD22" s="347">
        <v>202</v>
      </c>
      <c r="AE22" s="254" t="s">
        <v>879</v>
      </c>
      <c r="AF22" s="276" t="s">
        <v>793</v>
      </c>
      <c r="AG22" s="249" t="str">
        <f t="shared" si="5"/>
        <v>202-SICREFIS-Sistema de Control de Recintos Fiscales</v>
      </c>
      <c r="AH22" s="244"/>
      <c r="AI22" s="243"/>
      <c r="AJ22" s="232"/>
      <c r="AK22" s="233" t="str">
        <f t="shared" si="33"/>
        <v>--</v>
      </c>
      <c r="AL22" s="390">
        <v>705</v>
      </c>
      <c r="AM22" s="254" t="s">
        <v>750</v>
      </c>
      <c r="AN22" s="264" t="s">
        <v>750</v>
      </c>
      <c r="AO22" s="249" t="str">
        <f t="shared" si="6"/>
        <v>705-MIGA-MIGA</v>
      </c>
      <c r="AP22" s="231"/>
      <c r="AQ22" s="230"/>
      <c r="AR22" s="232"/>
      <c r="AS22" s="250" t="str">
        <f t="shared" ref="AS22:AS35" si="43">CONCATENATE(AP22,"-",AQ22,"-",AR22)</f>
        <v>--</v>
      </c>
      <c r="AT22" s="231"/>
      <c r="AU22" s="230"/>
      <c r="AV22" s="232"/>
      <c r="AW22" s="247" t="str">
        <f t="shared" si="22"/>
        <v>--</v>
      </c>
      <c r="AX22" s="261"/>
      <c r="AY22" s="254"/>
      <c r="AZ22" s="264"/>
      <c r="BA22" s="233" t="str">
        <f t="shared" si="42"/>
        <v>--</v>
      </c>
      <c r="BB22" s="525">
        <v>716</v>
      </c>
      <c r="BC22" s="333" t="s">
        <v>1087</v>
      </c>
      <c r="BD22" s="287" t="s">
        <v>804</v>
      </c>
      <c r="BE22" s="271" t="str">
        <f t="shared" si="41"/>
        <v>716-MAT-RIF-MAT-Régimen de incorporación Fiscal</v>
      </c>
      <c r="BF22" s="362">
        <v>635</v>
      </c>
      <c r="BG22" s="260" t="s">
        <v>1031</v>
      </c>
      <c r="BH22" s="264" t="s">
        <v>809</v>
      </c>
      <c r="BI22" s="271" t="str">
        <f t="shared" si="10"/>
        <v>635-MPG-Motor de Pagos con Tarjeta de Crédito</v>
      </c>
      <c r="BJ22" s="259"/>
      <c r="BK22" s="260"/>
      <c r="BL22" s="264"/>
      <c r="BM22" s="247" t="str">
        <f t="shared" ref="BM22:BM27" si="44">CONCATENATE(BJ22,"-",BK22,"-",BL22)</f>
        <v>--</v>
      </c>
      <c r="BN22" s="231"/>
      <c r="BO22" s="230"/>
      <c r="BP22" s="232"/>
      <c r="BQ22" s="247" t="str">
        <f t="shared" si="40"/>
        <v>--</v>
      </c>
      <c r="BR22" s="231"/>
      <c r="BS22" s="230"/>
      <c r="BT22" s="232"/>
      <c r="BU22" s="283" t="str">
        <f t="shared" si="34"/>
        <v>--</v>
      </c>
      <c r="BV22" s="336">
        <v>809</v>
      </c>
      <c r="BW22" s="260" t="s">
        <v>852</v>
      </c>
      <c r="BX22" s="264" t="s">
        <v>756</v>
      </c>
      <c r="BY22" s="533" t="str">
        <f t="shared" si="13"/>
        <v>809-SECREFI.NET-Sistema de Expedición y Control de Revisiones Fiscales</v>
      </c>
      <c r="BZ22" s="238"/>
      <c r="CA22" s="226"/>
      <c r="CB22" s="234"/>
      <c r="CC22" s="233" t="str">
        <f t="shared" si="23"/>
        <v>--</v>
      </c>
      <c r="CD22" s="364">
        <v>6925</v>
      </c>
      <c r="CE22" s="268" t="s">
        <v>1413</v>
      </c>
      <c r="CF22" s="277" t="s">
        <v>1414</v>
      </c>
      <c r="CG22" s="533" t="str">
        <f t="shared" si="14"/>
        <v>6925-MAT - ADMIN - COM-MATCE - Administrador de Comunicados</v>
      </c>
      <c r="CH22" s="238"/>
      <c r="CI22" s="226"/>
      <c r="CJ22" s="234"/>
      <c r="CK22" s="290" t="str">
        <f t="shared" si="24"/>
        <v>--</v>
      </c>
      <c r="CL22" s="238"/>
      <c r="CM22" s="226"/>
      <c r="CN22" s="230"/>
      <c r="CO22" s="250" t="str">
        <f t="shared" si="36"/>
        <v>--</v>
      </c>
      <c r="CP22" s="231"/>
      <c r="CQ22" s="230"/>
      <c r="CR22" s="232"/>
      <c r="CS22" s="250" t="str">
        <f t="shared" si="25"/>
        <v>--</v>
      </c>
      <c r="CT22" s="231"/>
      <c r="CU22" s="230"/>
      <c r="CV22" s="232"/>
      <c r="CW22" s="283" t="str">
        <f t="shared" si="26"/>
        <v>--</v>
      </c>
      <c r="CX22" s="467">
        <v>934</v>
      </c>
      <c r="CY22" s="260" t="s">
        <v>1349</v>
      </c>
      <c r="CZ22" s="264" t="s">
        <v>1350</v>
      </c>
      <c r="DA22" s="533" t="str">
        <f t="shared" si="16"/>
        <v>934-TAF-Títulos de Autorización para Procesos de Contratación con Fideicomisos</v>
      </c>
      <c r="DB22" s="244"/>
      <c r="DC22" s="243"/>
      <c r="DD22" s="234"/>
      <c r="DE22" s="247" t="str">
        <f t="shared" si="32"/>
        <v>--</v>
      </c>
      <c r="DF22" s="258"/>
      <c r="DG22" s="254"/>
      <c r="DH22" s="276"/>
      <c r="DI22" s="250" t="str">
        <f t="shared" si="27"/>
        <v>--</v>
      </c>
      <c r="DJ22" s="352">
        <v>793</v>
      </c>
      <c r="DK22" s="254" t="s">
        <v>925</v>
      </c>
      <c r="DL22" s="264" t="s">
        <v>695</v>
      </c>
      <c r="DM22" s="533" t="str">
        <f t="shared" si="17"/>
        <v>793-MAT_WS_RIF-Webservice externos (imss e infonavit)</v>
      </c>
      <c r="DN22" s="382">
        <v>871</v>
      </c>
      <c r="DO22" s="254" t="s">
        <v>1121</v>
      </c>
      <c r="DP22" s="264" t="s">
        <v>1379</v>
      </c>
      <c r="DQ22" s="533" t="str">
        <f t="shared" si="18"/>
        <v>871-CICLO_DE_VIDA_DE_CONTRATOS-Solución para gestionar el Ciclo de Vida de los Contratos con Componentes Tecnológicos.</v>
      </c>
      <c r="DR22" s="231"/>
      <c r="DS22" s="230"/>
      <c r="DT22" s="232"/>
      <c r="DU22" s="283" t="str">
        <f t="shared" si="28"/>
        <v>--</v>
      </c>
      <c r="DV22" s="231"/>
      <c r="DW22" s="230"/>
      <c r="DX22" s="232"/>
      <c r="DY22" s="247" t="str">
        <f t="shared" ref="DY22:DY30" si="45">CONCATENATE(DV22,"-",DW22,"-",DX22)</f>
        <v>--</v>
      </c>
      <c r="DZ22" s="360">
        <v>422</v>
      </c>
      <c r="EA22" s="284" t="s">
        <v>1273</v>
      </c>
      <c r="EB22" s="285" t="s">
        <v>1575</v>
      </c>
      <c r="EC22" s="533" t="str">
        <f t="shared" si="20"/>
        <v xml:space="preserve">422-REC-JUPITER
REPORTES DE EMISIÓN CENTRAL
</v>
      </c>
      <c r="ED22" s="384">
        <v>810</v>
      </c>
      <c r="EE22" s="333" t="s">
        <v>1109</v>
      </c>
      <c r="EF22" s="287" t="s">
        <v>677</v>
      </c>
      <c r="EG22" s="533" t="str">
        <f t="shared" si="21"/>
        <v>810-GDI-Generador de Documentos Institucional</v>
      </c>
      <c r="EH22" s="258"/>
      <c r="EI22" s="254"/>
      <c r="EJ22" s="276"/>
      <c r="EK22" s="250" t="str">
        <f t="shared" si="29"/>
        <v>--</v>
      </c>
      <c r="EL22" s="258"/>
      <c r="EM22" s="254"/>
      <c r="EN22" s="276"/>
      <c r="EO22" s="250" t="str">
        <f t="shared" si="30"/>
        <v>--</v>
      </c>
    </row>
    <row r="23" spans="2:145" s="89" customFormat="1" ht="45.75" thickBot="1" x14ac:dyDescent="0.3">
      <c r="B23" s="98"/>
      <c r="C23" s="99" t="s">
        <v>1149</v>
      </c>
      <c r="D23" s="331" t="s">
        <v>1166</v>
      </c>
      <c r="E23" s="100" t="s">
        <v>259</v>
      </c>
      <c r="F23" s="101" t="s">
        <v>259</v>
      </c>
      <c r="G23" s="83" t="str">
        <f t="shared" si="31"/>
        <v>_21_Factura_Electrónica</v>
      </c>
      <c r="J23" s="420"/>
      <c r="M23" s="91"/>
      <c r="N23" s="91"/>
      <c r="O23" s="91"/>
      <c r="P23" s="91"/>
      <c r="Q23" s="91"/>
      <c r="R23" s="91"/>
      <c r="S23" s="91"/>
      <c r="T23" s="91"/>
      <c r="U23" s="237">
        <v>20</v>
      </c>
      <c r="V23" s="231"/>
      <c r="W23" s="230"/>
      <c r="X23" s="247"/>
      <c r="Y23" s="247"/>
      <c r="Z23" s="231"/>
      <c r="AA23" s="230"/>
      <c r="AB23" s="270"/>
      <c r="AC23" s="272" t="str">
        <f t="shared" si="38"/>
        <v>--</v>
      </c>
      <c r="AD23" s="347">
        <v>203</v>
      </c>
      <c r="AE23" s="254" t="s">
        <v>880</v>
      </c>
      <c r="AF23" s="276" t="s">
        <v>801</v>
      </c>
      <c r="AG23" s="249" t="str">
        <f t="shared" si="5"/>
        <v>203-SIMACODI / SAAPyT-Sistema de Monitoreo de Control de Demonios</v>
      </c>
      <c r="AH23" s="244"/>
      <c r="AI23" s="243"/>
      <c r="AJ23" s="232"/>
      <c r="AK23" s="233" t="str">
        <f t="shared" si="33"/>
        <v>--</v>
      </c>
      <c r="AL23" s="347">
        <v>741</v>
      </c>
      <c r="AM23" s="254" t="s">
        <v>896</v>
      </c>
      <c r="AN23" s="264" t="s">
        <v>718</v>
      </c>
      <c r="AO23" s="249" t="str">
        <f t="shared" si="6"/>
        <v>741-INDIRA-Intercambio de información con Argentina</v>
      </c>
      <c r="AP23" s="231"/>
      <c r="AQ23" s="230"/>
      <c r="AR23" s="232"/>
      <c r="AS23" s="250" t="str">
        <f t="shared" si="43"/>
        <v>--</v>
      </c>
      <c r="AT23" s="231"/>
      <c r="AU23" s="230"/>
      <c r="AV23" s="232"/>
      <c r="AW23" s="247" t="str">
        <f t="shared" si="22"/>
        <v>--</v>
      </c>
      <c r="AX23" s="393"/>
      <c r="AY23" s="394"/>
      <c r="AZ23" s="394"/>
      <c r="BA23" s="233" t="str">
        <f t="shared" si="42"/>
        <v>--</v>
      </c>
      <c r="BB23" s="526">
        <v>762</v>
      </c>
      <c r="BC23" s="260" t="s">
        <v>961</v>
      </c>
      <c r="BD23" s="264" t="s">
        <v>788</v>
      </c>
      <c r="BE23" s="271" t="str">
        <f t="shared" si="41"/>
        <v>762-FOR_HIDRO-Formatos de Hidrocarburos</v>
      </c>
      <c r="BF23" s="362">
        <v>645</v>
      </c>
      <c r="BG23" s="260" t="s">
        <v>1032</v>
      </c>
      <c r="BH23" s="264" t="s">
        <v>813</v>
      </c>
      <c r="BI23" s="271" t="str">
        <f t="shared" si="10"/>
        <v>645-PPS-Pago Provisional Simplificado</v>
      </c>
      <c r="BJ23" s="238"/>
      <c r="BK23" s="226"/>
      <c r="BL23" s="232"/>
      <c r="BM23" s="247" t="str">
        <f t="shared" si="44"/>
        <v>--</v>
      </c>
      <c r="BN23" s="231"/>
      <c r="BO23" s="230"/>
      <c r="BP23" s="232"/>
      <c r="BQ23" s="247" t="str">
        <f t="shared" si="40"/>
        <v>--</v>
      </c>
      <c r="BR23" s="231"/>
      <c r="BS23" s="230"/>
      <c r="BT23" s="232"/>
      <c r="BU23" s="283" t="str">
        <f t="shared" si="34"/>
        <v>--</v>
      </c>
      <c r="BV23" s="382">
        <v>841</v>
      </c>
      <c r="BW23" s="254" t="s">
        <v>1117</v>
      </c>
      <c r="BX23" s="264" t="s">
        <v>1118</v>
      </c>
      <c r="BY23" s="533" t="str">
        <f t="shared" si="13"/>
        <v>841-CEDULA_DEL_CONTRIBUYENTE-Cédula del Contribuyente</v>
      </c>
      <c r="BZ23" s="238"/>
      <c r="CA23" s="226"/>
      <c r="CB23" s="234"/>
      <c r="CC23" s="233" t="str">
        <f t="shared" si="23"/>
        <v>--</v>
      </c>
      <c r="CD23" s="238"/>
      <c r="CE23" s="226"/>
      <c r="CF23" s="234"/>
      <c r="CG23" s="233" t="str">
        <f t="shared" ref="CG23:CG67" si="46">CONCATENATE(CD23,"-",CE23,"-",CF23)</f>
        <v>--</v>
      </c>
      <c r="CH23" s="238"/>
      <c r="CI23" s="226"/>
      <c r="CJ23" s="234"/>
      <c r="CK23" s="290" t="str">
        <f t="shared" si="24"/>
        <v>--</v>
      </c>
      <c r="CL23" s="238"/>
      <c r="CM23" s="226"/>
      <c r="CN23" s="230"/>
      <c r="CO23" s="250" t="str">
        <f t="shared" si="36"/>
        <v>--</v>
      </c>
      <c r="CP23" s="231"/>
      <c r="CQ23" s="230"/>
      <c r="CR23" s="232"/>
      <c r="CS23" s="250" t="str">
        <f t="shared" si="25"/>
        <v>--</v>
      </c>
      <c r="CT23" s="231"/>
      <c r="CU23" s="230"/>
      <c r="CV23" s="232"/>
      <c r="CW23" s="283" t="str">
        <f t="shared" si="26"/>
        <v>--</v>
      </c>
      <c r="CX23" s="466">
        <v>945</v>
      </c>
      <c r="CY23" s="260" t="s">
        <v>1423</v>
      </c>
      <c r="CZ23" s="264" t="s">
        <v>1421</v>
      </c>
      <c r="DA23" s="533" t="str">
        <f t="shared" si="16"/>
        <v>945-SADB-Sistema de Asignación y Donación de Bienes por el SAT</v>
      </c>
      <c r="DB23" s="244"/>
      <c r="DC23" s="243"/>
      <c r="DD23" s="232"/>
      <c r="DE23" s="247" t="str">
        <f t="shared" si="32"/>
        <v>--</v>
      </c>
      <c r="DF23" s="258"/>
      <c r="DG23" s="254"/>
      <c r="DH23" s="277"/>
      <c r="DI23" s="250" t="str">
        <f t="shared" si="27"/>
        <v>--</v>
      </c>
      <c r="DJ23" s="354">
        <v>921</v>
      </c>
      <c r="DK23" s="254" t="s">
        <v>1309</v>
      </c>
      <c r="DL23" s="264" t="s">
        <v>1310</v>
      </c>
      <c r="DM23" s="533" t="str">
        <f t="shared" si="17"/>
        <v>921-Mi RFC-SAT-Móvil: Implementar el servicio de Mi RFC</v>
      </c>
      <c r="DN23" s="358">
        <v>920</v>
      </c>
      <c r="DO23" s="254" t="s">
        <v>1307</v>
      </c>
      <c r="DP23" s="264" t="s">
        <v>1308</v>
      </c>
      <c r="DQ23" s="533" t="str">
        <f t="shared" si="18"/>
        <v>920-AV-Asistente Virtual</v>
      </c>
      <c r="DR23" s="231"/>
      <c r="DS23" s="230"/>
      <c r="DT23" s="232"/>
      <c r="DU23" s="283" t="str">
        <f t="shared" si="28"/>
        <v>--</v>
      </c>
      <c r="DV23" s="231"/>
      <c r="DW23" s="230"/>
      <c r="DX23" s="232"/>
      <c r="DY23" s="247" t="str">
        <f t="shared" si="45"/>
        <v>--</v>
      </c>
      <c r="DZ23" s="398">
        <v>490</v>
      </c>
      <c r="EA23" s="284" t="s">
        <v>1272</v>
      </c>
      <c r="EB23" s="285" t="s">
        <v>1576</v>
      </c>
      <c r="EC23" s="533" t="str">
        <f t="shared" si="20"/>
        <v xml:space="preserve">490-REL-JUPITER
REPORTES  DE EMISIÓN LOCAL
</v>
      </c>
      <c r="ED23" s="352">
        <v>818</v>
      </c>
      <c r="EE23" s="254" t="s">
        <v>1053</v>
      </c>
      <c r="EF23" s="264" t="s">
        <v>775</v>
      </c>
      <c r="EG23" s="533" t="str">
        <f t="shared" si="21"/>
        <v>818-AUTO-CUENTAS-Sistema de Autoservicio para Empleados</v>
      </c>
      <c r="EH23" s="258"/>
      <c r="EI23" s="254"/>
      <c r="EJ23" s="277"/>
      <c r="EK23" s="250" t="str">
        <f t="shared" si="29"/>
        <v>--</v>
      </c>
      <c r="EL23" s="258"/>
      <c r="EM23" s="254"/>
      <c r="EN23" s="277"/>
      <c r="EO23" s="250" t="str">
        <f t="shared" si="30"/>
        <v>--</v>
      </c>
    </row>
    <row r="24" spans="2:145" s="89" customFormat="1" ht="60.75" thickBot="1" x14ac:dyDescent="0.3">
      <c r="B24" s="98"/>
      <c r="C24" s="99" t="s">
        <v>1150</v>
      </c>
      <c r="D24" s="331" t="s">
        <v>1169</v>
      </c>
      <c r="E24" s="100" t="s">
        <v>260</v>
      </c>
      <c r="F24" s="101" t="s">
        <v>260</v>
      </c>
      <c r="G24" s="83" t="str">
        <f t="shared" si="31"/>
        <v>_22_Medios_de_Autenticación</v>
      </c>
      <c r="J24" s="12"/>
      <c r="K24" s="421"/>
      <c r="M24" s="91"/>
      <c r="N24" s="91"/>
      <c r="O24" s="91"/>
      <c r="P24" s="91"/>
      <c r="Q24" s="91"/>
      <c r="R24" s="91"/>
      <c r="S24" s="91"/>
      <c r="T24" s="91"/>
      <c r="U24" s="237">
        <v>21</v>
      </c>
      <c r="V24" s="231"/>
      <c r="W24" s="230"/>
      <c r="X24" s="247"/>
      <c r="Y24" s="247"/>
      <c r="Z24" s="231"/>
      <c r="AA24" s="230"/>
      <c r="AB24" s="270"/>
      <c r="AC24" s="272" t="str">
        <f t="shared" si="38"/>
        <v>--</v>
      </c>
      <c r="AD24" s="347">
        <v>204</v>
      </c>
      <c r="AE24" s="254" t="s">
        <v>881</v>
      </c>
      <c r="AF24" s="276" t="s">
        <v>803</v>
      </c>
      <c r="AG24" s="249" t="str">
        <f t="shared" si="5"/>
        <v>204-SIMULA-Sistema de Muestras de Laboratorio</v>
      </c>
      <c r="AH24" s="244"/>
      <c r="AI24" s="243"/>
      <c r="AJ24" s="232"/>
      <c r="AK24" s="233" t="str">
        <f t="shared" si="33"/>
        <v>--</v>
      </c>
      <c r="AL24" s="390">
        <v>750</v>
      </c>
      <c r="AM24" s="254" t="s">
        <v>1106</v>
      </c>
      <c r="AN24" s="264" t="s">
        <v>812</v>
      </c>
      <c r="AO24" s="249" t="str">
        <f t="shared" si="6"/>
        <v>750-STAGING-Staging de Carga Diaria</v>
      </c>
      <c r="AP24" s="231"/>
      <c r="AQ24" s="230"/>
      <c r="AR24" s="232"/>
      <c r="AS24" s="250" t="str">
        <f t="shared" si="43"/>
        <v>--</v>
      </c>
      <c r="AT24" s="231"/>
      <c r="AU24" s="230"/>
      <c r="AV24" s="232"/>
      <c r="AW24" s="247" t="str">
        <f t="shared" si="22"/>
        <v>--</v>
      </c>
      <c r="AX24" s="393"/>
      <c r="AY24" s="394"/>
      <c r="AZ24" s="394"/>
      <c r="BA24" s="233" t="str">
        <f t="shared" si="42"/>
        <v>--</v>
      </c>
      <c r="BB24" s="527">
        <v>763</v>
      </c>
      <c r="BC24" s="260" t="s">
        <v>962</v>
      </c>
      <c r="BD24" s="264" t="s">
        <v>824</v>
      </c>
      <c r="BE24" s="271" t="str">
        <f t="shared" si="41"/>
        <v xml:space="preserve">763-REACU-Reimpresión de acuses </v>
      </c>
      <c r="BF24" s="362">
        <v>647</v>
      </c>
      <c r="BG24" s="260" t="s">
        <v>1034</v>
      </c>
      <c r="BH24" s="264" t="s">
        <v>823</v>
      </c>
      <c r="BI24" s="271" t="str">
        <f t="shared" si="10"/>
        <v>647-RFS-Registro Fiscal Simplificado</v>
      </c>
      <c r="BJ24" s="281"/>
      <c r="BK24" s="260"/>
      <c r="BL24" s="232"/>
      <c r="BM24" s="247" t="str">
        <f t="shared" si="44"/>
        <v>--</v>
      </c>
      <c r="BN24" s="231"/>
      <c r="BO24" s="230"/>
      <c r="BP24" s="232"/>
      <c r="BQ24" s="247" t="str">
        <f t="shared" si="40"/>
        <v>--</v>
      </c>
      <c r="BR24" s="231"/>
      <c r="BS24" s="230"/>
      <c r="BT24" s="232"/>
      <c r="BU24" s="283" t="str">
        <f t="shared" si="34"/>
        <v>--</v>
      </c>
      <c r="BV24" s="336">
        <v>858</v>
      </c>
      <c r="BW24" s="260" t="s">
        <v>1043</v>
      </c>
      <c r="BX24" s="264" t="s">
        <v>622</v>
      </c>
      <c r="BY24" s="533" t="str">
        <f t="shared" si="13"/>
        <v>858-CPY-Crédito a las pequeñas y medianas empresas</v>
      </c>
      <c r="BZ24" s="238"/>
      <c r="CA24" s="226"/>
      <c r="CB24" s="234"/>
      <c r="CC24" s="233" t="str">
        <f t="shared" si="23"/>
        <v>--</v>
      </c>
      <c r="CD24" s="238"/>
      <c r="CE24" s="226"/>
      <c r="CF24" s="234"/>
      <c r="CG24" s="233" t="str">
        <f t="shared" si="46"/>
        <v>--</v>
      </c>
      <c r="CH24" s="238"/>
      <c r="CI24" s="226"/>
      <c r="CJ24" s="234"/>
      <c r="CK24" s="290" t="str">
        <f t="shared" si="24"/>
        <v>--</v>
      </c>
      <c r="CL24" s="238"/>
      <c r="CM24" s="226"/>
      <c r="CN24" s="230"/>
      <c r="CO24" s="250" t="str">
        <f t="shared" si="36"/>
        <v>--</v>
      </c>
      <c r="CP24" s="231"/>
      <c r="CQ24" s="230"/>
      <c r="CR24" s="232"/>
      <c r="CS24" s="250" t="str">
        <f t="shared" si="25"/>
        <v>--</v>
      </c>
      <c r="CT24" s="231"/>
      <c r="CU24" s="230"/>
      <c r="CV24" s="232"/>
      <c r="CW24" s="283" t="str">
        <f t="shared" si="26"/>
        <v>--</v>
      </c>
      <c r="CX24" s="467">
        <v>946</v>
      </c>
      <c r="CY24" s="260" t="s">
        <v>1424</v>
      </c>
      <c r="CZ24" s="264" t="s">
        <v>1422</v>
      </c>
      <c r="DA24" s="533" t="str">
        <f t="shared" si="16"/>
        <v>946-PASEM-Control y Seguimiento de Gastos del Personal Asimilado al Servicio Exterior Mexicano</v>
      </c>
      <c r="DB24" s="244"/>
      <c r="DC24" s="243"/>
      <c r="DD24" s="232"/>
      <c r="DE24" s="247" t="str">
        <f t="shared" si="32"/>
        <v>--</v>
      </c>
      <c r="DF24" s="258"/>
      <c r="DG24" s="254"/>
      <c r="DH24" s="277"/>
      <c r="DI24" s="250" t="str">
        <f t="shared" si="27"/>
        <v>--</v>
      </c>
      <c r="DJ24" s="351">
        <v>2049</v>
      </c>
      <c r="DK24" s="284" t="s">
        <v>919</v>
      </c>
      <c r="DL24" s="285" t="s">
        <v>1537</v>
      </c>
      <c r="DM24" s="533" t="str">
        <f t="shared" si="17"/>
        <v>2049-SI-IDC-CRM - Módulo Support (Configuración Casos)
Solución Integral Identificación del Contribuyente</v>
      </c>
      <c r="DN24" s="367">
        <v>940</v>
      </c>
      <c r="DO24" s="260" t="s">
        <v>1371</v>
      </c>
      <c r="DP24" s="264" t="s">
        <v>1372</v>
      </c>
      <c r="DQ24" s="533" t="str">
        <f t="shared" si="18"/>
        <v>940-INTRASAT-Portal Institucional del SAT</v>
      </c>
      <c r="DR24" s="231"/>
      <c r="DS24" s="230"/>
      <c r="DT24" s="232"/>
      <c r="DU24" s="283" t="str">
        <f t="shared" si="28"/>
        <v>--</v>
      </c>
      <c r="DV24" s="231"/>
      <c r="DW24" s="230"/>
      <c r="DX24" s="232"/>
      <c r="DY24" s="247" t="str">
        <f t="shared" si="45"/>
        <v>--</v>
      </c>
      <c r="DZ24" s="360">
        <v>587</v>
      </c>
      <c r="EA24" s="284" t="s">
        <v>977</v>
      </c>
      <c r="EB24" s="285" t="s">
        <v>639</v>
      </c>
      <c r="EC24" s="533" t="str">
        <f t="shared" si="20"/>
        <v>587-PREP-Portal Reportes</v>
      </c>
      <c r="ED24" s="352">
        <v>824</v>
      </c>
      <c r="EE24" s="254" t="s">
        <v>1048</v>
      </c>
      <c r="EF24" s="264" t="s">
        <v>665</v>
      </c>
      <c r="EG24" s="533" t="str">
        <f t="shared" si="21"/>
        <v>824-VFE-Firma Electrónica: Validador del estatus del certificado de Firma Electrónica</v>
      </c>
      <c r="EH24" s="258"/>
      <c r="EI24" s="254"/>
      <c r="EJ24" s="277"/>
      <c r="EK24" s="250" t="str">
        <f t="shared" si="29"/>
        <v>--</v>
      </c>
      <c r="EL24" s="258"/>
      <c r="EM24" s="254"/>
      <c r="EN24" s="277"/>
      <c r="EO24" s="250" t="str">
        <f t="shared" si="30"/>
        <v>--</v>
      </c>
    </row>
    <row r="25" spans="2:145" s="89" customFormat="1" ht="60.75" thickBot="1" x14ac:dyDescent="0.3">
      <c r="B25" s="98"/>
      <c r="C25" s="99" t="s">
        <v>1151</v>
      </c>
      <c r="D25" s="331" t="s">
        <v>1171</v>
      </c>
      <c r="E25" s="100" t="s">
        <v>261</v>
      </c>
      <c r="F25" s="101" t="s">
        <v>261</v>
      </c>
      <c r="G25" s="83" t="str">
        <f t="shared" si="31"/>
        <v>_23_Portales_Móviles</v>
      </c>
      <c r="J25" s="12"/>
      <c r="M25" s="91"/>
      <c r="N25" s="91"/>
      <c r="O25" s="91"/>
      <c r="P25" s="91"/>
      <c r="Q25" s="91"/>
      <c r="R25" s="91"/>
      <c r="S25" s="91"/>
      <c r="T25" s="91"/>
      <c r="U25" s="237">
        <v>22</v>
      </c>
      <c r="V25" s="231"/>
      <c r="W25" s="230"/>
      <c r="X25" s="247"/>
      <c r="Y25" s="247"/>
      <c r="Z25" s="231"/>
      <c r="AA25" s="230"/>
      <c r="AB25" s="270"/>
      <c r="AC25" s="272" t="str">
        <f t="shared" si="38"/>
        <v>--</v>
      </c>
      <c r="AD25" s="378">
        <v>206</v>
      </c>
      <c r="AE25" s="254" t="s">
        <v>1065</v>
      </c>
      <c r="AF25" s="276" t="s">
        <v>806</v>
      </c>
      <c r="AG25" s="249" t="str">
        <f t="shared" si="5"/>
        <v>206-SIREM M3-Sistema de Reconocimiento</v>
      </c>
      <c r="AH25" s="238"/>
      <c r="AI25" s="226"/>
      <c r="AJ25" s="232"/>
      <c r="AK25" s="233" t="str">
        <f t="shared" si="33"/>
        <v>--</v>
      </c>
      <c r="AL25" s="365">
        <v>784</v>
      </c>
      <c r="AM25" s="268" t="s">
        <v>987</v>
      </c>
      <c r="AN25" s="269" t="s">
        <v>1485</v>
      </c>
      <c r="AO25" s="249" t="str">
        <f t="shared" si="6"/>
        <v>784-COPA-MATCE - Comité de Operación de Planeación Aduanera</v>
      </c>
      <c r="AP25" s="231"/>
      <c r="AQ25" s="230"/>
      <c r="AR25" s="232"/>
      <c r="AS25" s="250" t="str">
        <f t="shared" si="43"/>
        <v>--</v>
      </c>
      <c r="AT25" s="231"/>
      <c r="AU25" s="230"/>
      <c r="AV25" s="232"/>
      <c r="AW25" s="247" t="str">
        <f t="shared" si="22"/>
        <v>--</v>
      </c>
      <c r="AX25" s="393"/>
      <c r="AY25" s="394"/>
      <c r="AZ25" s="394"/>
      <c r="BA25" s="233" t="str">
        <f t="shared" si="42"/>
        <v>--</v>
      </c>
      <c r="BB25" s="526">
        <v>833</v>
      </c>
      <c r="BC25" s="260" t="s">
        <v>964</v>
      </c>
      <c r="BD25" s="264" t="s">
        <v>1489</v>
      </c>
      <c r="BE25" s="271" t="str">
        <f t="shared" si="41"/>
        <v>833-F100-Forma Oficial 100.- Declaración ISR por Ingresos de InverSíones en el Extranjero Retornadas al País.</v>
      </c>
      <c r="BF25" s="362">
        <v>707</v>
      </c>
      <c r="BG25" s="254" t="s">
        <v>1035</v>
      </c>
      <c r="BH25" s="264" t="s">
        <v>825</v>
      </c>
      <c r="BI25" s="271" t="str">
        <f t="shared" si="10"/>
        <v>707-SRIF-Simulador RIF</v>
      </c>
      <c r="BJ25" s="238"/>
      <c r="BK25" s="226"/>
      <c r="BL25" s="232"/>
      <c r="BM25" s="247" t="str">
        <f t="shared" si="44"/>
        <v>--</v>
      </c>
      <c r="BN25" s="231"/>
      <c r="BO25" s="230"/>
      <c r="BP25" s="232"/>
      <c r="BQ25" s="247" t="str">
        <f t="shared" si="40"/>
        <v>--</v>
      </c>
      <c r="BR25" s="231"/>
      <c r="BS25" s="230"/>
      <c r="BT25" s="232"/>
      <c r="BU25" s="283" t="str">
        <f t="shared" si="34"/>
        <v>--</v>
      </c>
      <c r="BV25" s="480">
        <v>942</v>
      </c>
      <c r="BW25" s="260" t="s">
        <v>1370</v>
      </c>
      <c r="BX25" s="264" t="s">
        <v>1514</v>
      </c>
      <c r="BY25" s="533" t="str">
        <f t="shared" si="13"/>
        <v>942-FEB-Fiscalización Electrónica BáSíca</v>
      </c>
      <c r="BZ25" s="238"/>
      <c r="CA25" s="226"/>
      <c r="CB25" s="234"/>
      <c r="CC25" s="233" t="str">
        <f t="shared" si="23"/>
        <v>--</v>
      </c>
      <c r="CD25" s="238"/>
      <c r="CE25" s="226"/>
      <c r="CF25" s="234"/>
      <c r="CG25" s="233" t="str">
        <f t="shared" si="46"/>
        <v>--</v>
      </c>
      <c r="CH25" s="238"/>
      <c r="CI25" s="226"/>
      <c r="CJ25" s="234"/>
      <c r="CK25" s="290" t="str">
        <f t="shared" si="24"/>
        <v>--</v>
      </c>
      <c r="CL25" s="238"/>
      <c r="CM25" s="226"/>
      <c r="CN25" s="230"/>
      <c r="CO25" s="250" t="str">
        <f t="shared" si="36"/>
        <v>--</v>
      </c>
      <c r="CP25" s="231"/>
      <c r="CQ25" s="230"/>
      <c r="CR25" s="232"/>
      <c r="CS25" s="250" t="str">
        <f t="shared" si="25"/>
        <v>--</v>
      </c>
      <c r="CT25" s="231"/>
      <c r="CU25" s="230"/>
      <c r="CV25" s="232"/>
      <c r="CW25" s="283" t="str">
        <f t="shared" si="26"/>
        <v>--</v>
      </c>
      <c r="CX25" s="467">
        <v>985</v>
      </c>
      <c r="CY25" s="260" t="s">
        <v>1533</v>
      </c>
      <c r="CZ25" s="264" t="s">
        <v>1534</v>
      </c>
      <c r="DA25" s="533" t="str">
        <f t="shared" si="16"/>
        <v xml:space="preserve">985-CAyAS-Servicio de Arrendamiento de Infraestructura para el Control de Acceso y Asistencia del SAT </v>
      </c>
      <c r="DB25" s="244"/>
      <c r="DC25" s="243"/>
      <c r="DD25" s="232"/>
      <c r="DE25" s="247" t="str">
        <f t="shared" si="32"/>
        <v>--</v>
      </c>
      <c r="DF25" s="281"/>
      <c r="DG25" s="260"/>
      <c r="DH25" s="235"/>
      <c r="DI25" s="250" t="str">
        <f t="shared" si="27"/>
        <v>--</v>
      </c>
      <c r="DJ25" s="354">
        <v>2073</v>
      </c>
      <c r="DK25" s="284" t="s">
        <v>919</v>
      </c>
      <c r="DL25" s="264" t="s">
        <v>1538</v>
      </c>
      <c r="DM25" s="533" t="str">
        <f t="shared" si="17"/>
        <v>2073-SI-IDC-Documentum - Servicio para almacenamiento de doctos IDC
Solución Integral Identificación del Contribuyente</v>
      </c>
      <c r="DN25" s="354">
        <v>944</v>
      </c>
      <c r="DO25" s="260" t="s">
        <v>1454</v>
      </c>
      <c r="DP25" s="264" t="s">
        <v>1453</v>
      </c>
      <c r="DQ25" s="533" t="str">
        <f t="shared" si="18"/>
        <v>944-SAT-Móvil-SAT-Móvil: Re-ingeniería del servicio de Factura Electrónica Móvil</v>
      </c>
      <c r="DR25" s="231"/>
      <c r="DS25" s="230"/>
      <c r="DT25" s="232"/>
      <c r="DU25" s="283" t="str">
        <f t="shared" si="28"/>
        <v>--</v>
      </c>
      <c r="DV25" s="231"/>
      <c r="DW25" s="230"/>
      <c r="DX25" s="232"/>
      <c r="DY25" s="247" t="str">
        <f t="shared" si="45"/>
        <v>--</v>
      </c>
      <c r="DZ25" s="359">
        <v>626</v>
      </c>
      <c r="EA25" s="284" t="s">
        <v>1276</v>
      </c>
      <c r="EB25" s="285" t="s">
        <v>1577</v>
      </c>
      <c r="EC25" s="533" t="str">
        <f t="shared" si="20"/>
        <v>626-GENINF-JUPITER
Generación de Informes</v>
      </c>
      <c r="ED25" s="352">
        <v>834</v>
      </c>
      <c r="EE25" s="254" t="s">
        <v>1208</v>
      </c>
      <c r="EF25" s="264" t="s">
        <v>1054</v>
      </c>
      <c r="EG25" s="533" t="str">
        <f t="shared" si="21"/>
        <v>834-e.Firma-E- Firma Portable</v>
      </c>
      <c r="EH25" s="281"/>
      <c r="EI25" s="260"/>
      <c r="EJ25" s="235"/>
      <c r="EK25" s="250" t="str">
        <f t="shared" si="29"/>
        <v>--</v>
      </c>
      <c r="EL25" s="281"/>
      <c r="EM25" s="260"/>
      <c r="EN25" s="235"/>
      <c r="EO25" s="250" t="str">
        <f t="shared" si="30"/>
        <v>--</v>
      </c>
    </row>
    <row r="26" spans="2:145" s="89" customFormat="1" ht="42" customHeight="1" thickBot="1" x14ac:dyDescent="0.3">
      <c r="B26" s="98"/>
      <c r="C26" s="99" t="s">
        <v>1152</v>
      </c>
      <c r="D26" s="331" t="s">
        <v>1172</v>
      </c>
      <c r="E26" s="100" t="s">
        <v>263</v>
      </c>
      <c r="F26" s="101" t="s">
        <v>1290</v>
      </c>
      <c r="G26" s="83" t="str">
        <f t="shared" si="31"/>
        <v>_24_Portales_Transaccionales</v>
      </c>
      <c r="J26" s="12"/>
      <c r="M26" s="91"/>
      <c r="N26" s="91"/>
      <c r="O26" s="91"/>
      <c r="P26" s="91"/>
      <c r="Q26" s="91"/>
      <c r="R26" s="91"/>
      <c r="S26" s="91"/>
      <c r="T26" s="91"/>
      <c r="U26" s="237">
        <v>23</v>
      </c>
      <c r="V26" s="231"/>
      <c r="W26" s="230"/>
      <c r="X26" s="247"/>
      <c r="Y26" s="247"/>
      <c r="Z26" s="231"/>
      <c r="AA26" s="230"/>
      <c r="AB26" s="270"/>
      <c r="AC26" s="272" t="str">
        <f t="shared" si="38"/>
        <v>--</v>
      </c>
      <c r="AD26" s="347">
        <v>210</v>
      </c>
      <c r="AE26" s="254" t="s">
        <v>882</v>
      </c>
      <c r="AF26" s="276" t="s">
        <v>796</v>
      </c>
      <c r="AG26" s="249" t="str">
        <f t="shared" si="5"/>
        <v>210-SICOSEM-Sistema de Control y Seguimiento de Muestras</v>
      </c>
      <c r="AH26" s="244"/>
      <c r="AI26" s="243"/>
      <c r="AJ26" s="232"/>
      <c r="AK26" s="233" t="str">
        <f t="shared" si="33"/>
        <v>--</v>
      </c>
      <c r="AL26" s="347">
        <v>819</v>
      </c>
      <c r="AM26" s="268" t="s">
        <v>1805</v>
      </c>
      <c r="AN26" s="269" t="s">
        <v>1806</v>
      </c>
      <c r="AO26" s="249" t="str">
        <f>CONCATENATE(AL26,"-",AM26,"-",AN26)</f>
        <v>819-COMALEP-Convenio Multilateral de Aduanas de América Latina, España y Portugal</v>
      </c>
      <c r="AP26" s="231"/>
      <c r="AQ26" s="230"/>
      <c r="AR26" s="232"/>
      <c r="AS26" s="250" t="str">
        <f t="shared" si="43"/>
        <v>--</v>
      </c>
      <c r="AT26" s="231"/>
      <c r="AU26" s="230"/>
      <c r="AV26" s="232"/>
      <c r="AW26" s="247" t="str">
        <f t="shared" si="22"/>
        <v>--</v>
      </c>
      <c r="AX26" s="393"/>
      <c r="AY26" s="394"/>
      <c r="AZ26" s="394"/>
      <c r="BA26" s="233" t="str">
        <f t="shared" si="42"/>
        <v>--</v>
      </c>
      <c r="BB26" s="527">
        <v>880</v>
      </c>
      <c r="BC26" s="260" t="s">
        <v>965</v>
      </c>
      <c r="BD26" s="264" t="s">
        <v>1490</v>
      </c>
      <c r="BE26" s="271" t="str">
        <f t="shared" si="41"/>
        <v>880-DeclaraSAT-Declaración Anual Personas Físicas</v>
      </c>
      <c r="BF26" s="362">
        <v>761</v>
      </c>
      <c r="BG26" s="254" t="s">
        <v>1029</v>
      </c>
      <c r="BH26" s="264" t="s">
        <v>684</v>
      </c>
      <c r="BI26" s="271" t="str">
        <f t="shared" si="10"/>
        <v>761-CRIF-Consulta RIF</v>
      </c>
      <c r="BJ26" s="238"/>
      <c r="BK26" s="226"/>
      <c r="BL26" s="232"/>
      <c r="BM26" s="247" t="str">
        <f t="shared" si="44"/>
        <v>--</v>
      </c>
      <c r="BN26" s="231"/>
      <c r="BO26" s="230"/>
      <c r="BP26" s="232"/>
      <c r="BQ26" s="247" t="str">
        <f t="shared" si="40"/>
        <v>--</v>
      </c>
      <c r="BR26" s="231"/>
      <c r="BS26" s="230"/>
      <c r="BT26" s="232"/>
      <c r="BU26" s="283" t="str">
        <f t="shared" si="34"/>
        <v>--</v>
      </c>
      <c r="BV26" s="480">
        <v>984</v>
      </c>
      <c r="BW26" s="260" t="s">
        <v>263</v>
      </c>
      <c r="BX26" s="264" t="s">
        <v>1515</v>
      </c>
      <c r="BY26" s="533" t="str">
        <f t="shared" si="13"/>
        <v>984-PT-Papeles de Trabajo</v>
      </c>
      <c r="BZ26" s="231"/>
      <c r="CA26" s="230"/>
      <c r="CB26" s="232"/>
      <c r="CC26" s="233" t="str">
        <f t="shared" si="23"/>
        <v>--</v>
      </c>
      <c r="CD26" s="231"/>
      <c r="CE26" s="230"/>
      <c r="CF26" s="232"/>
      <c r="CG26" s="233" t="str">
        <f t="shared" si="46"/>
        <v>--</v>
      </c>
      <c r="CH26" s="231"/>
      <c r="CI26" s="230"/>
      <c r="CJ26" s="232"/>
      <c r="CK26" s="290" t="str">
        <f t="shared" si="24"/>
        <v>--</v>
      </c>
      <c r="CL26" s="231"/>
      <c r="CM26" s="230"/>
      <c r="CN26" s="230"/>
      <c r="CO26" s="250" t="str">
        <f t="shared" si="36"/>
        <v>--</v>
      </c>
      <c r="CP26" s="231"/>
      <c r="CQ26" s="230"/>
      <c r="CR26" s="232"/>
      <c r="CS26" s="250" t="str">
        <f t="shared" si="25"/>
        <v>--</v>
      </c>
      <c r="CT26" s="231"/>
      <c r="CU26" s="230"/>
      <c r="CV26" s="232"/>
      <c r="CW26" s="283" t="str">
        <f t="shared" si="26"/>
        <v>--</v>
      </c>
      <c r="CX26" s="117"/>
      <c r="CY26" s="325"/>
      <c r="CZ26" s="264"/>
      <c r="DA26" s="250" t="str">
        <f t="shared" ref="DA26:DA32" si="47">CONCATENATE(CX26,"-",CY26,"-",CZ26)</f>
        <v>--</v>
      </c>
      <c r="DB26" s="244"/>
      <c r="DC26" s="243"/>
      <c r="DD26" s="232"/>
      <c r="DE26" s="247" t="str">
        <f t="shared" si="32"/>
        <v>--</v>
      </c>
      <c r="DF26" s="281"/>
      <c r="DG26" s="268"/>
      <c r="DH26" s="269"/>
      <c r="DI26" s="250" t="str">
        <f t="shared" si="27"/>
        <v>--</v>
      </c>
      <c r="DJ26" s="354">
        <v>2078</v>
      </c>
      <c r="DK26" s="284" t="s">
        <v>919</v>
      </c>
      <c r="DL26" s="264" t="s">
        <v>1539</v>
      </c>
      <c r="DM26" s="533" t="str">
        <f t="shared" si="17"/>
        <v>2078-SI-IDC-Servicios de Replica de Legados</v>
      </c>
      <c r="DN26" s="354">
        <v>959</v>
      </c>
      <c r="DO26" s="260" t="s">
        <v>1542</v>
      </c>
      <c r="DP26" s="264" t="s">
        <v>1543</v>
      </c>
      <c r="DQ26" s="533" t="str">
        <f t="shared" si="18"/>
        <v>959-KIOSKO-Kiosko de Salas de Internet (Mi Espacio)</v>
      </c>
      <c r="DR26" s="231"/>
      <c r="DS26" s="230"/>
      <c r="DT26" s="232"/>
      <c r="DU26" s="283" t="str">
        <f t="shared" si="28"/>
        <v>--</v>
      </c>
      <c r="DV26" s="231"/>
      <c r="DW26" s="230"/>
      <c r="DX26" s="232"/>
      <c r="DY26" s="247" t="str">
        <f t="shared" si="45"/>
        <v>--</v>
      </c>
      <c r="DZ26" s="360">
        <v>633</v>
      </c>
      <c r="EA26" s="284" t="s">
        <v>979</v>
      </c>
      <c r="EB26" s="285" t="s">
        <v>676</v>
      </c>
      <c r="EC26" s="533" t="str">
        <f t="shared" si="20"/>
        <v>633-SOLDON-Solicitud Donatarias</v>
      </c>
      <c r="ED26" s="375">
        <v>842</v>
      </c>
      <c r="EE26" s="254" t="s">
        <v>1023</v>
      </c>
      <c r="EF26" s="276" t="s">
        <v>713</v>
      </c>
      <c r="EG26" s="533" t="str">
        <f t="shared" si="21"/>
        <v>842-MA_APLIC-Matriz de Aplicaciones SDMA</v>
      </c>
      <c r="EH26" s="281"/>
      <c r="EI26" s="268"/>
      <c r="EJ26" s="269"/>
      <c r="EK26" s="250" t="str">
        <f t="shared" si="29"/>
        <v>--</v>
      </c>
      <c r="EL26" s="281"/>
      <c r="EM26" s="268"/>
      <c r="EN26" s="269"/>
      <c r="EO26" s="250" t="str">
        <f t="shared" si="30"/>
        <v>--</v>
      </c>
    </row>
    <row r="27" spans="2:145" s="89" customFormat="1" ht="45.75" thickBot="1" x14ac:dyDescent="0.3">
      <c r="B27" s="98"/>
      <c r="C27" s="99" t="s">
        <v>1153</v>
      </c>
      <c r="D27" s="331" t="s">
        <v>1161</v>
      </c>
      <c r="E27" s="100" t="s">
        <v>379</v>
      </c>
      <c r="F27" s="101" t="s">
        <v>1291</v>
      </c>
      <c r="G27" s="83" t="str">
        <f t="shared" si="31"/>
        <v>_25_Comercio_Exterior_Soporte_a_la_Operación</v>
      </c>
      <c r="J27" s="12"/>
      <c r="M27" s="91"/>
      <c r="N27" s="91"/>
      <c r="O27" s="91"/>
      <c r="P27" s="91"/>
      <c r="Q27" s="91"/>
      <c r="R27" s="91"/>
      <c r="S27" s="91"/>
      <c r="T27" s="91"/>
      <c r="U27" s="237">
        <v>24</v>
      </c>
      <c r="V27" s="231"/>
      <c r="W27" s="230"/>
      <c r="X27" s="247"/>
      <c r="Y27" s="247"/>
      <c r="Z27" s="231"/>
      <c r="AA27" s="230"/>
      <c r="AB27" s="270"/>
      <c r="AC27" s="272" t="str">
        <f t="shared" si="38"/>
        <v>--</v>
      </c>
      <c r="AD27" s="347">
        <v>212</v>
      </c>
      <c r="AE27" s="254" t="s">
        <v>883</v>
      </c>
      <c r="AF27" s="276" t="s">
        <v>805</v>
      </c>
      <c r="AG27" s="249" t="str">
        <f t="shared" si="5"/>
        <v>212-SOIA-Sistema de Operación Integral Aduanera</v>
      </c>
      <c r="AH27" s="244"/>
      <c r="AI27" s="243"/>
      <c r="AJ27" s="232"/>
      <c r="AK27" s="233" t="str">
        <f t="shared" si="33"/>
        <v>--</v>
      </c>
      <c r="AL27" s="347">
        <v>822</v>
      </c>
      <c r="AM27" s="254" t="s">
        <v>641</v>
      </c>
      <c r="AN27" s="264" t="s">
        <v>641</v>
      </c>
      <c r="AO27" s="249" t="str">
        <f t="shared" si="6"/>
        <v>822-CLINCAT-CLINCAT</v>
      </c>
      <c r="AP27" s="231"/>
      <c r="AQ27" s="230"/>
      <c r="AR27" s="232"/>
      <c r="AS27" s="250" t="str">
        <f t="shared" si="43"/>
        <v>--</v>
      </c>
      <c r="AT27" s="231"/>
      <c r="AU27" s="230"/>
      <c r="AV27" s="232"/>
      <c r="AW27" s="247" t="str">
        <f t="shared" si="22"/>
        <v>--</v>
      </c>
      <c r="AX27" s="393"/>
      <c r="AY27" s="394"/>
      <c r="AZ27" s="394"/>
      <c r="BA27" s="233" t="str">
        <f t="shared" si="42"/>
        <v>--</v>
      </c>
      <c r="BB27" s="527">
        <v>881</v>
      </c>
      <c r="BC27" s="260" t="s">
        <v>1491</v>
      </c>
      <c r="BD27" s="264" t="s">
        <v>1492</v>
      </c>
      <c r="BE27" s="271" t="str">
        <f t="shared" si="41"/>
        <v>881-Declaración_anual_PM-Declaración Anual Personas Morales</v>
      </c>
      <c r="BF27" s="362">
        <v>764</v>
      </c>
      <c r="BG27" s="260" t="s">
        <v>1364</v>
      </c>
      <c r="BH27" s="264" t="s">
        <v>1365</v>
      </c>
      <c r="BI27" s="271" t="str">
        <f t="shared" si="10"/>
        <v>764-ADMON_SCA-Sistema de Administración SCADE</v>
      </c>
      <c r="BJ27" s="238"/>
      <c r="BK27" s="226"/>
      <c r="BL27" s="232"/>
      <c r="BM27" s="247" t="str">
        <f t="shared" si="44"/>
        <v>--</v>
      </c>
      <c r="BN27" s="231"/>
      <c r="BO27" s="230"/>
      <c r="BP27" s="232"/>
      <c r="BQ27" s="247" t="str">
        <f t="shared" si="40"/>
        <v>--</v>
      </c>
      <c r="BR27" s="231"/>
      <c r="BS27" s="230"/>
      <c r="BT27" s="232"/>
      <c r="BU27" s="283" t="str">
        <f t="shared" si="34"/>
        <v>--</v>
      </c>
      <c r="BV27" s="480">
        <v>988</v>
      </c>
      <c r="BW27" s="260" t="s">
        <v>1776</v>
      </c>
      <c r="BX27" s="264" t="s">
        <v>1779</v>
      </c>
      <c r="BY27" s="533" t="str">
        <f t="shared" si="13"/>
        <v>988-IIAFE-Intercambio de información con autoridades fiscales extranjeras</v>
      </c>
      <c r="BZ27" s="238"/>
      <c r="CA27" s="226"/>
      <c r="CB27" s="234"/>
      <c r="CC27" s="233" t="str">
        <f t="shared" si="23"/>
        <v>--</v>
      </c>
      <c r="CD27" s="238"/>
      <c r="CE27" s="226"/>
      <c r="CF27" s="234"/>
      <c r="CG27" s="233" t="str">
        <f t="shared" si="46"/>
        <v>--</v>
      </c>
      <c r="CH27" s="238"/>
      <c r="CI27" s="226"/>
      <c r="CJ27" s="234"/>
      <c r="CK27" s="290" t="str">
        <f t="shared" si="24"/>
        <v>--</v>
      </c>
      <c r="CL27" s="238"/>
      <c r="CM27" s="226"/>
      <c r="CN27" s="226"/>
      <c r="CO27" s="250" t="str">
        <f t="shared" si="36"/>
        <v>--</v>
      </c>
      <c r="CP27" s="238"/>
      <c r="CQ27" s="226"/>
      <c r="CR27" s="234"/>
      <c r="CS27" s="250" t="str">
        <f t="shared" si="25"/>
        <v>--</v>
      </c>
      <c r="CT27" s="238"/>
      <c r="CU27" s="226"/>
      <c r="CV27" s="232"/>
      <c r="CW27" s="283" t="str">
        <f t="shared" si="26"/>
        <v>--</v>
      </c>
      <c r="CX27" s="267"/>
      <c r="CY27" s="260"/>
      <c r="CZ27" s="264"/>
      <c r="DA27" s="250" t="str">
        <f t="shared" si="47"/>
        <v>--</v>
      </c>
      <c r="DB27" s="244"/>
      <c r="DC27" s="243"/>
      <c r="DD27" s="232"/>
      <c r="DE27" s="247" t="str">
        <f t="shared" si="32"/>
        <v>--</v>
      </c>
      <c r="DF27" s="332"/>
      <c r="DG27" s="254"/>
      <c r="DH27" s="264"/>
      <c r="DI27" s="250" t="str">
        <f t="shared" si="27"/>
        <v>--</v>
      </c>
      <c r="DJ27" s="258"/>
      <c r="DK27" s="282"/>
      <c r="DL27" s="235"/>
      <c r="DM27" s="250" t="str">
        <f t="shared" ref="DM27:DM33" si="48">CONCATENATE(DJ27,"-",DK27,"-",DL27)</f>
        <v>--</v>
      </c>
      <c r="DN27" s="354">
        <v>961</v>
      </c>
      <c r="DO27" s="260" t="s">
        <v>1544</v>
      </c>
      <c r="DP27" s="264" t="s">
        <v>1545</v>
      </c>
      <c r="DQ27" s="533" t="str">
        <f t="shared" si="18"/>
        <v>961-SAIE III-Servicio de Acreditación de Identidad y Enrolamiento para la Firma Electrónica Avanzada – III</v>
      </c>
      <c r="DR27" s="231"/>
      <c r="DS27" s="230"/>
      <c r="DT27" s="232"/>
      <c r="DU27" s="283" t="str">
        <f t="shared" si="28"/>
        <v>--</v>
      </c>
      <c r="DV27" s="231"/>
      <c r="DW27" s="230"/>
      <c r="DX27" s="232"/>
      <c r="DY27" s="247" t="str">
        <f t="shared" si="45"/>
        <v>--</v>
      </c>
      <c r="DZ27" s="357">
        <v>639</v>
      </c>
      <c r="EA27" s="254" t="s">
        <v>980</v>
      </c>
      <c r="EB27" s="264" t="s">
        <v>647</v>
      </c>
      <c r="EC27" s="533" t="str">
        <f t="shared" si="20"/>
        <v>639-RRL-Recurso de Revocación en Línea</v>
      </c>
      <c r="ED27" s="375">
        <v>855</v>
      </c>
      <c r="EE27" s="254" t="s">
        <v>1024</v>
      </c>
      <c r="EF27" s="276" t="s">
        <v>717</v>
      </c>
      <c r="EG27" s="533" t="str">
        <f t="shared" si="21"/>
        <v>855-METRICAS-Métricas de Calidad de Software</v>
      </c>
      <c r="EH27" s="332"/>
      <c r="EI27" s="254"/>
      <c r="EJ27" s="264"/>
      <c r="EK27" s="250" t="str">
        <f t="shared" si="29"/>
        <v>--</v>
      </c>
      <c r="EL27" s="332"/>
      <c r="EM27" s="254"/>
      <c r="EN27" s="264"/>
      <c r="EO27" s="250" t="str">
        <f t="shared" si="30"/>
        <v>--</v>
      </c>
    </row>
    <row r="28" spans="2:145" s="89" customFormat="1" ht="45.75" thickBot="1" x14ac:dyDescent="0.3">
      <c r="B28" s="98"/>
      <c r="C28" s="99" t="s">
        <v>1154</v>
      </c>
      <c r="D28" s="331" t="s">
        <v>1168</v>
      </c>
      <c r="E28" s="100" t="s">
        <v>381</v>
      </c>
      <c r="F28" s="101" t="s">
        <v>403</v>
      </c>
      <c r="G28" s="83" t="str">
        <f t="shared" si="31"/>
        <v>_26_MAT_Comercio_Exterior</v>
      </c>
      <c r="J28" s="12"/>
      <c r="M28" s="91"/>
      <c r="N28" s="91"/>
      <c r="O28" s="91"/>
      <c r="P28" s="91"/>
      <c r="Q28" s="91"/>
      <c r="R28" s="91"/>
      <c r="S28" s="91"/>
      <c r="T28" s="91"/>
      <c r="U28" s="237">
        <v>25</v>
      </c>
      <c r="V28" s="231"/>
      <c r="W28" s="230"/>
      <c r="X28" s="247"/>
      <c r="Y28" s="247"/>
      <c r="Z28" s="231"/>
      <c r="AA28" s="230"/>
      <c r="AB28" s="270"/>
      <c r="AC28" s="272" t="str">
        <f t="shared" si="38"/>
        <v>--</v>
      </c>
      <c r="AD28" s="378">
        <v>215</v>
      </c>
      <c r="AE28" s="274" t="s">
        <v>1066</v>
      </c>
      <c r="AF28" s="276" t="s">
        <v>814</v>
      </c>
      <c r="AG28" s="249" t="str">
        <f t="shared" si="5"/>
        <v>215-TRANSITOS-Tránsitos</v>
      </c>
      <c r="AH28" s="244"/>
      <c r="AI28" s="243"/>
      <c r="AJ28" s="232"/>
      <c r="AK28" s="233" t="str">
        <f t="shared" si="33"/>
        <v>--</v>
      </c>
      <c r="AL28" s="347">
        <v>829</v>
      </c>
      <c r="AM28" s="254" t="s">
        <v>897</v>
      </c>
      <c r="AN28" s="264" t="s">
        <v>774</v>
      </c>
      <c r="AO28" s="249" t="str">
        <f t="shared" si="6"/>
        <v>829-SER_COM_BUS-Servicios comunes del BUS</v>
      </c>
      <c r="AP28" s="231"/>
      <c r="AQ28" s="230"/>
      <c r="AR28" s="232"/>
      <c r="AS28" s="250" t="str">
        <f t="shared" si="43"/>
        <v>--</v>
      </c>
      <c r="AT28" s="231"/>
      <c r="AU28" s="230"/>
      <c r="AV28" s="232"/>
      <c r="AW28" s="247" t="str">
        <f t="shared" si="22"/>
        <v>--</v>
      </c>
      <c r="AX28" s="393"/>
      <c r="AY28" s="394"/>
      <c r="AZ28" s="394"/>
      <c r="BA28" s="233" t="str">
        <f t="shared" si="42"/>
        <v>--</v>
      </c>
      <c r="BB28" s="527">
        <v>938</v>
      </c>
      <c r="BC28" s="260" t="s">
        <v>1360</v>
      </c>
      <c r="BD28" s="264" t="s">
        <v>1359</v>
      </c>
      <c r="BE28" s="271" t="str">
        <f t="shared" si="41"/>
        <v>938-MON_INF-Monitores de Informativas</v>
      </c>
      <c r="BF28" s="362">
        <v>765</v>
      </c>
      <c r="BG28" s="260" t="s">
        <v>1449</v>
      </c>
      <c r="BH28" s="264" t="s">
        <v>1448</v>
      </c>
      <c r="BI28" s="271" t="str">
        <f t="shared" si="10"/>
        <v>765-Forma 39-Aviso para presentar dictámen Fiscal de Enajenación de Acciones</v>
      </c>
      <c r="BJ28" s="238"/>
      <c r="BK28" s="226"/>
      <c r="BL28" s="232"/>
      <c r="BM28" s="247" t="str">
        <f t="shared" ref="BM28:BM66" si="49">CONCATENATE(BJ28,"-",BK28,"-",BL28)</f>
        <v>--</v>
      </c>
      <c r="BN28" s="231"/>
      <c r="BO28" s="230"/>
      <c r="BP28" s="232"/>
      <c r="BQ28" s="247" t="str">
        <f t="shared" ref="BQ28:BQ67" si="50">CONCATENATE(BN28,"-",BO28,"-",BP28)</f>
        <v>--</v>
      </c>
      <c r="BR28" s="231"/>
      <c r="BS28" s="230"/>
      <c r="BT28" s="232"/>
      <c r="BU28" s="283" t="str">
        <f t="shared" si="34"/>
        <v>--</v>
      </c>
      <c r="BV28" s="340">
        <v>2282</v>
      </c>
      <c r="BW28" s="260" t="s">
        <v>848</v>
      </c>
      <c r="BX28" s="264" t="s">
        <v>709</v>
      </c>
      <c r="BY28" s="533" t="str">
        <f t="shared" si="13"/>
        <v>2282-JyS-Fiscalización de Juegos y Sorteos</v>
      </c>
      <c r="BZ28" s="238"/>
      <c r="CA28" s="226"/>
      <c r="CB28" s="234"/>
      <c r="CC28" s="233" t="str">
        <f t="shared" si="23"/>
        <v>--</v>
      </c>
      <c r="CD28" s="238"/>
      <c r="CE28" s="226"/>
      <c r="CF28" s="234"/>
      <c r="CG28" s="233" t="str">
        <f t="shared" si="46"/>
        <v>--</v>
      </c>
      <c r="CH28" s="238"/>
      <c r="CI28" s="226"/>
      <c r="CJ28" s="234"/>
      <c r="CK28" s="290" t="str">
        <f t="shared" si="24"/>
        <v>--</v>
      </c>
      <c r="CL28" s="238"/>
      <c r="CM28" s="226"/>
      <c r="CN28" s="226"/>
      <c r="CO28" s="250" t="str">
        <f t="shared" si="36"/>
        <v>--</v>
      </c>
      <c r="CP28" s="238"/>
      <c r="CQ28" s="226"/>
      <c r="CR28" s="234"/>
      <c r="CS28" s="250" t="str">
        <f t="shared" si="25"/>
        <v>--</v>
      </c>
      <c r="CT28" s="238"/>
      <c r="CU28" s="226"/>
      <c r="CV28" s="232"/>
      <c r="CW28" s="283" t="str">
        <f t="shared" si="26"/>
        <v>--</v>
      </c>
      <c r="CX28" s="301"/>
      <c r="CY28" s="260"/>
      <c r="CZ28" s="264"/>
      <c r="DA28" s="250" t="str">
        <f t="shared" si="47"/>
        <v>--</v>
      </c>
      <c r="DB28" s="244"/>
      <c r="DC28" s="243"/>
      <c r="DD28" s="232"/>
      <c r="DE28" s="247" t="str">
        <f t="shared" si="32"/>
        <v>--</v>
      </c>
      <c r="DF28" s="258"/>
      <c r="DG28" s="333"/>
      <c r="DH28" s="287"/>
      <c r="DI28" s="250" t="str">
        <f t="shared" si="27"/>
        <v>--</v>
      </c>
      <c r="DJ28" s="261"/>
      <c r="DK28" s="254"/>
      <c r="DL28" s="264"/>
      <c r="DM28" s="250" t="str">
        <f t="shared" si="48"/>
        <v>--</v>
      </c>
      <c r="DN28" s="354">
        <v>980</v>
      </c>
      <c r="DO28" s="260" t="s">
        <v>1546</v>
      </c>
      <c r="DP28" s="264" t="s">
        <v>1547</v>
      </c>
      <c r="DQ28" s="533" t="str">
        <f t="shared" si="18"/>
        <v>980-TBT-Buzón Tributario Ver. 2.0</v>
      </c>
      <c r="DR28" s="231"/>
      <c r="DS28" s="230"/>
      <c r="DT28" s="232"/>
      <c r="DU28" s="283" t="str">
        <f t="shared" si="28"/>
        <v>--</v>
      </c>
      <c r="DV28" s="231"/>
      <c r="DW28" s="230"/>
      <c r="DX28" s="232"/>
      <c r="DY28" s="247" t="str">
        <f t="shared" si="45"/>
        <v>--</v>
      </c>
      <c r="DZ28" s="357">
        <v>663</v>
      </c>
      <c r="EA28" s="254" t="s">
        <v>981</v>
      </c>
      <c r="EB28" s="264" t="s">
        <v>671</v>
      </c>
      <c r="EC28" s="533" t="str">
        <f t="shared" si="20"/>
        <v>663-CAL-SI-Consultas y Autorizaciones en línea</v>
      </c>
      <c r="ED28" s="375">
        <v>860</v>
      </c>
      <c r="EE28" s="254" t="s">
        <v>1025</v>
      </c>
      <c r="EF28" s="276" t="s">
        <v>573</v>
      </c>
      <c r="EG28" s="533" t="str">
        <f t="shared" si="21"/>
        <v>860-ALM-Administración del Ciclo de Vida de Aplicaciones de TIC</v>
      </c>
      <c r="EH28" s="258"/>
      <c r="EI28" s="333"/>
      <c r="EJ28" s="287"/>
      <c r="EK28" s="250" t="str">
        <f t="shared" si="29"/>
        <v>--</v>
      </c>
      <c r="EL28" s="258"/>
      <c r="EM28" s="333"/>
      <c r="EN28" s="287"/>
      <c r="EO28" s="250" t="str">
        <f t="shared" si="30"/>
        <v>--</v>
      </c>
    </row>
    <row r="29" spans="2:145" s="89" customFormat="1" ht="77.25" thickBot="1" x14ac:dyDescent="0.3">
      <c r="B29" s="98"/>
      <c r="C29" s="99" t="s">
        <v>1155</v>
      </c>
      <c r="D29" s="331" t="s">
        <v>1167</v>
      </c>
      <c r="E29" s="100" t="s">
        <v>383</v>
      </c>
      <c r="F29" s="101" t="s">
        <v>1292</v>
      </c>
      <c r="G29" s="83" t="str">
        <f t="shared" si="31"/>
        <v>_27_Fiscalización_Específicos</v>
      </c>
      <c r="J29" s="12"/>
      <c r="M29" s="91"/>
      <c r="N29" s="91"/>
      <c r="O29" s="91"/>
      <c r="P29" s="91"/>
      <c r="Q29" s="91"/>
      <c r="R29" s="91"/>
      <c r="S29" s="91"/>
      <c r="T29" s="91"/>
      <c r="U29" s="237">
        <v>26</v>
      </c>
      <c r="V29" s="231"/>
      <c r="W29" s="230"/>
      <c r="X29" s="232"/>
      <c r="Y29" s="247"/>
      <c r="Z29" s="231"/>
      <c r="AA29" s="230"/>
      <c r="AB29" s="270"/>
      <c r="AC29" s="272" t="str">
        <f t="shared" si="38"/>
        <v>--</v>
      </c>
      <c r="AD29" s="378">
        <v>218</v>
      </c>
      <c r="AE29" s="254" t="s">
        <v>1068</v>
      </c>
      <c r="AF29" s="276" t="s">
        <v>819</v>
      </c>
      <c r="AG29" s="249" t="str">
        <f t="shared" si="5"/>
        <v>218-VSCG-Validador Sintactico Catalogico Generalizado  (VSCG)</v>
      </c>
      <c r="AH29" s="244"/>
      <c r="AI29" s="243"/>
      <c r="AJ29" s="232"/>
      <c r="AK29" s="233" t="str">
        <f t="shared" si="33"/>
        <v>--</v>
      </c>
      <c r="AL29" s="384">
        <v>835</v>
      </c>
      <c r="AM29" s="254" t="s">
        <v>1102</v>
      </c>
      <c r="AN29" s="277" t="s">
        <v>692</v>
      </c>
      <c r="AO29" s="249" t="str">
        <f t="shared" si="6"/>
        <v>835-ETL ADUANAS-DWH: Migrar el proceso ETL de Aduanas para los temas: Selección, Reconocimiento, Fechas Eventos, No Pedimentos, Validación Pago y Manifiestos a la infraestructura aprovisionada por el MTSI</v>
      </c>
      <c r="AP29" s="231"/>
      <c r="AQ29" s="230"/>
      <c r="AR29" s="232"/>
      <c r="AS29" s="250" t="str">
        <f t="shared" si="43"/>
        <v>--</v>
      </c>
      <c r="AT29" s="231"/>
      <c r="AU29" s="230"/>
      <c r="AV29" s="232"/>
      <c r="AW29" s="247" t="str">
        <f t="shared" si="22"/>
        <v>--</v>
      </c>
      <c r="AX29" s="393"/>
      <c r="AY29" s="394"/>
      <c r="AZ29" s="394"/>
      <c r="BA29" s="233" t="str">
        <f t="shared" si="42"/>
        <v>--</v>
      </c>
      <c r="BB29" s="527">
        <v>981</v>
      </c>
      <c r="BC29" s="260" t="s">
        <v>1772</v>
      </c>
      <c r="BD29" s="264" t="s">
        <v>1773</v>
      </c>
      <c r="BE29" s="233" t="str">
        <f>CONCATENATE(BB29,"-",BC29,"-",BD29)</f>
        <v>981-Mis Cuentas RFS-SaC: Mis Cuentas. Creación Modelo de información</v>
      </c>
      <c r="BF29" s="362">
        <v>766</v>
      </c>
      <c r="BG29" s="260" t="s">
        <v>1450</v>
      </c>
      <c r="BH29" s="264" t="s">
        <v>1496</v>
      </c>
      <c r="BI29" s="271" t="str">
        <f t="shared" si="10"/>
        <v>766-Forma 97-Aviso de colocación de Títulos de Crédito en el extranjero y de pago de intereses derivados de dichas colocaciones (Opción de retención del ISR )</v>
      </c>
      <c r="BJ29" s="238"/>
      <c r="BK29" s="226"/>
      <c r="BL29" s="232"/>
      <c r="BM29" s="247" t="str">
        <f t="shared" si="49"/>
        <v>--</v>
      </c>
      <c r="BN29" s="231"/>
      <c r="BO29" s="230"/>
      <c r="BP29" s="232"/>
      <c r="BQ29" s="247" t="str">
        <f t="shared" si="50"/>
        <v>--</v>
      </c>
      <c r="BR29" s="231"/>
      <c r="BS29" s="230"/>
      <c r="BT29" s="232"/>
      <c r="BU29" s="283" t="str">
        <f t="shared" si="34"/>
        <v>--</v>
      </c>
      <c r="BV29" s="293"/>
      <c r="BW29" s="260"/>
      <c r="BX29" s="234"/>
      <c r="BY29" s="233" t="str">
        <f t="shared" ref="BY29:BY34" si="51">CONCATENATE(BV29,"-",BW29,"-",BX29)</f>
        <v>--</v>
      </c>
      <c r="BZ29" s="238"/>
      <c r="CA29" s="226"/>
      <c r="CB29" s="234"/>
      <c r="CC29" s="233" t="str">
        <f t="shared" si="23"/>
        <v>--</v>
      </c>
      <c r="CD29" s="238"/>
      <c r="CE29" s="226"/>
      <c r="CF29" s="234"/>
      <c r="CG29" s="233" t="str">
        <f t="shared" si="46"/>
        <v>--</v>
      </c>
      <c r="CH29" s="238"/>
      <c r="CI29" s="226"/>
      <c r="CJ29" s="234"/>
      <c r="CK29" s="290" t="str">
        <f t="shared" si="24"/>
        <v>--</v>
      </c>
      <c r="CL29" s="238"/>
      <c r="CM29" s="226"/>
      <c r="CN29" s="226"/>
      <c r="CO29" s="250" t="str">
        <f t="shared" si="36"/>
        <v>--</v>
      </c>
      <c r="CP29" s="238"/>
      <c r="CQ29" s="226"/>
      <c r="CR29" s="234"/>
      <c r="CS29" s="250" t="str">
        <f t="shared" si="25"/>
        <v>--</v>
      </c>
      <c r="CT29" s="238"/>
      <c r="CU29" s="226"/>
      <c r="CV29" s="232"/>
      <c r="CW29" s="283" t="str">
        <f t="shared" si="26"/>
        <v>--</v>
      </c>
      <c r="CX29" s="536"/>
      <c r="CY29" s="230"/>
      <c r="CZ29" s="232"/>
      <c r="DA29" s="250" t="str">
        <f t="shared" si="47"/>
        <v>--</v>
      </c>
      <c r="DB29" s="244"/>
      <c r="DC29" s="243"/>
      <c r="DD29" s="234"/>
      <c r="DE29" s="247" t="str">
        <f t="shared" si="32"/>
        <v>--</v>
      </c>
      <c r="DF29" s="258"/>
      <c r="DG29" s="333"/>
      <c r="DH29" s="287"/>
      <c r="DI29" s="250" t="str">
        <f t="shared" si="27"/>
        <v>--</v>
      </c>
      <c r="DJ29" s="261"/>
      <c r="DK29" s="254"/>
      <c r="DL29" s="264"/>
      <c r="DM29" s="250" t="str">
        <f t="shared" si="48"/>
        <v>--</v>
      </c>
      <c r="DN29" s="354">
        <v>2021</v>
      </c>
      <c r="DO29" s="260" t="s">
        <v>631</v>
      </c>
      <c r="DP29" s="264" t="s">
        <v>631</v>
      </c>
      <c r="DQ29" s="533" t="str">
        <f t="shared" si="18"/>
        <v>2021-CRM - Solución Integral-CRM - Solución Integral</v>
      </c>
      <c r="DR29" s="231"/>
      <c r="DS29" s="230"/>
      <c r="DT29" s="232"/>
      <c r="DU29" s="283" t="str">
        <f t="shared" si="28"/>
        <v>--</v>
      </c>
      <c r="DV29" s="231"/>
      <c r="DW29" s="230"/>
      <c r="DX29" s="232"/>
      <c r="DY29" s="247" t="str">
        <f t="shared" si="45"/>
        <v>--</v>
      </c>
      <c r="DZ29" s="357">
        <v>679</v>
      </c>
      <c r="EA29" s="260" t="s">
        <v>1047</v>
      </c>
      <c r="EB29" s="264" t="s">
        <v>585</v>
      </c>
      <c r="EC29" s="533" t="str">
        <f t="shared" si="20"/>
        <v>679-DDM-Donación y Destrucción de Mercancías</v>
      </c>
      <c r="ED29" s="388">
        <v>867</v>
      </c>
      <c r="EE29" s="254" t="s">
        <v>1115</v>
      </c>
      <c r="EF29" s="264" t="s">
        <v>648</v>
      </c>
      <c r="EG29" s="533" t="str">
        <f t="shared" si="21"/>
        <v>867-EEBC-Expediente Electrónico – Bóveda de Créditos</v>
      </c>
      <c r="EH29" s="258"/>
      <c r="EI29" s="333"/>
      <c r="EJ29" s="287"/>
      <c r="EK29" s="250" t="str">
        <f t="shared" si="29"/>
        <v>--</v>
      </c>
      <c r="EL29" s="258"/>
      <c r="EM29" s="333"/>
      <c r="EN29" s="287"/>
      <c r="EO29" s="250" t="str">
        <f t="shared" si="30"/>
        <v>--</v>
      </c>
    </row>
    <row r="30" spans="2:145" s="89" customFormat="1" ht="77.25" thickBot="1" x14ac:dyDescent="0.3">
      <c r="B30" s="98"/>
      <c r="C30" s="99" t="s">
        <v>1156</v>
      </c>
      <c r="D30" s="331" t="s">
        <v>1236</v>
      </c>
      <c r="E30" s="100" t="s">
        <v>1233</v>
      </c>
      <c r="F30" s="101" t="s">
        <v>1293</v>
      </c>
      <c r="G30" s="83" t="str">
        <f t="shared" si="31"/>
        <v>_28_Declaraciones_y_Pagos_Informativas_y_Pagos_Provisionales</v>
      </c>
      <c r="J30" s="12"/>
      <c r="M30" s="91"/>
      <c r="N30" s="91"/>
      <c r="O30" s="91"/>
      <c r="P30" s="91"/>
      <c r="Q30" s="91"/>
      <c r="R30" s="91"/>
      <c r="S30" s="91"/>
      <c r="T30" s="91"/>
      <c r="U30" s="237">
        <v>27</v>
      </c>
      <c r="V30" s="231"/>
      <c r="W30" s="230"/>
      <c r="X30" s="232"/>
      <c r="Y30" s="247"/>
      <c r="Z30" s="231"/>
      <c r="AA30" s="230"/>
      <c r="AB30" s="270"/>
      <c r="AC30" s="272" t="str">
        <f t="shared" si="38"/>
        <v>--</v>
      </c>
      <c r="AD30" s="347">
        <v>330</v>
      </c>
      <c r="AE30" s="274" t="s">
        <v>884</v>
      </c>
      <c r="AF30" s="276" t="s">
        <v>1480</v>
      </c>
      <c r="AG30" s="249" t="str">
        <f t="shared" si="5"/>
        <v xml:space="preserve">330-PEA
-Pasaporte Electrónico de Aduanas
(Antes SAAI_WEB -Sistema de Operacion  Integral Aduanera (SOIA)_PEA_SIRET
</v>
      </c>
      <c r="AH30" s="244"/>
      <c r="AI30" s="243"/>
      <c r="AJ30" s="232"/>
      <c r="AK30" s="233" t="str">
        <f t="shared" si="33"/>
        <v>--</v>
      </c>
      <c r="AL30" s="384">
        <v>844</v>
      </c>
      <c r="AM30" s="254" t="s">
        <v>1086</v>
      </c>
      <c r="AN30" s="277" t="s">
        <v>576</v>
      </c>
      <c r="AO30" s="249" t="str">
        <f t="shared" si="6"/>
        <v>844-CON13&amp;64-Consulta 13 &amp; 64 campos</v>
      </c>
      <c r="AP30" s="231"/>
      <c r="AQ30" s="230"/>
      <c r="AR30" s="232"/>
      <c r="AS30" s="250" t="str">
        <f t="shared" si="43"/>
        <v>--</v>
      </c>
      <c r="AT30" s="231"/>
      <c r="AU30" s="230"/>
      <c r="AV30" s="232"/>
      <c r="AW30" s="247" t="str">
        <f t="shared" si="22"/>
        <v>--</v>
      </c>
      <c r="AX30" s="393"/>
      <c r="AY30" s="394"/>
      <c r="AZ30" s="394"/>
      <c r="BA30" s="233" t="str">
        <f t="shared" si="42"/>
        <v>--</v>
      </c>
      <c r="BB30" s="261"/>
      <c r="BC30" s="254"/>
      <c r="BD30" s="264"/>
      <c r="BE30" s="233" t="str">
        <f t="shared" ref="BE30:BE43" si="52">CONCATENATE(BB30,"-",BC30,"-",BD30)</f>
        <v>--</v>
      </c>
      <c r="BF30" s="362">
        <v>770</v>
      </c>
      <c r="BG30" s="254" t="s">
        <v>1033</v>
      </c>
      <c r="BH30" s="264" t="s">
        <v>816</v>
      </c>
      <c r="BI30" s="271" t="str">
        <f t="shared" si="10"/>
        <v>770-PLA-Planificador</v>
      </c>
      <c r="BJ30" s="238"/>
      <c r="BK30" s="226"/>
      <c r="BL30" s="232"/>
      <c r="BM30" s="247" t="str">
        <f t="shared" si="49"/>
        <v>--</v>
      </c>
      <c r="BN30" s="231"/>
      <c r="BO30" s="230"/>
      <c r="BP30" s="232"/>
      <c r="BQ30" s="247" t="str">
        <f t="shared" si="50"/>
        <v>--</v>
      </c>
      <c r="BR30" s="231"/>
      <c r="BS30" s="230"/>
      <c r="BT30" s="232"/>
      <c r="BU30" s="283" t="str">
        <f t="shared" si="34"/>
        <v>--</v>
      </c>
      <c r="BV30" s="293"/>
      <c r="BW30" s="260"/>
      <c r="BX30" s="234"/>
      <c r="BY30" s="233" t="str">
        <f t="shared" si="51"/>
        <v>--</v>
      </c>
      <c r="BZ30" s="238"/>
      <c r="CA30" s="226"/>
      <c r="CB30" s="234"/>
      <c r="CC30" s="233" t="str">
        <f t="shared" si="23"/>
        <v>--</v>
      </c>
      <c r="CD30" s="238"/>
      <c r="CE30" s="226"/>
      <c r="CF30" s="234"/>
      <c r="CG30" s="233" t="str">
        <f t="shared" si="46"/>
        <v>--</v>
      </c>
      <c r="CH30" s="238"/>
      <c r="CI30" s="226"/>
      <c r="CJ30" s="234"/>
      <c r="CK30" s="290" t="str">
        <f t="shared" si="24"/>
        <v>--</v>
      </c>
      <c r="CL30" s="238"/>
      <c r="CM30" s="226"/>
      <c r="CN30" s="230"/>
      <c r="CO30" s="250" t="str">
        <f t="shared" si="36"/>
        <v>--</v>
      </c>
      <c r="CP30" s="231"/>
      <c r="CQ30" s="230"/>
      <c r="CR30" s="232"/>
      <c r="CS30" s="250" t="str">
        <f t="shared" si="25"/>
        <v>--</v>
      </c>
      <c r="CT30" s="231"/>
      <c r="CU30" s="230"/>
      <c r="CV30" s="232"/>
      <c r="CW30" s="283" t="str">
        <f t="shared" si="26"/>
        <v>--</v>
      </c>
      <c r="CX30" s="537"/>
      <c r="CY30" s="230"/>
      <c r="CZ30" s="232"/>
      <c r="DA30" s="250" t="str">
        <f t="shared" si="47"/>
        <v>--</v>
      </c>
      <c r="DB30" s="231"/>
      <c r="DC30" s="230"/>
      <c r="DD30" s="232"/>
      <c r="DE30" s="247" t="str">
        <f t="shared" si="32"/>
        <v>--</v>
      </c>
      <c r="DF30" s="332"/>
      <c r="DG30" s="254"/>
      <c r="DH30" s="264"/>
      <c r="DI30" s="250" t="str">
        <f t="shared" si="27"/>
        <v>--</v>
      </c>
      <c r="DJ30" s="261"/>
      <c r="DK30" s="254"/>
      <c r="DL30" s="264"/>
      <c r="DM30" s="250" t="str">
        <f t="shared" si="48"/>
        <v>--</v>
      </c>
      <c r="DN30" s="354">
        <v>2054</v>
      </c>
      <c r="DO30" s="260" t="s">
        <v>910</v>
      </c>
      <c r="DP30" s="264" t="s">
        <v>1548</v>
      </c>
      <c r="DQ30" s="533" t="str">
        <f t="shared" si="18"/>
        <v>2054-SI- SAC-CRM - Servicios de Integración con Novell (CI CRM)
SI-Interfaces SAC</v>
      </c>
      <c r="DR30" s="231"/>
      <c r="DS30" s="230"/>
      <c r="DT30" s="232"/>
      <c r="DU30" s="283" t="str">
        <f t="shared" si="28"/>
        <v>--</v>
      </c>
      <c r="DV30" s="231"/>
      <c r="DW30" s="230"/>
      <c r="DX30" s="232"/>
      <c r="DY30" s="247" t="str">
        <f t="shared" si="45"/>
        <v>--</v>
      </c>
      <c r="DZ30" s="357">
        <v>701</v>
      </c>
      <c r="EA30" s="254" t="s">
        <v>982</v>
      </c>
      <c r="EB30" s="264" t="s">
        <v>633</v>
      </c>
      <c r="EC30" s="533" t="str">
        <f t="shared" si="20"/>
        <v>701-OPDAGJ-Oficialía de Partes digital para la Administración General Jurídica</v>
      </c>
      <c r="ED30" s="384">
        <v>876</v>
      </c>
      <c r="EE30" s="254" t="s">
        <v>655</v>
      </c>
      <c r="EF30" s="264" t="s">
        <v>655</v>
      </c>
      <c r="EG30" s="533" t="str">
        <f t="shared" si="21"/>
        <v>876-FIEL_CIEC-FIEL_CIEC</v>
      </c>
      <c r="EH30" s="332"/>
      <c r="EI30" s="254"/>
      <c r="EJ30" s="264"/>
      <c r="EK30" s="250" t="str">
        <f t="shared" si="29"/>
        <v>--</v>
      </c>
      <c r="EL30" s="332"/>
      <c r="EM30" s="254"/>
      <c r="EN30" s="264"/>
      <c r="EO30" s="250" t="str">
        <f t="shared" si="30"/>
        <v>--</v>
      </c>
    </row>
    <row r="31" spans="2:145" s="89" customFormat="1" ht="45.75" thickBot="1" x14ac:dyDescent="0.3">
      <c r="B31" s="98"/>
      <c r="C31" s="99" t="s">
        <v>1157</v>
      </c>
      <c r="D31" s="331" t="s">
        <v>1164</v>
      </c>
      <c r="E31" s="100" t="s">
        <v>1234</v>
      </c>
      <c r="F31" s="101" t="s">
        <v>1294</v>
      </c>
      <c r="G31" s="83" t="str">
        <f t="shared" si="31"/>
        <v>_29_Declaraciones_y_Pagos_Legados_y_Declaraciones_anuales</v>
      </c>
      <c r="J31" s="12"/>
      <c r="M31" s="91"/>
      <c r="N31" s="91"/>
      <c r="O31" s="91"/>
      <c r="P31" s="91"/>
      <c r="Q31" s="91"/>
      <c r="R31" s="91"/>
      <c r="S31" s="91"/>
      <c r="T31" s="91"/>
      <c r="U31" s="237">
        <v>28</v>
      </c>
      <c r="V31" s="231"/>
      <c r="W31" s="230"/>
      <c r="X31" s="232"/>
      <c r="Y31" s="247"/>
      <c r="Z31" s="231"/>
      <c r="AA31" s="230"/>
      <c r="AB31" s="270"/>
      <c r="AC31" s="272" t="str">
        <f t="shared" si="38"/>
        <v>--</v>
      </c>
      <c r="AD31" s="378">
        <v>346</v>
      </c>
      <c r="AE31" s="274" t="s">
        <v>1069</v>
      </c>
      <c r="AF31" s="276" t="s">
        <v>798</v>
      </c>
      <c r="AG31" s="249" t="str">
        <f t="shared" si="5"/>
        <v>346-SIECA-Sistema de Exclusas de Control Aduanero</v>
      </c>
      <c r="AH31" s="244"/>
      <c r="AI31" s="243"/>
      <c r="AJ31" s="232"/>
      <c r="AK31" s="233" t="str">
        <f t="shared" si="33"/>
        <v>--</v>
      </c>
      <c r="AL31" s="347">
        <v>868</v>
      </c>
      <c r="AM31" s="254" t="s">
        <v>898</v>
      </c>
      <c r="AN31" s="264" t="s">
        <v>815</v>
      </c>
      <c r="AO31" s="249" t="str">
        <f t="shared" si="6"/>
        <v>868-TIPCAM-Tipo de Cambio</v>
      </c>
      <c r="AP31" s="231"/>
      <c r="AQ31" s="230"/>
      <c r="AR31" s="232"/>
      <c r="AS31" s="250" t="str">
        <f t="shared" si="43"/>
        <v>--</v>
      </c>
      <c r="AT31" s="231"/>
      <c r="AU31" s="230"/>
      <c r="AV31" s="232"/>
      <c r="AW31" s="247" t="str">
        <f t="shared" si="22"/>
        <v>--</v>
      </c>
      <c r="AX31" s="393"/>
      <c r="AY31" s="394"/>
      <c r="AZ31" s="394"/>
      <c r="BA31" s="233" t="str">
        <f t="shared" si="42"/>
        <v>--</v>
      </c>
      <c r="BB31" s="261"/>
      <c r="BC31" s="265"/>
      <c r="BD31" s="264"/>
      <c r="BE31" s="233" t="str">
        <f t="shared" si="52"/>
        <v>--</v>
      </c>
      <c r="BF31" s="362">
        <v>886</v>
      </c>
      <c r="BG31" s="254" t="s">
        <v>1030</v>
      </c>
      <c r="BH31" s="264" t="s">
        <v>678</v>
      </c>
      <c r="BI31" s="271" t="str">
        <f t="shared" si="10"/>
        <v>886-COREC_DyP-Consulta, Reimpresión y Certificación de Declaraciones presentadas en la plataforma MAT</v>
      </c>
      <c r="BJ31" s="238"/>
      <c r="BK31" s="226"/>
      <c r="BL31" s="232"/>
      <c r="BM31" s="247" t="str">
        <f t="shared" si="49"/>
        <v>--</v>
      </c>
      <c r="BN31" s="231"/>
      <c r="BO31" s="230"/>
      <c r="BP31" s="232"/>
      <c r="BQ31" s="247" t="str">
        <f t="shared" si="50"/>
        <v>--</v>
      </c>
      <c r="BR31" s="231"/>
      <c r="BS31" s="230"/>
      <c r="BT31" s="232"/>
      <c r="BU31" s="283" t="str">
        <f t="shared" si="34"/>
        <v>--</v>
      </c>
      <c r="BV31" s="534"/>
      <c r="BW31" s="254"/>
      <c r="BX31" s="287"/>
      <c r="BY31" s="233" t="str">
        <f t="shared" si="51"/>
        <v>--</v>
      </c>
      <c r="BZ31" s="238"/>
      <c r="CA31" s="226"/>
      <c r="CB31" s="234"/>
      <c r="CC31" s="233" t="str">
        <f t="shared" si="23"/>
        <v>--</v>
      </c>
      <c r="CD31" s="238"/>
      <c r="CE31" s="226"/>
      <c r="CF31" s="234"/>
      <c r="CG31" s="233" t="str">
        <f t="shared" si="46"/>
        <v>--</v>
      </c>
      <c r="CH31" s="238"/>
      <c r="CI31" s="226"/>
      <c r="CJ31" s="234"/>
      <c r="CK31" s="290" t="str">
        <f t="shared" si="24"/>
        <v>--</v>
      </c>
      <c r="CL31" s="238"/>
      <c r="CM31" s="226"/>
      <c r="CN31" s="230"/>
      <c r="CO31" s="250" t="str">
        <f t="shared" si="36"/>
        <v>--</v>
      </c>
      <c r="CP31" s="231"/>
      <c r="CQ31" s="230"/>
      <c r="CR31" s="232"/>
      <c r="CS31" s="250" t="str">
        <f t="shared" si="25"/>
        <v>--</v>
      </c>
      <c r="CT31" s="231"/>
      <c r="CU31" s="230"/>
      <c r="CV31" s="232"/>
      <c r="CW31" s="283" t="str">
        <f t="shared" si="26"/>
        <v>--</v>
      </c>
      <c r="CX31" s="536"/>
      <c r="CY31" s="230"/>
      <c r="CZ31" s="232"/>
      <c r="DA31" s="250" t="str">
        <f t="shared" si="47"/>
        <v>--</v>
      </c>
      <c r="DB31" s="231"/>
      <c r="DC31" s="230"/>
      <c r="DD31" s="232"/>
      <c r="DE31" s="247" t="str">
        <f t="shared" si="32"/>
        <v>--</v>
      </c>
      <c r="DF31" s="332"/>
      <c r="DG31" s="254"/>
      <c r="DH31" s="264"/>
      <c r="DI31" s="250" t="str">
        <f t="shared" si="27"/>
        <v>--</v>
      </c>
      <c r="DJ31" s="261"/>
      <c r="DK31" s="254"/>
      <c r="DL31" s="264"/>
      <c r="DM31" s="250" t="str">
        <f t="shared" si="48"/>
        <v>--</v>
      </c>
      <c r="DN31" s="351">
        <v>2055</v>
      </c>
      <c r="DO31" s="260" t="s">
        <v>910</v>
      </c>
      <c r="DP31" s="264" t="s">
        <v>744</v>
      </c>
      <c r="DQ31" s="533" t="str">
        <f t="shared" si="18"/>
        <v>2055-SI- SAC-Solución Integral Servicios al Contribuyente</v>
      </c>
      <c r="DR31" s="231"/>
      <c r="DS31" s="230"/>
      <c r="DT31" s="232"/>
      <c r="DU31" s="283" t="str">
        <f t="shared" si="28"/>
        <v>--</v>
      </c>
      <c r="DV31" s="238"/>
      <c r="DW31" s="226"/>
      <c r="DX31" s="232"/>
      <c r="DY31" s="247" t="str">
        <f t="shared" ref="DY31:DY55" si="53">CONCATENATE(DV31,"-",DW31,"-",DX31)</f>
        <v>--</v>
      </c>
      <c r="DZ31" s="358">
        <v>737</v>
      </c>
      <c r="EA31" s="260" t="s">
        <v>983</v>
      </c>
      <c r="EB31" s="264" t="s">
        <v>605</v>
      </c>
      <c r="EC31" s="533" t="str">
        <f t="shared" si="20"/>
        <v>737-DEL-Donaciones del Extranjero en Línea</v>
      </c>
      <c r="ED31" s="384">
        <v>877</v>
      </c>
      <c r="EE31" s="254" t="s">
        <v>640</v>
      </c>
      <c r="EF31" s="264" t="s">
        <v>640</v>
      </c>
      <c r="EG31" s="533" t="str">
        <f t="shared" si="21"/>
        <v>877-ETL_CAT_RFALR-ETL_CAT_RFALR</v>
      </c>
      <c r="EH31" s="332"/>
      <c r="EI31" s="254"/>
      <c r="EJ31" s="264"/>
      <c r="EK31" s="250" t="str">
        <f t="shared" si="29"/>
        <v>--</v>
      </c>
      <c r="EL31" s="332"/>
      <c r="EM31" s="254"/>
      <c r="EN31" s="264"/>
      <c r="EO31" s="250" t="str">
        <f t="shared" si="30"/>
        <v>--</v>
      </c>
    </row>
    <row r="32" spans="2:145" s="89" customFormat="1" ht="60.75" thickBot="1" x14ac:dyDescent="0.3">
      <c r="B32" s="98"/>
      <c r="C32" s="99" t="s">
        <v>1229</v>
      </c>
      <c r="D32" s="331" t="s">
        <v>1238</v>
      </c>
      <c r="E32" s="100" t="s">
        <v>1226</v>
      </c>
      <c r="F32" s="101" t="s">
        <v>197</v>
      </c>
      <c r="G32" s="83" t="str">
        <f t="shared" si="31"/>
        <v>_30_Contabilidad_Electrónica</v>
      </c>
      <c r="J32" s="12"/>
      <c r="M32" s="91"/>
      <c r="N32" s="91"/>
      <c r="O32" s="91"/>
      <c r="P32" s="91"/>
      <c r="Q32" s="91"/>
      <c r="R32" s="91"/>
      <c r="S32" s="91"/>
      <c r="T32" s="91"/>
      <c r="U32" s="237">
        <v>29</v>
      </c>
      <c r="V32" s="231"/>
      <c r="W32" s="230"/>
      <c r="X32" s="232"/>
      <c r="Y32" s="247"/>
      <c r="Z32" s="231"/>
      <c r="AA32" s="230"/>
      <c r="AB32" s="270"/>
      <c r="AC32" s="272" t="str">
        <f t="shared" si="38"/>
        <v>--</v>
      </c>
      <c r="AD32" s="348">
        <v>412</v>
      </c>
      <c r="AE32" s="260" t="s">
        <v>886</v>
      </c>
      <c r="AF32" s="264" t="s">
        <v>725</v>
      </c>
      <c r="AG32" s="249" t="str">
        <f t="shared" si="5"/>
        <v>412-IMPI-Instituto Mexicano de la Propiedad Intelectual</v>
      </c>
      <c r="AH32" s="244"/>
      <c r="AI32" s="243"/>
      <c r="AJ32" s="232"/>
      <c r="AK32" s="233" t="str">
        <f t="shared" si="33"/>
        <v>--</v>
      </c>
      <c r="AL32" s="346">
        <v>889</v>
      </c>
      <c r="AM32" s="254" t="s">
        <v>862</v>
      </c>
      <c r="AN32" s="264" t="s">
        <v>607</v>
      </c>
      <c r="AO32" s="249" t="str">
        <f t="shared" si="6"/>
        <v>889-IISCE-Intercambio de Información con Sectores de Comercio Exterior</v>
      </c>
      <c r="AP32" s="231"/>
      <c r="AQ32" s="230"/>
      <c r="AR32" s="232"/>
      <c r="AS32" s="250" t="str">
        <f t="shared" si="43"/>
        <v>--</v>
      </c>
      <c r="AT32" s="231"/>
      <c r="AU32" s="230"/>
      <c r="AV32" s="232"/>
      <c r="AW32" s="247" t="str">
        <f t="shared" si="22"/>
        <v>--</v>
      </c>
      <c r="AX32" s="393"/>
      <c r="AY32" s="394"/>
      <c r="AZ32" s="394"/>
      <c r="BA32" s="233" t="str">
        <f t="shared" si="42"/>
        <v>--</v>
      </c>
      <c r="BB32" s="261"/>
      <c r="BC32" s="260"/>
      <c r="BD32" s="264"/>
      <c r="BE32" s="233" t="str">
        <f t="shared" si="52"/>
        <v>--</v>
      </c>
      <c r="BF32" s="362">
        <v>936</v>
      </c>
      <c r="BG32" s="284" t="s">
        <v>1356</v>
      </c>
      <c r="BH32" s="285" t="s">
        <v>1497</v>
      </c>
      <c r="BI32" s="271" t="str">
        <f t="shared" si="10"/>
        <v>936-Formulario JS-Formulario (JAVA Script)</v>
      </c>
      <c r="BJ32" s="238"/>
      <c r="BK32" s="226"/>
      <c r="BL32" s="232"/>
      <c r="BM32" s="247" t="str">
        <f t="shared" si="49"/>
        <v>--</v>
      </c>
      <c r="BN32" s="231"/>
      <c r="BO32" s="230"/>
      <c r="BP32" s="232"/>
      <c r="BQ32" s="247" t="str">
        <f t="shared" si="50"/>
        <v>--</v>
      </c>
      <c r="BR32" s="231"/>
      <c r="BS32" s="230"/>
      <c r="BT32" s="232"/>
      <c r="BU32" s="283" t="str">
        <f t="shared" si="34"/>
        <v>--</v>
      </c>
      <c r="BV32" s="254"/>
      <c r="BW32" s="254"/>
      <c r="BX32" s="234"/>
      <c r="BY32" s="233" t="str">
        <f t="shared" si="51"/>
        <v>--</v>
      </c>
      <c r="BZ32" s="231"/>
      <c r="CA32" s="230"/>
      <c r="CB32" s="232"/>
      <c r="CC32" s="233" t="str">
        <f t="shared" si="23"/>
        <v>--</v>
      </c>
      <c r="CD32" s="231"/>
      <c r="CE32" s="230"/>
      <c r="CF32" s="232"/>
      <c r="CG32" s="233" t="str">
        <f t="shared" si="46"/>
        <v>--</v>
      </c>
      <c r="CH32" s="231"/>
      <c r="CI32" s="230"/>
      <c r="CJ32" s="232"/>
      <c r="CK32" s="290" t="str">
        <f t="shared" si="24"/>
        <v>--</v>
      </c>
      <c r="CL32" s="231"/>
      <c r="CM32" s="230"/>
      <c r="CN32" s="230"/>
      <c r="CO32" s="250" t="str">
        <f t="shared" si="36"/>
        <v>--</v>
      </c>
      <c r="CP32" s="231"/>
      <c r="CQ32" s="230"/>
      <c r="CR32" s="232"/>
      <c r="CS32" s="250" t="str">
        <f t="shared" si="25"/>
        <v>--</v>
      </c>
      <c r="CT32" s="231"/>
      <c r="CU32" s="230"/>
      <c r="CV32" s="232"/>
      <c r="CW32" s="283" t="str">
        <f t="shared" si="26"/>
        <v>--</v>
      </c>
      <c r="CX32" s="537"/>
      <c r="CY32" s="230"/>
      <c r="CZ32" s="232"/>
      <c r="DA32" s="250" t="str">
        <f t="shared" si="47"/>
        <v>--</v>
      </c>
      <c r="DB32" s="231"/>
      <c r="DC32" s="230"/>
      <c r="DD32" s="232"/>
      <c r="DE32" s="247" t="str">
        <f t="shared" si="32"/>
        <v>--</v>
      </c>
      <c r="DF32" s="301"/>
      <c r="DG32" s="260"/>
      <c r="DH32" s="287"/>
      <c r="DI32" s="250" t="str">
        <f t="shared" si="27"/>
        <v>--</v>
      </c>
      <c r="DJ32" s="261"/>
      <c r="DK32" s="254"/>
      <c r="DL32" s="264"/>
      <c r="DM32" s="250" t="str">
        <f t="shared" si="48"/>
        <v>--</v>
      </c>
      <c r="DN32" s="354">
        <v>2056</v>
      </c>
      <c r="DO32" s="260" t="s">
        <v>910</v>
      </c>
      <c r="DP32" s="264" t="s">
        <v>1549</v>
      </c>
      <c r="DQ32" s="533" t="str">
        <f t="shared" si="18"/>
        <v>2056-SI- SAC-CRM - Marketing y Telemarketing (Configuración)
Solución Integral Servicios al Contribuyente</v>
      </c>
      <c r="DR32" s="231"/>
      <c r="DS32" s="230"/>
      <c r="DT32" s="234"/>
      <c r="DU32" s="283" t="str">
        <f t="shared" si="28"/>
        <v>--</v>
      </c>
      <c r="DV32" s="231"/>
      <c r="DW32" s="230"/>
      <c r="DX32" s="232"/>
      <c r="DY32" s="247" t="str">
        <f t="shared" si="53"/>
        <v>--</v>
      </c>
      <c r="DZ32" s="358">
        <v>812</v>
      </c>
      <c r="EA32" s="260" t="s">
        <v>984</v>
      </c>
      <c r="EB32" s="264" t="s">
        <v>664</v>
      </c>
      <c r="EC32" s="533" t="str">
        <f t="shared" si="20"/>
        <v>812-COMUNESJ-Servicios Comunes Jurídico</v>
      </c>
      <c r="ED32" s="388">
        <v>885</v>
      </c>
      <c r="EE32" s="254" t="s">
        <v>1116</v>
      </c>
      <c r="EF32" s="264" t="s">
        <v>1580</v>
      </c>
      <c r="EG32" s="533" t="str">
        <f t="shared" si="21"/>
        <v>885-SATBook-SAT Book</v>
      </c>
      <c r="EH32" s="301"/>
      <c r="EI32" s="260"/>
      <c r="EJ32" s="287"/>
      <c r="EK32" s="250" t="str">
        <f t="shared" si="29"/>
        <v>--</v>
      </c>
      <c r="EL32" s="301"/>
      <c r="EM32" s="260"/>
      <c r="EN32" s="287"/>
      <c r="EO32" s="250" t="str">
        <f t="shared" si="30"/>
        <v>--</v>
      </c>
    </row>
    <row r="33" spans="1:145" s="89" customFormat="1" ht="45.75" thickBot="1" x14ac:dyDescent="0.3">
      <c r="B33" s="98"/>
      <c r="C33" s="99" t="s">
        <v>1230</v>
      </c>
      <c r="D33" s="331" t="s">
        <v>1239</v>
      </c>
      <c r="E33" s="100" t="s">
        <v>1227</v>
      </c>
      <c r="F33" s="101" t="s">
        <v>1295</v>
      </c>
      <c r="G33" s="83" t="str">
        <f t="shared" si="31"/>
        <v>_31_Fiscalización_Control</v>
      </c>
      <c r="I33" s="22"/>
      <c r="J33" s="42"/>
      <c r="M33" s="91"/>
      <c r="N33" s="91"/>
      <c r="O33" s="91"/>
      <c r="P33" s="91"/>
      <c r="Q33" s="91"/>
      <c r="R33" s="91"/>
      <c r="S33" s="91"/>
      <c r="T33" s="91"/>
      <c r="U33" s="237">
        <v>30</v>
      </c>
      <c r="V33" s="231"/>
      <c r="W33" s="230"/>
      <c r="X33" s="232"/>
      <c r="Y33" s="247"/>
      <c r="Z33" s="231"/>
      <c r="AA33" s="230"/>
      <c r="AB33" s="270"/>
      <c r="AC33" s="272" t="str">
        <f t="shared" si="38"/>
        <v>--</v>
      </c>
      <c r="AD33" s="348">
        <v>449</v>
      </c>
      <c r="AE33" s="254" t="s">
        <v>900</v>
      </c>
      <c r="AF33" s="277" t="s">
        <v>808</v>
      </c>
      <c r="AG33" s="249" t="str">
        <f t="shared" si="5"/>
        <v xml:space="preserve">449-CONSULTA SECIIT-Sistema Electrónico de Control de Inventarios de Importación Temporal </v>
      </c>
      <c r="AH33" s="244"/>
      <c r="AI33" s="243"/>
      <c r="AJ33" s="232"/>
      <c r="AK33" s="233" t="str">
        <f t="shared" si="33"/>
        <v>--</v>
      </c>
      <c r="AL33" s="387">
        <v>978</v>
      </c>
      <c r="AM33" s="260" t="s">
        <v>1483</v>
      </c>
      <c r="AN33" s="264" t="s">
        <v>810</v>
      </c>
      <c r="AO33" s="249" t="str">
        <f>CONCATENATE(AL33,"-",AM33,"-",AN33)</f>
        <v>978-SICA MAT-CE-Sistema Integral de Contabilidad Aduanera</v>
      </c>
      <c r="AP33" s="231"/>
      <c r="AQ33" s="230"/>
      <c r="AR33" s="232"/>
      <c r="AS33" s="250" t="str">
        <f t="shared" si="43"/>
        <v>--</v>
      </c>
      <c r="AT33" s="231"/>
      <c r="AU33" s="230"/>
      <c r="AV33" s="232"/>
      <c r="AW33" s="247" t="str">
        <f t="shared" si="22"/>
        <v>--</v>
      </c>
      <c r="AX33" s="393"/>
      <c r="AY33" s="394"/>
      <c r="AZ33" s="394"/>
      <c r="BA33" s="233" t="str">
        <f t="shared" si="42"/>
        <v>--</v>
      </c>
      <c r="BB33" s="261"/>
      <c r="BC33" s="265"/>
      <c r="BD33" s="264"/>
      <c r="BE33" s="233" t="str">
        <f t="shared" si="52"/>
        <v>--</v>
      </c>
      <c r="BF33" s="362">
        <v>937</v>
      </c>
      <c r="BG33" s="284" t="s">
        <v>1357</v>
      </c>
      <c r="BH33" s="285" t="s">
        <v>1358</v>
      </c>
      <c r="BI33" s="271" t="str">
        <f t="shared" si="10"/>
        <v>937-Pagos -Pagos Provisionales</v>
      </c>
      <c r="BJ33" s="238"/>
      <c r="BK33" s="226"/>
      <c r="BL33" s="232"/>
      <c r="BM33" s="247" t="str">
        <f t="shared" si="49"/>
        <v>--</v>
      </c>
      <c r="BN33" s="231"/>
      <c r="BO33" s="230"/>
      <c r="BP33" s="232"/>
      <c r="BQ33" s="247" t="str">
        <f t="shared" si="50"/>
        <v>--</v>
      </c>
      <c r="BR33" s="231"/>
      <c r="BS33" s="230"/>
      <c r="BT33" s="232"/>
      <c r="BU33" s="283" t="str">
        <f t="shared" si="34"/>
        <v>--</v>
      </c>
      <c r="BV33" s="293"/>
      <c r="BW33" s="260"/>
      <c r="BX33" s="234"/>
      <c r="BY33" s="233" t="str">
        <f t="shared" si="51"/>
        <v>--</v>
      </c>
      <c r="BZ33" s="238"/>
      <c r="CA33" s="226"/>
      <c r="CB33" s="234"/>
      <c r="CC33" s="233" t="str">
        <f t="shared" si="23"/>
        <v>--</v>
      </c>
      <c r="CD33" s="238"/>
      <c r="CE33" s="226"/>
      <c r="CF33" s="234"/>
      <c r="CG33" s="233" t="str">
        <f t="shared" si="46"/>
        <v>--</v>
      </c>
      <c r="CH33" s="238"/>
      <c r="CI33" s="226"/>
      <c r="CJ33" s="234"/>
      <c r="CK33" s="290" t="str">
        <f t="shared" si="24"/>
        <v>--</v>
      </c>
      <c r="CL33" s="238"/>
      <c r="CM33" s="226"/>
      <c r="CN33" s="230"/>
      <c r="CO33" s="250" t="str">
        <f t="shared" si="36"/>
        <v>--</v>
      </c>
      <c r="CP33" s="231"/>
      <c r="CQ33" s="230"/>
      <c r="CR33" s="232"/>
      <c r="CS33" s="250" t="str">
        <f t="shared" si="25"/>
        <v>--</v>
      </c>
      <c r="CT33" s="231"/>
      <c r="CU33" s="230"/>
      <c r="CV33" s="232"/>
      <c r="CW33" s="283" t="str">
        <f t="shared" si="26"/>
        <v>--</v>
      </c>
      <c r="CX33" s="230"/>
      <c r="CY33" s="230"/>
      <c r="CZ33" s="232"/>
      <c r="DA33" s="250"/>
      <c r="DB33" s="231"/>
      <c r="DC33" s="230"/>
      <c r="DD33" s="232"/>
      <c r="DE33" s="247" t="str">
        <f t="shared" si="32"/>
        <v>--</v>
      </c>
      <c r="DF33" s="332"/>
      <c r="DG33" s="254"/>
      <c r="DH33" s="264"/>
      <c r="DI33" s="250" t="str">
        <f t="shared" si="27"/>
        <v>--</v>
      </c>
      <c r="DJ33" s="267"/>
      <c r="DK33" s="230"/>
      <c r="DL33" s="232"/>
      <c r="DM33" s="250" t="str">
        <f t="shared" si="48"/>
        <v>--</v>
      </c>
      <c r="DN33" s="462">
        <v>2065</v>
      </c>
      <c r="DO33" s="260" t="s">
        <v>910</v>
      </c>
      <c r="DP33" s="264" t="s">
        <v>1550</v>
      </c>
      <c r="DQ33" s="533" t="str">
        <f t="shared" si="18"/>
        <v>2065-SI- SAC-WBI - Servicios de Integración GRP/Novell
SI-Interfaces SAC</v>
      </c>
      <c r="DR33" s="238"/>
      <c r="DS33" s="226"/>
      <c r="DT33" s="232"/>
      <c r="DU33" s="283" t="str">
        <f t="shared" si="28"/>
        <v>--</v>
      </c>
      <c r="DV33" s="231"/>
      <c r="DW33" s="230"/>
      <c r="DX33" s="234"/>
      <c r="DY33" s="247" t="str">
        <f t="shared" si="53"/>
        <v>--</v>
      </c>
      <c r="DZ33" s="358">
        <v>865</v>
      </c>
      <c r="EA33" s="260" t="s">
        <v>985</v>
      </c>
      <c r="EB33" s="264" t="s">
        <v>986</v>
      </c>
      <c r="EC33" s="533" t="str">
        <f t="shared" si="20"/>
        <v>865-AU-Administración de Catálogos de Usuarios</v>
      </c>
      <c r="ED33" s="382">
        <v>894</v>
      </c>
      <c r="EE33" s="254" t="s">
        <v>1122</v>
      </c>
      <c r="EF33" s="264" t="s">
        <v>1581</v>
      </c>
      <c r="EG33" s="533" t="str">
        <f t="shared" si="21"/>
        <v>894-ED-Encuentro Deportivo SAT</v>
      </c>
      <c r="EH33" s="332"/>
      <c r="EI33" s="254"/>
      <c r="EJ33" s="264"/>
      <c r="EK33" s="250" t="str">
        <f t="shared" si="29"/>
        <v>--</v>
      </c>
      <c r="EL33" s="332"/>
      <c r="EM33" s="254"/>
      <c r="EN33" s="264"/>
      <c r="EO33" s="250" t="str">
        <f t="shared" si="30"/>
        <v>--</v>
      </c>
    </row>
    <row r="34" spans="1:145" s="89" customFormat="1" ht="60.75" thickBot="1" x14ac:dyDescent="0.3">
      <c r="B34" s="12"/>
      <c r="C34" s="99" t="s">
        <v>1231</v>
      </c>
      <c r="D34" s="331" t="s">
        <v>1240</v>
      </c>
      <c r="E34" s="100" t="s">
        <v>1228</v>
      </c>
      <c r="F34" s="101" t="s">
        <v>1228</v>
      </c>
      <c r="G34" s="83" t="str">
        <f t="shared" si="31"/>
        <v>_32_Mis_Cuentas</v>
      </c>
      <c r="I34" s="22"/>
      <c r="J34" s="42"/>
      <c r="K34" s="22"/>
      <c r="L34" s="22"/>
      <c r="M34" s="91"/>
      <c r="N34" s="91"/>
      <c r="O34" s="91"/>
      <c r="P34" s="91"/>
      <c r="Q34" s="91"/>
      <c r="R34" s="91"/>
      <c r="S34" s="91"/>
      <c r="T34" s="91"/>
      <c r="U34" s="237">
        <v>31</v>
      </c>
      <c r="V34" s="231"/>
      <c r="W34" s="230"/>
      <c r="X34" s="232"/>
      <c r="Y34" s="247"/>
      <c r="Z34" s="231"/>
      <c r="AA34" s="230"/>
      <c r="AB34" s="270"/>
      <c r="AC34" s="272" t="str">
        <f t="shared" si="38"/>
        <v>--</v>
      </c>
      <c r="AD34" s="348">
        <v>595</v>
      </c>
      <c r="AE34" s="260" t="s">
        <v>891</v>
      </c>
      <c r="AF34" s="264" t="s">
        <v>787</v>
      </c>
      <c r="AG34" s="249" t="str">
        <f t="shared" si="5"/>
        <v xml:space="preserve">595-SICOAP-Sistema de Control de Acceso a Predespacho </v>
      </c>
      <c r="AH34" s="244"/>
      <c r="AI34" s="243"/>
      <c r="AJ34" s="232"/>
      <c r="AK34" s="233" t="str">
        <f t="shared" si="33"/>
        <v>--</v>
      </c>
      <c r="AL34" s="387">
        <v>989</v>
      </c>
      <c r="AM34" s="254" t="s">
        <v>1777</v>
      </c>
      <c r="AN34" s="234" t="s">
        <v>1780</v>
      </c>
      <c r="AO34" s="233" t="str">
        <f t="shared" ref="AO34:AO40" si="54">CONCATENATE(AL34,"-",AM34,"-",AN34)</f>
        <v>989-SIITVCE-Sistema de Importación e Internación Temporal de Vehículos, Casas Rodantes y Embarcaciones</v>
      </c>
      <c r="AP34" s="231"/>
      <c r="AQ34" s="230"/>
      <c r="AR34" s="232"/>
      <c r="AS34" s="250" t="str">
        <f t="shared" si="43"/>
        <v>--</v>
      </c>
      <c r="AT34" s="231"/>
      <c r="AU34" s="230"/>
      <c r="AV34" s="232"/>
      <c r="AW34" s="247" t="str">
        <f t="shared" si="22"/>
        <v>--</v>
      </c>
      <c r="AX34" s="393"/>
      <c r="AY34" s="394"/>
      <c r="AZ34" s="394"/>
      <c r="BA34" s="233" t="str">
        <f t="shared" si="42"/>
        <v>--</v>
      </c>
      <c r="BB34" s="258"/>
      <c r="BC34" s="282"/>
      <c r="BD34" s="287"/>
      <c r="BE34" s="233" t="str">
        <f t="shared" si="52"/>
        <v>--</v>
      </c>
      <c r="BF34" s="362">
        <v>953</v>
      </c>
      <c r="BG34" s="260" t="s">
        <v>1445</v>
      </c>
      <c r="BH34" s="264" t="s">
        <v>1444</v>
      </c>
      <c r="BI34" s="271" t="str">
        <f t="shared" si="10"/>
        <v>953-BPM-DS-BPM Diversas Solicitudes</v>
      </c>
      <c r="BJ34" s="238"/>
      <c r="BK34" s="226"/>
      <c r="BL34" s="232"/>
      <c r="BM34" s="247" t="str">
        <f t="shared" si="49"/>
        <v>--</v>
      </c>
      <c r="BN34" s="231"/>
      <c r="BO34" s="230"/>
      <c r="BP34" s="232"/>
      <c r="BQ34" s="247" t="str">
        <f t="shared" si="50"/>
        <v>--</v>
      </c>
      <c r="BR34" s="231"/>
      <c r="BS34" s="230"/>
      <c r="BT34" s="232"/>
      <c r="BU34" s="283" t="str">
        <f t="shared" si="34"/>
        <v>--</v>
      </c>
      <c r="BV34" s="534"/>
      <c r="BW34" s="254"/>
      <c r="BX34" s="264"/>
      <c r="BY34" s="233" t="str">
        <f t="shared" si="51"/>
        <v>--</v>
      </c>
      <c r="BZ34" s="238"/>
      <c r="CA34" s="226"/>
      <c r="CB34" s="234"/>
      <c r="CC34" s="233" t="str">
        <f t="shared" si="23"/>
        <v>--</v>
      </c>
      <c r="CD34" s="238"/>
      <c r="CE34" s="226"/>
      <c r="CF34" s="234"/>
      <c r="CG34" s="233" t="str">
        <f t="shared" si="46"/>
        <v>--</v>
      </c>
      <c r="CH34" s="238"/>
      <c r="CI34" s="226"/>
      <c r="CJ34" s="234"/>
      <c r="CK34" s="290" t="str">
        <f t="shared" si="24"/>
        <v>--</v>
      </c>
      <c r="CL34" s="238"/>
      <c r="CM34" s="226"/>
      <c r="CN34" s="230"/>
      <c r="CO34" s="250" t="str">
        <f t="shared" si="36"/>
        <v>--</v>
      </c>
      <c r="CP34" s="231"/>
      <c r="CQ34" s="230"/>
      <c r="CR34" s="232"/>
      <c r="CS34" s="250" t="str">
        <f t="shared" si="25"/>
        <v>--</v>
      </c>
      <c r="CT34" s="231"/>
      <c r="CU34" s="230"/>
      <c r="CV34" s="232"/>
      <c r="CW34" s="283" t="str">
        <f t="shared" si="26"/>
        <v>--</v>
      </c>
      <c r="CX34" s="230"/>
      <c r="CY34" s="230"/>
      <c r="CZ34" s="232"/>
      <c r="DA34" s="250"/>
      <c r="DB34" s="231"/>
      <c r="DC34" s="230"/>
      <c r="DD34" s="232"/>
      <c r="DE34" s="247" t="str">
        <f t="shared" si="32"/>
        <v>--</v>
      </c>
      <c r="DF34" s="258"/>
      <c r="DG34" s="254"/>
      <c r="DH34" s="276"/>
      <c r="DI34" s="250" t="str">
        <f t="shared" si="27"/>
        <v>--</v>
      </c>
      <c r="DJ34" s="267"/>
      <c r="DK34" s="230"/>
      <c r="DL34" s="232"/>
      <c r="DM34" s="250" t="str">
        <f t="shared" ref="DM34:DM65" si="55">CONCATENATE(DJ34,"-",DK34,"-",DL34)</f>
        <v>--</v>
      </c>
      <c r="DN34" s="354">
        <v>2075</v>
      </c>
      <c r="DO34" s="260" t="s">
        <v>910</v>
      </c>
      <c r="DP34" s="264" t="s">
        <v>1551</v>
      </c>
      <c r="DQ34" s="533" t="str">
        <f t="shared" si="18"/>
        <v>2075-SI- SAC-Documentum/Captiva - Servicios de Digitalización
Solución Integral Servicios al Contribuyente</v>
      </c>
      <c r="DR34" s="238"/>
      <c r="DS34" s="226"/>
      <c r="DT34" s="232"/>
      <c r="DU34" s="283" t="str">
        <f t="shared" si="28"/>
        <v>--</v>
      </c>
      <c r="DV34" s="231"/>
      <c r="DW34" s="230"/>
      <c r="DX34" s="232"/>
      <c r="DY34" s="247" t="str">
        <f t="shared" si="53"/>
        <v>--</v>
      </c>
      <c r="DZ34" s="387">
        <v>910</v>
      </c>
      <c r="EA34" s="260" t="s">
        <v>271</v>
      </c>
      <c r="EB34" s="264" t="s">
        <v>1286</v>
      </c>
      <c r="EC34" s="533" t="str">
        <f t="shared" si="20"/>
        <v>910-JUR-Proceso ETL de Jurídica</v>
      </c>
      <c r="ED34" s="387">
        <v>908</v>
      </c>
      <c r="EE34" s="260" t="s">
        <v>1204</v>
      </c>
      <c r="EF34" s="277" t="s">
        <v>1205</v>
      </c>
      <c r="EG34" s="533" t="str">
        <f t="shared" si="21"/>
        <v>908-PortalDA-Portal de Datos Abiertos</v>
      </c>
      <c r="EH34" s="258"/>
      <c r="EI34" s="254"/>
      <c r="EJ34" s="276"/>
      <c r="EK34" s="250" t="str">
        <f t="shared" si="29"/>
        <v>--</v>
      </c>
      <c r="EL34" s="258"/>
      <c r="EM34" s="254"/>
      <c r="EN34" s="276"/>
      <c r="EO34" s="250" t="str">
        <f t="shared" si="30"/>
        <v>--</v>
      </c>
    </row>
    <row r="35" spans="1:145" ht="60.75" thickBot="1" x14ac:dyDescent="0.25">
      <c r="M35" s="41"/>
      <c r="Q35" s="91"/>
      <c r="R35" s="91"/>
      <c r="S35" s="91"/>
      <c r="U35" s="237">
        <v>32</v>
      </c>
      <c r="V35" s="231"/>
      <c r="W35" s="230"/>
      <c r="X35" s="232"/>
      <c r="Y35" s="247"/>
      <c r="Z35" s="231"/>
      <c r="AA35" s="230"/>
      <c r="AB35" s="270"/>
      <c r="AC35" s="272" t="str">
        <f t="shared" si="38"/>
        <v>--</v>
      </c>
      <c r="AD35" s="479">
        <v>615</v>
      </c>
      <c r="AE35" s="260" t="s">
        <v>1044</v>
      </c>
      <c r="AF35" s="264" t="s">
        <v>1045</v>
      </c>
      <c r="AG35" s="249" t="str">
        <f t="shared" si="5"/>
        <v>615-VAD-Verificador de Autenticidad de Documentos</v>
      </c>
      <c r="AH35" s="244"/>
      <c r="AI35" s="243"/>
      <c r="AJ35" s="232"/>
      <c r="AK35" s="233" t="str">
        <f t="shared" si="33"/>
        <v>--</v>
      </c>
      <c r="AL35" s="387">
        <v>990</v>
      </c>
      <c r="AM35" s="274" t="s">
        <v>1781</v>
      </c>
      <c r="AN35" s="276" t="s">
        <v>1782</v>
      </c>
      <c r="AO35" s="233" t="str">
        <f t="shared" ref="AO35" si="56">CONCATENATE(AL35,"-",AM35,"-",AN35)</f>
        <v>990-VIDEX-Solicitud de validación de Información y documentación que acompaña a las operaciones de Comercio Exterior</v>
      </c>
      <c r="AP35" s="231"/>
      <c r="AQ35" s="230"/>
      <c r="AR35" s="232"/>
      <c r="AS35" s="250" t="str">
        <f t="shared" si="43"/>
        <v>--</v>
      </c>
      <c r="AT35" s="231"/>
      <c r="AU35" s="230"/>
      <c r="AV35" s="232"/>
      <c r="AW35" s="247" t="str">
        <f t="shared" si="22"/>
        <v>--</v>
      </c>
      <c r="AX35" s="395"/>
      <c r="AY35" s="396"/>
      <c r="AZ35" s="396"/>
      <c r="BA35" s="233" t="str">
        <f t="shared" si="42"/>
        <v>--</v>
      </c>
      <c r="BB35" s="258"/>
      <c r="BC35" s="282"/>
      <c r="BD35" s="288"/>
      <c r="BE35" s="233" t="str">
        <f t="shared" si="52"/>
        <v>--</v>
      </c>
      <c r="BF35" s="362">
        <v>958</v>
      </c>
      <c r="BG35" s="260" t="s">
        <v>1447</v>
      </c>
      <c r="BH35" s="264" t="s">
        <v>1446</v>
      </c>
      <c r="BI35" s="271" t="str">
        <f t="shared" si="10"/>
        <v>958-DISRRE-Declaración de Pago del ISR de residentes en el extranjero con ingresos obtenidos en territorio nacional.</v>
      </c>
      <c r="BJ35" s="238"/>
      <c r="BK35" s="226"/>
      <c r="BL35" s="232"/>
      <c r="BM35" s="247" t="str">
        <f t="shared" si="49"/>
        <v>--</v>
      </c>
      <c r="BN35" s="231"/>
      <c r="BO35" s="230"/>
      <c r="BP35" s="232"/>
      <c r="BQ35" s="247" t="str">
        <f t="shared" si="50"/>
        <v>--</v>
      </c>
      <c r="BR35" s="231"/>
      <c r="BS35" s="230"/>
      <c r="BT35" s="232"/>
      <c r="BU35" s="283" t="str">
        <f t="shared" si="34"/>
        <v>--</v>
      </c>
      <c r="BV35" s="293"/>
      <c r="BW35" s="254"/>
      <c r="BX35" s="264"/>
      <c r="BY35" s="233" t="str">
        <f t="shared" ref="BY35:BY41" si="57">CONCATENATE(BV35,"-",BW35,"-",BX35)</f>
        <v>--</v>
      </c>
      <c r="BZ35" s="231"/>
      <c r="CA35" s="230"/>
      <c r="CB35" s="232"/>
      <c r="CC35" s="233" t="str">
        <f t="shared" si="23"/>
        <v>--</v>
      </c>
      <c r="CD35" s="231"/>
      <c r="CE35" s="230"/>
      <c r="CF35" s="232"/>
      <c r="CG35" s="233" t="str">
        <f t="shared" si="46"/>
        <v>--</v>
      </c>
      <c r="CH35" s="231"/>
      <c r="CI35" s="230"/>
      <c r="CJ35" s="232"/>
      <c r="CK35" s="290" t="str">
        <f t="shared" si="24"/>
        <v>--</v>
      </c>
      <c r="CL35" s="231"/>
      <c r="CM35" s="230"/>
      <c r="CN35" s="230"/>
      <c r="CO35" s="250" t="str">
        <f t="shared" si="36"/>
        <v>--</v>
      </c>
      <c r="CP35" s="231"/>
      <c r="CQ35" s="230"/>
      <c r="CR35" s="232"/>
      <c r="CS35" s="250" t="str">
        <f t="shared" si="25"/>
        <v>--</v>
      </c>
      <c r="CT35" s="231"/>
      <c r="CU35" s="230"/>
      <c r="CV35" s="232"/>
      <c r="CW35" s="283" t="str">
        <f t="shared" si="26"/>
        <v>--</v>
      </c>
      <c r="CX35" s="231"/>
      <c r="CY35" s="230"/>
      <c r="CZ35" s="232"/>
      <c r="DA35" s="250" t="str">
        <f t="shared" ref="DA35:DA61" si="58">CONCATENATE(CX35,"-",CY35,"-",CZ35)</f>
        <v>--</v>
      </c>
      <c r="DB35" s="231"/>
      <c r="DC35" s="230"/>
      <c r="DD35" s="232"/>
      <c r="DE35" s="247" t="str">
        <f t="shared" si="32"/>
        <v>--</v>
      </c>
      <c r="DF35" s="258"/>
      <c r="DG35" s="254"/>
      <c r="DH35" s="276"/>
      <c r="DI35" s="250" t="str">
        <f t="shared" si="27"/>
        <v>--</v>
      </c>
      <c r="DJ35" s="261"/>
      <c r="DK35" s="254"/>
      <c r="DL35" s="264"/>
      <c r="DM35" s="250" t="str">
        <f t="shared" si="55"/>
        <v>--</v>
      </c>
      <c r="DN35" s="231"/>
      <c r="DO35" s="230"/>
      <c r="DP35" s="234"/>
      <c r="DQ35" s="247" t="str">
        <f t="shared" ref="DQ35:DQ46" si="59">CONCATENATE(DN35,"-",DO35,"-",DP35)</f>
        <v>--</v>
      </c>
      <c r="DR35" s="231"/>
      <c r="DS35" s="230"/>
      <c r="DT35" s="232"/>
      <c r="DU35" s="283" t="str">
        <f t="shared" si="28"/>
        <v>--</v>
      </c>
      <c r="DV35" s="231"/>
      <c r="DW35" s="230"/>
      <c r="DX35" s="232"/>
      <c r="DY35" s="247" t="str">
        <f t="shared" si="53"/>
        <v>--</v>
      </c>
      <c r="DZ35" s="359">
        <v>954</v>
      </c>
      <c r="EA35" s="260" t="s">
        <v>1425</v>
      </c>
      <c r="EB35" s="264" t="s">
        <v>1426</v>
      </c>
      <c r="EC35" s="533" t="str">
        <f t="shared" si="20"/>
        <v>954-SDS-Seguimiento Diversas Solicitudes</v>
      </c>
      <c r="ED35" s="387">
        <v>939</v>
      </c>
      <c r="EE35" s="333" t="s">
        <v>1366</v>
      </c>
      <c r="EF35" s="287" t="s">
        <v>1367</v>
      </c>
      <c r="EG35" s="533" t="str">
        <f t="shared" si="21"/>
        <v>939-PLOAD-PLOAD de carga masiva a la infraestructura aprovisionada por el MTSI</v>
      </c>
      <c r="EH35" s="258"/>
      <c r="EI35" s="254"/>
      <c r="EJ35" s="276"/>
      <c r="EK35" s="250" t="str">
        <f t="shared" si="29"/>
        <v>--</v>
      </c>
      <c r="EL35" s="258"/>
      <c r="EM35" s="254"/>
      <c r="EN35" s="276"/>
      <c r="EO35" s="250" t="str">
        <f t="shared" si="30"/>
        <v>--</v>
      </c>
    </row>
    <row r="36" spans="1:145" ht="77.25" thickBot="1" x14ac:dyDescent="0.25">
      <c r="B36" s="43"/>
      <c r="U36" s="237">
        <v>33</v>
      </c>
      <c r="V36" s="231"/>
      <c r="W36" s="230"/>
      <c r="X36" s="232"/>
      <c r="Y36" s="247"/>
      <c r="Z36" s="231"/>
      <c r="AA36" s="230"/>
      <c r="AB36" s="270"/>
      <c r="AC36" s="272" t="str">
        <f t="shared" si="38"/>
        <v>--</v>
      </c>
      <c r="AD36" s="461">
        <v>672</v>
      </c>
      <c r="AE36" s="254" t="s">
        <v>895</v>
      </c>
      <c r="AF36" s="264" t="s">
        <v>1481</v>
      </c>
      <c r="AG36" s="249" t="str">
        <f t="shared" si="5"/>
        <v>672-AMPP-Aplicación Móvil: Bienvenido a México</v>
      </c>
      <c r="AH36" s="244"/>
      <c r="AI36" s="243"/>
      <c r="AJ36" s="232"/>
      <c r="AK36" s="233" t="str">
        <f t="shared" si="33"/>
        <v>--</v>
      </c>
      <c r="AL36" s="387">
        <v>993</v>
      </c>
      <c r="AM36" s="274" t="s">
        <v>1813</v>
      </c>
      <c r="AN36" s="276" t="s">
        <v>1814</v>
      </c>
      <c r="AO36" s="233" t="str">
        <f t="shared" si="54"/>
        <v>993-SISTEMA CPED-Infraestructura conformada por una plataforma con herramientas analíticas, una plataforma para redes sociales y una plataforma para casos de Investigación, todo ello en el Centro de Datos de Querétaro.</v>
      </c>
      <c r="AP36" s="231"/>
      <c r="AQ36" s="230"/>
      <c r="AR36" s="232"/>
      <c r="AS36" s="250" t="str">
        <f t="shared" ref="AS36:AS67" si="60">CONCATENATE(AP36,"-",AQ36,"-",AR36)</f>
        <v>--</v>
      </c>
      <c r="AT36" s="231"/>
      <c r="AU36" s="230"/>
      <c r="AV36" s="232"/>
      <c r="AW36" s="247" t="str">
        <f t="shared" si="22"/>
        <v>--</v>
      </c>
      <c r="AX36" s="395"/>
      <c r="AY36" s="396"/>
      <c r="AZ36" s="396"/>
      <c r="BA36" s="233" t="str">
        <f t="shared" si="42"/>
        <v>--</v>
      </c>
      <c r="BB36" s="261"/>
      <c r="BC36" s="254"/>
      <c r="BD36" s="264"/>
      <c r="BE36" s="233" t="str">
        <f t="shared" si="52"/>
        <v>--</v>
      </c>
      <c r="BF36" s="362">
        <v>960</v>
      </c>
      <c r="BG36" s="260" t="s">
        <v>1498</v>
      </c>
      <c r="BH36" s="264" t="s">
        <v>1499</v>
      </c>
      <c r="BI36" s="271" t="str">
        <f t="shared" si="10"/>
        <v>960-DPA’s-PR-Derechos, Productos y Aprovechamientos a través de Pago Referenciado</v>
      </c>
      <c r="BJ36" s="238"/>
      <c r="BK36" s="226"/>
      <c r="BL36" s="232"/>
      <c r="BM36" s="247" t="str">
        <f t="shared" si="49"/>
        <v>--</v>
      </c>
      <c r="BN36" s="231"/>
      <c r="BO36" s="230"/>
      <c r="BP36" s="232"/>
      <c r="BQ36" s="247" t="str">
        <f t="shared" si="50"/>
        <v>--</v>
      </c>
      <c r="BR36" s="231"/>
      <c r="BS36" s="230"/>
      <c r="BT36" s="232"/>
      <c r="BU36" s="283" t="str">
        <f t="shared" si="34"/>
        <v>--</v>
      </c>
      <c r="BV36" s="230"/>
      <c r="BW36" s="230"/>
      <c r="BX36" s="232"/>
      <c r="BY36" s="233" t="str">
        <f t="shared" si="57"/>
        <v>--</v>
      </c>
      <c r="BZ36" s="238"/>
      <c r="CA36" s="226"/>
      <c r="CB36" s="234"/>
      <c r="CC36" s="233" t="str">
        <f t="shared" si="23"/>
        <v>--</v>
      </c>
      <c r="CD36" s="238"/>
      <c r="CE36" s="226"/>
      <c r="CF36" s="234"/>
      <c r="CG36" s="233" t="str">
        <f t="shared" si="46"/>
        <v>--</v>
      </c>
      <c r="CH36" s="238"/>
      <c r="CI36" s="226"/>
      <c r="CJ36" s="234"/>
      <c r="CK36" s="290" t="str">
        <f t="shared" si="24"/>
        <v>--</v>
      </c>
      <c r="CL36" s="238"/>
      <c r="CM36" s="226"/>
      <c r="CN36" s="230"/>
      <c r="CO36" s="250" t="str">
        <f t="shared" si="36"/>
        <v>--</v>
      </c>
      <c r="CP36" s="231"/>
      <c r="CQ36" s="230"/>
      <c r="CR36" s="232"/>
      <c r="CS36" s="250" t="str">
        <f t="shared" si="25"/>
        <v>--</v>
      </c>
      <c r="CT36" s="231"/>
      <c r="CU36" s="230"/>
      <c r="CV36" s="232"/>
      <c r="CW36" s="283" t="str">
        <f t="shared" si="26"/>
        <v>--</v>
      </c>
      <c r="CX36" s="231"/>
      <c r="CY36" s="230"/>
      <c r="CZ36" s="232"/>
      <c r="DA36" s="250" t="str">
        <f t="shared" si="58"/>
        <v>--</v>
      </c>
      <c r="DB36" s="231"/>
      <c r="DC36" s="230"/>
      <c r="DD36" s="232"/>
      <c r="DE36" s="247" t="str">
        <f t="shared" si="32"/>
        <v>--</v>
      </c>
      <c r="DF36" s="258"/>
      <c r="DG36" s="254"/>
      <c r="DH36" s="276"/>
      <c r="DI36" s="250" t="str">
        <f t="shared" si="27"/>
        <v>--</v>
      </c>
      <c r="DJ36" s="267"/>
      <c r="DK36" s="260"/>
      <c r="DL36" s="264"/>
      <c r="DM36" s="250" t="str">
        <f t="shared" si="55"/>
        <v>--</v>
      </c>
      <c r="DN36" s="267"/>
      <c r="DO36" s="260"/>
      <c r="DP36" s="264"/>
      <c r="DQ36" s="247" t="str">
        <f t="shared" si="59"/>
        <v>--</v>
      </c>
      <c r="DR36" s="231"/>
      <c r="DS36" s="230"/>
      <c r="DT36" s="232"/>
      <c r="DU36" s="283" t="str">
        <f t="shared" si="28"/>
        <v>--</v>
      </c>
      <c r="DV36" s="231"/>
      <c r="DW36" s="230"/>
      <c r="DX36" s="232"/>
      <c r="DY36" s="247" t="str">
        <f t="shared" si="53"/>
        <v>--</v>
      </c>
      <c r="DZ36" s="388">
        <v>972</v>
      </c>
      <c r="EA36" s="260" t="s">
        <v>1428</v>
      </c>
      <c r="EB36" s="264" t="s">
        <v>1427</v>
      </c>
      <c r="EC36" s="533" t="str">
        <f t="shared" si="20"/>
        <v xml:space="preserve">972-MAT Jurídico-MAT Jurídico - Reportes operativos de Jurídica RRL y CAL </v>
      </c>
      <c r="ED36" s="258"/>
      <c r="EE36" s="254"/>
      <c r="EF36" s="264"/>
      <c r="EG36" s="250" t="str">
        <f t="shared" ref="EG36:EG41" si="61">CONCATENATE(ED36,"-",EE36,"-",EF36)</f>
        <v>--</v>
      </c>
      <c r="EH36" s="258"/>
      <c r="EI36" s="254"/>
      <c r="EJ36" s="276"/>
      <c r="EK36" s="250" t="str">
        <f t="shared" si="29"/>
        <v>--</v>
      </c>
      <c r="EL36" s="258"/>
      <c r="EM36" s="254"/>
      <c r="EN36" s="276"/>
      <c r="EO36" s="250" t="str">
        <f t="shared" si="30"/>
        <v>--</v>
      </c>
    </row>
    <row r="37" spans="1:145" ht="77.25" thickBot="1" x14ac:dyDescent="0.3">
      <c r="U37" s="237">
        <v>34</v>
      </c>
      <c r="V37" s="231"/>
      <c r="W37" s="230"/>
      <c r="X37" s="232"/>
      <c r="Y37" s="247"/>
      <c r="Z37" s="231"/>
      <c r="AA37" s="230"/>
      <c r="AB37" s="270"/>
      <c r="AC37" s="272" t="str">
        <f t="shared" si="38"/>
        <v>--</v>
      </c>
      <c r="AD37" s="449">
        <v>678</v>
      </c>
      <c r="AE37" s="260" t="s">
        <v>1257</v>
      </c>
      <c r="AF37" s="264" t="s">
        <v>1258</v>
      </c>
      <c r="AG37" s="249" t="str">
        <f t="shared" si="5"/>
        <v>678-SEDAP-Sistema Electrónico para Declaración Aduanal de Pasajeros</v>
      </c>
      <c r="AH37" s="244"/>
      <c r="AI37" s="243"/>
      <c r="AJ37" s="232"/>
      <c r="AK37" s="233" t="str">
        <f t="shared" si="33"/>
        <v>--</v>
      </c>
      <c r="AL37" s="387">
        <v>994</v>
      </c>
      <c r="AM37" s="481" t="s">
        <v>1815</v>
      </c>
      <c r="AN37" s="232" t="s">
        <v>1816</v>
      </c>
      <c r="AO37" s="233" t="str">
        <f t="shared" si="54"/>
        <v xml:space="preserve">994-SIAVO-Solución conformada por un módulo de análisis de vínculos (SAS Social Network Analysis) y un módulo de tableros estratégicos y operativos de comercio exterior en SAS Visual Analytics.   </v>
      </c>
      <c r="AP37" s="231"/>
      <c r="AQ37" s="230"/>
      <c r="AR37" s="232"/>
      <c r="AS37" s="250" t="str">
        <f t="shared" si="60"/>
        <v>--</v>
      </c>
      <c r="AT37" s="231"/>
      <c r="AU37" s="230"/>
      <c r="AV37" s="232"/>
      <c r="AW37" s="247" t="str">
        <f t="shared" si="22"/>
        <v>--</v>
      </c>
      <c r="AX37" s="395"/>
      <c r="AY37" s="396"/>
      <c r="AZ37" s="396"/>
      <c r="BA37" s="233" t="str">
        <f t="shared" si="42"/>
        <v>--</v>
      </c>
      <c r="BB37" s="267"/>
      <c r="BC37" s="260"/>
      <c r="BD37" s="264"/>
      <c r="BE37" s="233" t="str">
        <f t="shared" si="52"/>
        <v>--</v>
      </c>
      <c r="BF37" s="362">
        <v>977</v>
      </c>
      <c r="BG37" s="260" t="s">
        <v>1500</v>
      </c>
      <c r="BH37" s="264" t="s">
        <v>1501</v>
      </c>
      <c r="BI37" s="271" t="str">
        <f t="shared" si="10"/>
        <v>977-DITPR-Declaración Informativa Transaccional de Partes Relacionadas</v>
      </c>
      <c r="BJ37" s="238"/>
      <c r="BK37" s="226"/>
      <c r="BL37" s="232"/>
      <c r="BM37" s="247" t="str">
        <f t="shared" si="49"/>
        <v>--</v>
      </c>
      <c r="BN37" s="231"/>
      <c r="BO37" s="230"/>
      <c r="BP37" s="232"/>
      <c r="BQ37" s="247" t="str">
        <f t="shared" si="50"/>
        <v>--</v>
      </c>
      <c r="BR37" s="231"/>
      <c r="BS37" s="230"/>
      <c r="BT37" s="232"/>
      <c r="BU37" s="283" t="str">
        <f t="shared" si="34"/>
        <v>--</v>
      </c>
      <c r="BV37" s="230"/>
      <c r="BW37" s="230"/>
      <c r="BX37" s="232"/>
      <c r="BY37" s="233" t="str">
        <f t="shared" si="57"/>
        <v>--</v>
      </c>
      <c r="BZ37" s="231"/>
      <c r="CA37" s="230"/>
      <c r="CB37" s="232"/>
      <c r="CC37" s="233" t="str">
        <f t="shared" si="23"/>
        <v>--</v>
      </c>
      <c r="CD37" s="231"/>
      <c r="CE37" s="230"/>
      <c r="CF37" s="232"/>
      <c r="CG37" s="233" t="str">
        <f t="shared" si="46"/>
        <v>--</v>
      </c>
      <c r="CH37" s="231"/>
      <c r="CI37" s="230"/>
      <c r="CJ37" s="232"/>
      <c r="CK37" s="290" t="str">
        <f t="shared" si="24"/>
        <v>--</v>
      </c>
      <c r="CL37" s="231"/>
      <c r="CM37" s="230"/>
      <c r="CN37" s="230"/>
      <c r="CO37" s="250" t="str">
        <f t="shared" si="36"/>
        <v>--</v>
      </c>
      <c r="CP37" s="231"/>
      <c r="CQ37" s="230"/>
      <c r="CR37" s="232"/>
      <c r="CS37" s="250" t="str">
        <f t="shared" si="25"/>
        <v>--</v>
      </c>
      <c r="CT37" s="231"/>
      <c r="CU37" s="230"/>
      <c r="CV37" s="232"/>
      <c r="CW37" s="283" t="str">
        <f t="shared" si="26"/>
        <v>--</v>
      </c>
      <c r="CX37" s="231"/>
      <c r="CY37" s="230"/>
      <c r="CZ37" s="232"/>
      <c r="DA37" s="250" t="str">
        <f t="shared" si="58"/>
        <v>--</v>
      </c>
      <c r="DB37" s="231"/>
      <c r="DC37" s="230"/>
      <c r="DD37" s="232"/>
      <c r="DE37" s="247" t="str">
        <f t="shared" si="32"/>
        <v>--</v>
      </c>
      <c r="DF37" s="332"/>
      <c r="DG37" s="254"/>
      <c r="DH37" s="294"/>
      <c r="DI37" s="250" t="str">
        <f t="shared" si="27"/>
        <v>--</v>
      </c>
      <c r="DJ37" s="267"/>
      <c r="DK37" s="254"/>
      <c r="DL37" s="264"/>
      <c r="DM37" s="250" t="str">
        <f t="shared" si="55"/>
        <v>--</v>
      </c>
      <c r="DN37" s="267"/>
      <c r="DO37" s="260"/>
      <c r="DP37" s="264"/>
      <c r="DQ37" s="247" t="str">
        <f t="shared" si="59"/>
        <v>--</v>
      </c>
      <c r="DR37" s="231"/>
      <c r="DS37" s="230"/>
      <c r="DT37" s="232"/>
      <c r="DU37" s="283" t="str">
        <f t="shared" si="28"/>
        <v>--</v>
      </c>
      <c r="DV37" s="231"/>
      <c r="DW37" s="230"/>
      <c r="DX37" s="232"/>
      <c r="DY37" s="247" t="str">
        <f t="shared" si="53"/>
        <v>--</v>
      </c>
      <c r="DZ37" s="359">
        <v>2235</v>
      </c>
      <c r="EA37" s="284" t="s">
        <v>975</v>
      </c>
      <c r="EB37" s="285" t="s">
        <v>681</v>
      </c>
      <c r="EC37" s="533" t="str">
        <f t="shared" si="20"/>
        <v>2235-TransDon-Transparencias Donatarias</v>
      </c>
      <c r="ED37" s="261"/>
      <c r="EE37" s="275"/>
      <c r="EF37" s="264"/>
      <c r="EG37" s="250" t="str">
        <f t="shared" si="61"/>
        <v>--</v>
      </c>
      <c r="EH37" s="332"/>
      <c r="EI37" s="254"/>
      <c r="EJ37" s="294"/>
      <c r="EK37" s="250" t="str">
        <f t="shared" si="29"/>
        <v>--</v>
      </c>
      <c r="EL37" s="332"/>
      <c r="EM37" s="254"/>
      <c r="EN37" s="294"/>
      <c r="EO37" s="250" t="str">
        <f t="shared" si="30"/>
        <v>--</v>
      </c>
    </row>
    <row r="38" spans="1:145" ht="45.75" thickBot="1" x14ac:dyDescent="0.3">
      <c r="U38" s="237">
        <v>35</v>
      </c>
      <c r="V38" s="231"/>
      <c r="W38" s="230"/>
      <c r="X38" s="232"/>
      <c r="Y38" s="247" t="str">
        <f t="shared" ref="Y38:Y67" si="62">CONCATENATE(V38,"-",W38,"-",X38)</f>
        <v>--</v>
      </c>
      <c r="Z38" s="231"/>
      <c r="AA38" s="230"/>
      <c r="AB38" s="270"/>
      <c r="AC38" s="272" t="str">
        <f t="shared" si="38"/>
        <v>--</v>
      </c>
      <c r="AD38" s="449">
        <v>879</v>
      </c>
      <c r="AE38" s="254" t="s">
        <v>899</v>
      </c>
      <c r="AF38" s="264" t="s">
        <v>625</v>
      </c>
      <c r="AG38" s="249" t="str">
        <f t="shared" si="5"/>
        <v>879-CAR_PED_ORACLE-Cargador de Pedimentos</v>
      </c>
      <c r="AH38" s="244"/>
      <c r="AI38" s="243"/>
      <c r="AJ38" s="232"/>
      <c r="AK38" s="233" t="str">
        <f t="shared" si="33"/>
        <v>--</v>
      </c>
      <c r="AL38" s="387">
        <v>995</v>
      </c>
      <c r="AM38" s="230" t="s">
        <v>1817</v>
      </c>
      <c r="AN38" s="232" t="s">
        <v>1818</v>
      </c>
      <c r="AO38" s="233" t="str">
        <f t="shared" si="54"/>
        <v>995-SAAPATM-Es una aplicación web que recibe mensajes vía JMS y los persiste en base de datos.</v>
      </c>
      <c r="AP38" s="231"/>
      <c r="AQ38" s="230"/>
      <c r="AR38" s="232"/>
      <c r="AS38" s="250" t="str">
        <f t="shared" si="60"/>
        <v>--</v>
      </c>
      <c r="AT38" s="231"/>
      <c r="AU38" s="230"/>
      <c r="AV38" s="232"/>
      <c r="AW38" s="247" t="str">
        <f t="shared" si="22"/>
        <v>--</v>
      </c>
      <c r="AX38" s="395"/>
      <c r="AY38" s="396"/>
      <c r="AZ38" s="396"/>
      <c r="BA38" s="233" t="str">
        <f t="shared" si="42"/>
        <v>--</v>
      </c>
      <c r="BB38" s="259"/>
      <c r="BC38" s="260"/>
      <c r="BD38" s="264"/>
      <c r="BE38" s="233" t="str">
        <f t="shared" si="52"/>
        <v>--</v>
      </c>
      <c r="BF38" s="362">
        <v>2280</v>
      </c>
      <c r="BG38" s="284" t="s">
        <v>1502</v>
      </c>
      <c r="BH38" s="285" t="s">
        <v>1355</v>
      </c>
      <c r="BI38" s="271" t="str">
        <f t="shared" si="10"/>
        <v xml:space="preserve">2280-Declaraciones Provisionales-Declaraciones Provisionales </v>
      </c>
      <c r="BJ38" s="238"/>
      <c r="BK38" s="226"/>
      <c r="BL38" s="232"/>
      <c r="BM38" s="247" t="str">
        <f t="shared" si="49"/>
        <v>--</v>
      </c>
      <c r="BN38" s="231"/>
      <c r="BO38" s="230"/>
      <c r="BP38" s="232"/>
      <c r="BQ38" s="247" t="str">
        <f t="shared" si="50"/>
        <v>--</v>
      </c>
      <c r="BR38" s="231"/>
      <c r="BS38" s="230"/>
      <c r="BT38" s="232"/>
      <c r="BU38" s="283" t="str">
        <f t="shared" si="34"/>
        <v>--</v>
      </c>
      <c r="BV38" s="230"/>
      <c r="BW38" s="265"/>
      <c r="BX38" s="234"/>
      <c r="BY38" s="233" t="str">
        <f t="shared" si="57"/>
        <v>--</v>
      </c>
      <c r="BZ38" s="238"/>
      <c r="CA38" s="226"/>
      <c r="CB38" s="234"/>
      <c r="CC38" s="233" t="str">
        <f t="shared" si="23"/>
        <v>--</v>
      </c>
      <c r="CD38" s="238"/>
      <c r="CE38" s="226"/>
      <c r="CF38" s="234"/>
      <c r="CG38" s="233" t="str">
        <f t="shared" si="46"/>
        <v>--</v>
      </c>
      <c r="CH38" s="238"/>
      <c r="CI38" s="226"/>
      <c r="CJ38" s="234"/>
      <c r="CK38" s="290" t="str">
        <f t="shared" si="24"/>
        <v>--</v>
      </c>
      <c r="CL38" s="238"/>
      <c r="CM38" s="226"/>
      <c r="CN38" s="230"/>
      <c r="CO38" s="250" t="str">
        <f t="shared" si="36"/>
        <v>--</v>
      </c>
      <c r="CP38" s="231"/>
      <c r="CQ38" s="230"/>
      <c r="CR38" s="232"/>
      <c r="CS38" s="250" t="str">
        <f t="shared" si="25"/>
        <v>--</v>
      </c>
      <c r="CT38" s="231"/>
      <c r="CU38" s="230"/>
      <c r="CV38" s="232"/>
      <c r="CW38" s="283" t="str">
        <f t="shared" si="26"/>
        <v>--</v>
      </c>
      <c r="CX38" s="231"/>
      <c r="CY38" s="230"/>
      <c r="CZ38" s="232"/>
      <c r="DA38" s="250" t="str">
        <f t="shared" si="58"/>
        <v>--</v>
      </c>
      <c r="DB38" s="231"/>
      <c r="DC38" s="230"/>
      <c r="DD38" s="232"/>
      <c r="DE38" s="247" t="str">
        <f t="shared" si="32"/>
        <v>--</v>
      </c>
      <c r="DF38" s="258"/>
      <c r="DG38" s="254"/>
      <c r="DH38" s="277"/>
      <c r="DI38" s="250" t="str">
        <f t="shared" si="27"/>
        <v>--</v>
      </c>
      <c r="DJ38" s="259"/>
      <c r="DK38" s="284"/>
      <c r="DL38" s="285"/>
      <c r="DM38" s="250" t="str">
        <f t="shared" si="55"/>
        <v>--</v>
      </c>
      <c r="DN38" s="267"/>
      <c r="DO38" s="260"/>
      <c r="DP38" s="264"/>
      <c r="DQ38" s="247" t="str">
        <f t="shared" si="59"/>
        <v>--</v>
      </c>
      <c r="DR38" s="231"/>
      <c r="DS38" s="230"/>
      <c r="DT38" s="232"/>
      <c r="DU38" s="283" t="str">
        <f t="shared" si="28"/>
        <v>--</v>
      </c>
      <c r="DV38" s="238"/>
      <c r="DW38" s="226"/>
      <c r="DX38" s="232"/>
      <c r="DY38" s="247" t="str">
        <f t="shared" si="53"/>
        <v>--</v>
      </c>
      <c r="DZ38" s="359">
        <v>2270</v>
      </c>
      <c r="EA38" s="284" t="s">
        <v>974</v>
      </c>
      <c r="EB38" s="285" t="s">
        <v>597</v>
      </c>
      <c r="EC38" s="533" t="str">
        <f t="shared" si="20"/>
        <v>2270-DonExt-Donaciones del Extranjero</v>
      </c>
      <c r="ED38" s="261"/>
      <c r="EE38" s="254"/>
      <c r="EF38" s="264"/>
      <c r="EG38" s="250" t="str">
        <f t="shared" si="61"/>
        <v>--</v>
      </c>
      <c r="EH38" s="258"/>
      <c r="EI38" s="254"/>
      <c r="EJ38" s="277"/>
      <c r="EK38" s="250" t="str">
        <f t="shared" si="29"/>
        <v>--</v>
      </c>
      <c r="EL38" s="258"/>
      <c r="EM38" s="254"/>
      <c r="EN38" s="277"/>
      <c r="EO38" s="250" t="str">
        <f t="shared" si="30"/>
        <v>--</v>
      </c>
    </row>
    <row r="39" spans="1:145" ht="15.75" thickBot="1" x14ac:dyDescent="0.3">
      <c r="A39" s="681" t="s">
        <v>1313</v>
      </c>
      <c r="B39" s="423">
        <v>42801</v>
      </c>
      <c r="C39" s="424">
        <v>43009</v>
      </c>
      <c r="U39" s="237">
        <v>36</v>
      </c>
      <c r="V39" s="231"/>
      <c r="W39" s="230"/>
      <c r="X39" s="232"/>
      <c r="Y39" s="247" t="str">
        <f t="shared" si="62"/>
        <v>--</v>
      </c>
      <c r="Z39" s="231"/>
      <c r="AA39" s="230"/>
      <c r="AB39" s="270"/>
      <c r="AC39" s="272" t="str">
        <f t="shared" si="38"/>
        <v>--</v>
      </c>
      <c r="AD39" s="378">
        <v>896</v>
      </c>
      <c r="AE39" s="274" t="s">
        <v>1070</v>
      </c>
      <c r="AF39" s="276" t="s">
        <v>1074</v>
      </c>
      <c r="AG39" s="249" t="str">
        <f t="shared" si="5"/>
        <v>896-MUF-Manifiesto Único Ferroviario</v>
      </c>
      <c r="AH39" s="244"/>
      <c r="AI39" s="243"/>
      <c r="AJ39" s="232"/>
      <c r="AK39" s="233" t="str">
        <f t="shared" si="33"/>
        <v>--</v>
      </c>
      <c r="AL39" s="231"/>
      <c r="AM39" s="230"/>
      <c r="AN39" s="232"/>
      <c r="AO39" s="233" t="str">
        <f t="shared" si="54"/>
        <v>--</v>
      </c>
      <c r="AP39" s="231"/>
      <c r="AQ39" s="230"/>
      <c r="AR39" s="232"/>
      <c r="AS39" s="250" t="str">
        <f t="shared" si="60"/>
        <v>--</v>
      </c>
      <c r="AT39" s="231"/>
      <c r="AU39" s="230"/>
      <c r="AV39" s="232"/>
      <c r="AW39" s="247" t="str">
        <f t="shared" si="22"/>
        <v>--</v>
      </c>
      <c r="AX39" s="395"/>
      <c r="AY39" s="396"/>
      <c r="AZ39" s="396"/>
      <c r="BA39" s="233" t="str">
        <f t="shared" si="42"/>
        <v>--</v>
      </c>
      <c r="BB39" s="258"/>
      <c r="BC39" s="282"/>
      <c r="BD39" s="288"/>
      <c r="BE39" s="233" t="str">
        <f t="shared" si="52"/>
        <v>--</v>
      </c>
      <c r="BF39" s="518"/>
      <c r="BG39" s="226"/>
      <c r="BH39" s="234"/>
      <c r="BI39" s="457" t="str">
        <f>CONCATENATE(BF39,"-",BG39,"-",BH39)</f>
        <v>--</v>
      </c>
      <c r="BJ39" s="238"/>
      <c r="BK39" s="226"/>
      <c r="BL39" s="232"/>
      <c r="BM39" s="247" t="str">
        <f t="shared" si="49"/>
        <v>--</v>
      </c>
      <c r="BN39" s="231"/>
      <c r="BO39" s="230"/>
      <c r="BP39" s="232"/>
      <c r="BQ39" s="247" t="str">
        <f t="shared" si="50"/>
        <v>--</v>
      </c>
      <c r="BR39" s="231"/>
      <c r="BS39" s="230"/>
      <c r="BT39" s="232"/>
      <c r="BU39" s="283" t="str">
        <f t="shared" si="34"/>
        <v>--</v>
      </c>
      <c r="BV39" s="265"/>
      <c r="BW39" s="265"/>
      <c r="BX39" s="234"/>
      <c r="BY39" s="233" t="str">
        <f t="shared" si="57"/>
        <v>--</v>
      </c>
      <c r="BZ39" s="238"/>
      <c r="CA39" s="226"/>
      <c r="CB39" s="234"/>
      <c r="CC39" s="233" t="str">
        <f t="shared" si="23"/>
        <v>--</v>
      </c>
      <c r="CD39" s="238"/>
      <c r="CE39" s="226"/>
      <c r="CF39" s="234"/>
      <c r="CG39" s="233" t="str">
        <f t="shared" si="46"/>
        <v>--</v>
      </c>
      <c r="CH39" s="238"/>
      <c r="CI39" s="226"/>
      <c r="CJ39" s="234"/>
      <c r="CK39" s="290" t="str">
        <f t="shared" si="24"/>
        <v>--</v>
      </c>
      <c r="CL39" s="238"/>
      <c r="CM39" s="226"/>
      <c r="CN39" s="230"/>
      <c r="CO39" s="250" t="str">
        <f t="shared" si="36"/>
        <v>--</v>
      </c>
      <c r="CP39" s="231"/>
      <c r="CQ39" s="230"/>
      <c r="CR39" s="232"/>
      <c r="CS39" s="250" t="str">
        <f t="shared" si="25"/>
        <v>--</v>
      </c>
      <c r="CT39" s="231"/>
      <c r="CU39" s="230"/>
      <c r="CV39" s="232"/>
      <c r="CW39" s="283" t="str">
        <f t="shared" si="26"/>
        <v>--</v>
      </c>
      <c r="CX39" s="231"/>
      <c r="CY39" s="230"/>
      <c r="CZ39" s="232"/>
      <c r="DA39" s="250" t="str">
        <f t="shared" si="58"/>
        <v>--</v>
      </c>
      <c r="DB39" s="231"/>
      <c r="DC39" s="230"/>
      <c r="DD39" s="232"/>
      <c r="DE39" s="247" t="str">
        <f t="shared" si="32"/>
        <v>--</v>
      </c>
      <c r="DF39" s="258"/>
      <c r="DG39" s="254"/>
      <c r="DH39" s="277"/>
      <c r="DI39" s="250" t="str">
        <f t="shared" si="27"/>
        <v>--</v>
      </c>
      <c r="DJ39" s="267"/>
      <c r="DK39" s="284"/>
      <c r="DL39" s="285"/>
      <c r="DM39" s="250" t="str">
        <f t="shared" si="55"/>
        <v>--</v>
      </c>
      <c r="DN39" s="267"/>
      <c r="DO39" s="260"/>
      <c r="DP39" s="264"/>
      <c r="DQ39" s="247" t="str">
        <f t="shared" si="59"/>
        <v>--</v>
      </c>
      <c r="DR39" s="231"/>
      <c r="DS39" s="230"/>
      <c r="DT39" s="234"/>
      <c r="DU39" s="283" t="str">
        <f t="shared" si="28"/>
        <v>--</v>
      </c>
      <c r="DV39" s="238"/>
      <c r="DW39" s="226"/>
      <c r="DX39" s="232"/>
      <c r="DY39" s="247" t="str">
        <f t="shared" si="53"/>
        <v>--</v>
      </c>
      <c r="DZ39" s="517"/>
      <c r="EA39" s="284"/>
      <c r="EB39" s="285"/>
      <c r="EC39" s="250" t="str">
        <f>CONCATENATE(DZ39,"-",EA39,"-",EB39)</f>
        <v>--</v>
      </c>
      <c r="ED39" s="231"/>
      <c r="EE39" s="230"/>
      <c r="EF39" s="232"/>
      <c r="EG39" s="250" t="str">
        <f t="shared" si="61"/>
        <v>--</v>
      </c>
      <c r="EH39" s="258"/>
      <c r="EI39" s="254"/>
      <c r="EJ39" s="277"/>
      <c r="EK39" s="250" t="str">
        <f t="shared" si="29"/>
        <v>--</v>
      </c>
      <c r="EL39" s="258"/>
      <c r="EM39" s="254"/>
      <c r="EN39" s="277"/>
      <c r="EO39" s="250" t="str">
        <f t="shared" si="30"/>
        <v>--</v>
      </c>
    </row>
    <row r="40" spans="1:145" ht="26.25" thickBot="1" x14ac:dyDescent="0.3">
      <c r="A40" s="682"/>
      <c r="B40" s="471">
        <v>647</v>
      </c>
      <c r="C40" s="394" t="s">
        <v>1082</v>
      </c>
      <c r="U40" s="237">
        <v>37</v>
      </c>
      <c r="V40" s="231"/>
      <c r="W40" s="230"/>
      <c r="X40" s="232"/>
      <c r="Y40" s="247" t="str">
        <f t="shared" si="62"/>
        <v>--</v>
      </c>
      <c r="Z40" s="231"/>
      <c r="AA40" s="230"/>
      <c r="AB40" s="270"/>
      <c r="AC40" s="272" t="str">
        <f t="shared" si="38"/>
        <v>--</v>
      </c>
      <c r="AD40" s="378">
        <v>897</v>
      </c>
      <c r="AE40" s="274" t="s">
        <v>1071</v>
      </c>
      <c r="AF40" s="276" t="s">
        <v>1075</v>
      </c>
      <c r="AG40" s="249" t="str">
        <f t="shared" si="5"/>
        <v>897-TRANSITOS_SIN_PAPEL-Tránsitos sin Papel</v>
      </c>
      <c r="AH40" s="244"/>
      <c r="AI40" s="243"/>
      <c r="AJ40" s="232"/>
      <c r="AK40" s="233" t="str">
        <f t="shared" si="33"/>
        <v>--</v>
      </c>
      <c r="AL40" s="231"/>
      <c r="AM40" s="230"/>
      <c r="AN40" s="232"/>
      <c r="AO40" s="233" t="str">
        <f t="shared" si="54"/>
        <v>--</v>
      </c>
      <c r="AP40" s="231"/>
      <c r="AQ40" s="230"/>
      <c r="AR40" s="232"/>
      <c r="AS40" s="250" t="str">
        <f t="shared" si="60"/>
        <v>--</v>
      </c>
      <c r="AT40" s="231"/>
      <c r="AU40" s="230"/>
      <c r="AV40" s="232"/>
      <c r="AW40" s="247" t="str">
        <f t="shared" si="22"/>
        <v>--</v>
      </c>
      <c r="AX40" s="258"/>
      <c r="AY40" s="254"/>
      <c r="AZ40" s="277"/>
      <c r="BA40" s="233" t="str">
        <f t="shared" si="42"/>
        <v>--</v>
      </c>
      <c r="BB40" s="267"/>
      <c r="BC40" s="260"/>
      <c r="BD40" s="264"/>
      <c r="BE40" s="233" t="str">
        <f t="shared" si="52"/>
        <v>--</v>
      </c>
      <c r="BF40" s="518"/>
      <c r="BG40" s="284"/>
      <c r="BH40" s="285"/>
      <c r="BI40" s="457" t="str">
        <f>CONCATENATE(BF40,"-",BG40,"-",BH40)</f>
        <v>--</v>
      </c>
      <c r="BJ40" s="238"/>
      <c r="BK40" s="226"/>
      <c r="BL40" s="232"/>
      <c r="BM40" s="247" t="str">
        <f t="shared" si="49"/>
        <v>--</v>
      </c>
      <c r="BN40" s="231"/>
      <c r="BO40" s="230"/>
      <c r="BP40" s="232"/>
      <c r="BQ40" s="247" t="str">
        <f t="shared" si="50"/>
        <v>--</v>
      </c>
      <c r="BR40" s="231"/>
      <c r="BS40" s="230"/>
      <c r="BT40" s="232"/>
      <c r="BU40" s="283" t="str">
        <f t="shared" si="34"/>
        <v>--</v>
      </c>
      <c r="BV40" s="265"/>
      <c r="BW40" s="265"/>
      <c r="BX40" s="234"/>
      <c r="BY40" s="233" t="str">
        <f t="shared" si="57"/>
        <v>--</v>
      </c>
      <c r="BZ40" s="238"/>
      <c r="CA40" s="226"/>
      <c r="CB40" s="234"/>
      <c r="CC40" s="233" t="str">
        <f t="shared" si="23"/>
        <v>--</v>
      </c>
      <c r="CD40" s="238"/>
      <c r="CE40" s="226"/>
      <c r="CF40" s="234"/>
      <c r="CG40" s="233" t="str">
        <f t="shared" si="46"/>
        <v>--</v>
      </c>
      <c r="CH40" s="238"/>
      <c r="CI40" s="226"/>
      <c r="CJ40" s="234"/>
      <c r="CK40" s="290" t="str">
        <f t="shared" si="24"/>
        <v>--</v>
      </c>
      <c r="CL40" s="238"/>
      <c r="CM40" s="226"/>
      <c r="CN40" s="230"/>
      <c r="CO40" s="250" t="str">
        <f t="shared" si="36"/>
        <v>--</v>
      </c>
      <c r="CP40" s="231"/>
      <c r="CQ40" s="230"/>
      <c r="CR40" s="232"/>
      <c r="CS40" s="250" t="str">
        <f t="shared" si="25"/>
        <v>--</v>
      </c>
      <c r="CT40" s="231"/>
      <c r="CU40" s="230"/>
      <c r="CV40" s="232"/>
      <c r="CW40" s="283" t="str">
        <f t="shared" si="26"/>
        <v>--</v>
      </c>
      <c r="CX40" s="231"/>
      <c r="CY40" s="230"/>
      <c r="CZ40" s="232"/>
      <c r="DA40" s="250" t="str">
        <f t="shared" si="58"/>
        <v>--</v>
      </c>
      <c r="DB40" s="231"/>
      <c r="DC40" s="230"/>
      <c r="DD40" s="232"/>
      <c r="DE40" s="247" t="str">
        <f t="shared" si="32"/>
        <v>--</v>
      </c>
      <c r="DF40" s="258"/>
      <c r="DG40" s="254"/>
      <c r="DH40" s="264"/>
      <c r="DI40" s="250" t="str">
        <f t="shared" si="27"/>
        <v>--</v>
      </c>
      <c r="DJ40" s="267"/>
      <c r="DK40" s="284"/>
      <c r="DL40" s="285"/>
      <c r="DM40" s="250" t="str">
        <f t="shared" si="55"/>
        <v>--</v>
      </c>
      <c r="DN40" s="267"/>
      <c r="DO40" s="260"/>
      <c r="DP40" s="264"/>
      <c r="DQ40" s="247" t="str">
        <f t="shared" si="59"/>
        <v>--</v>
      </c>
      <c r="DR40" s="231"/>
      <c r="DS40" s="230"/>
      <c r="DT40" s="234"/>
      <c r="DU40" s="283" t="str">
        <f t="shared" si="28"/>
        <v>--</v>
      </c>
      <c r="DV40" s="231"/>
      <c r="DW40" s="230"/>
      <c r="DX40" s="232"/>
      <c r="DY40" s="247" t="str">
        <f t="shared" si="53"/>
        <v>--</v>
      </c>
      <c r="DZ40" s="517"/>
      <c r="EA40" s="284"/>
      <c r="EB40" s="285"/>
      <c r="EC40" s="250" t="str">
        <f>CONCATENATE(DZ40,"-",EA40,"-",EB40)</f>
        <v>--</v>
      </c>
      <c r="ED40" s="231"/>
      <c r="EE40" s="254"/>
      <c r="EF40" s="264"/>
      <c r="EG40" s="250" t="str">
        <f t="shared" si="61"/>
        <v>--</v>
      </c>
      <c r="EH40" s="258"/>
      <c r="EI40" s="254"/>
      <c r="EJ40" s="264"/>
      <c r="EK40" s="250" t="str">
        <f t="shared" si="29"/>
        <v>--</v>
      </c>
      <c r="EL40" s="258"/>
      <c r="EM40" s="254"/>
      <c r="EN40" s="264"/>
      <c r="EO40" s="250" t="str">
        <f t="shared" si="30"/>
        <v>--</v>
      </c>
    </row>
    <row r="41" spans="1:145" ht="39" thickBot="1" x14ac:dyDescent="0.3">
      <c r="A41" s="682"/>
      <c r="B41" s="471">
        <v>726</v>
      </c>
      <c r="C41" s="394" t="s">
        <v>1314</v>
      </c>
      <c r="U41" s="237">
        <v>38</v>
      </c>
      <c r="V41" s="231"/>
      <c r="W41" s="230"/>
      <c r="X41" s="232"/>
      <c r="Y41" s="247" t="str">
        <f t="shared" si="62"/>
        <v>--</v>
      </c>
      <c r="Z41" s="231"/>
      <c r="AA41" s="230"/>
      <c r="AB41" s="270"/>
      <c r="AC41" s="272" t="str">
        <f t="shared" si="38"/>
        <v>--</v>
      </c>
      <c r="AD41" s="378">
        <v>898</v>
      </c>
      <c r="AE41" s="274" t="s">
        <v>1072</v>
      </c>
      <c r="AF41" s="276" t="s">
        <v>1076</v>
      </c>
      <c r="AG41" s="249" t="str">
        <f t="shared" si="5"/>
        <v>898-VISOR_DOCUMENTOS_VUCEM-Visor VUCEM</v>
      </c>
      <c r="AH41" s="244"/>
      <c r="AI41" s="243"/>
      <c r="AJ41" s="232"/>
      <c r="AK41" s="233" t="str">
        <f t="shared" si="33"/>
        <v>--</v>
      </c>
      <c r="AL41" s="231"/>
      <c r="AM41" s="230"/>
      <c r="AN41" s="232"/>
      <c r="AO41" s="233" t="str">
        <f t="shared" ref="AO41:AO47" si="63">CONCATENATE(AL41,"-",AM41,"-",AN41)</f>
        <v>--</v>
      </c>
      <c r="AP41" s="231"/>
      <c r="AQ41" s="230"/>
      <c r="AR41" s="232"/>
      <c r="AS41" s="250" t="str">
        <f t="shared" si="60"/>
        <v>--</v>
      </c>
      <c r="AT41" s="231"/>
      <c r="AU41" s="230"/>
      <c r="AV41" s="232"/>
      <c r="AW41" s="247" t="str">
        <f t="shared" si="22"/>
        <v>--</v>
      </c>
      <c r="AX41" s="258"/>
      <c r="AY41" s="254"/>
      <c r="AZ41" s="277"/>
      <c r="BA41" s="233" t="str">
        <f t="shared" si="42"/>
        <v>--</v>
      </c>
      <c r="BB41" s="259"/>
      <c r="BC41" s="260"/>
      <c r="BD41" s="264"/>
      <c r="BE41" s="233" t="str">
        <f t="shared" si="52"/>
        <v>--</v>
      </c>
      <c r="BF41" s="238"/>
      <c r="BG41" s="226"/>
      <c r="BH41" s="234"/>
      <c r="BI41" s="457" t="str">
        <f t="shared" ref="BI41:BI59" si="64">CONCATENATE(BF41,"-",BG41,"-",BH41)</f>
        <v>--</v>
      </c>
      <c r="BJ41" s="238"/>
      <c r="BK41" s="226"/>
      <c r="BL41" s="232"/>
      <c r="BM41" s="247" t="str">
        <f t="shared" si="49"/>
        <v>--</v>
      </c>
      <c r="BN41" s="231"/>
      <c r="BO41" s="230"/>
      <c r="BP41" s="232"/>
      <c r="BQ41" s="247" t="str">
        <f t="shared" si="50"/>
        <v>--</v>
      </c>
      <c r="BR41" s="231"/>
      <c r="BS41" s="230"/>
      <c r="BT41" s="232"/>
      <c r="BU41" s="283" t="str">
        <f t="shared" si="34"/>
        <v>--</v>
      </c>
      <c r="BV41" s="395"/>
      <c r="BW41" s="396"/>
      <c r="BX41" s="396"/>
      <c r="BY41" s="233" t="str">
        <f t="shared" si="57"/>
        <v>--</v>
      </c>
      <c r="BZ41" s="244"/>
      <c r="CA41" s="243"/>
      <c r="CB41" s="234"/>
      <c r="CC41" s="233" t="str">
        <f t="shared" si="23"/>
        <v>--</v>
      </c>
      <c r="CD41" s="238"/>
      <c r="CE41" s="226"/>
      <c r="CF41" s="234"/>
      <c r="CG41" s="233" t="str">
        <f t="shared" si="46"/>
        <v>--</v>
      </c>
      <c r="CH41" s="238"/>
      <c r="CI41" s="226"/>
      <c r="CJ41" s="234"/>
      <c r="CK41" s="290" t="str">
        <f t="shared" si="24"/>
        <v>--</v>
      </c>
      <c r="CL41" s="238"/>
      <c r="CM41" s="226"/>
      <c r="CN41" s="230"/>
      <c r="CO41" s="250" t="str">
        <f t="shared" si="36"/>
        <v>--</v>
      </c>
      <c r="CP41" s="231"/>
      <c r="CQ41" s="230"/>
      <c r="CR41" s="232"/>
      <c r="CS41" s="250" t="str">
        <f t="shared" si="25"/>
        <v>--</v>
      </c>
      <c r="CT41" s="231"/>
      <c r="CU41" s="230"/>
      <c r="CV41" s="232"/>
      <c r="CW41" s="283" t="str">
        <f t="shared" si="26"/>
        <v>--</v>
      </c>
      <c r="CX41" s="231"/>
      <c r="CY41" s="230"/>
      <c r="CZ41" s="232"/>
      <c r="DA41" s="250" t="str">
        <f t="shared" si="58"/>
        <v>--</v>
      </c>
      <c r="DB41" s="231"/>
      <c r="DC41" s="230"/>
      <c r="DD41" s="232"/>
      <c r="DE41" s="247" t="str">
        <f t="shared" si="32"/>
        <v>--</v>
      </c>
      <c r="DF41" s="258"/>
      <c r="DG41" s="254"/>
      <c r="DH41" s="264"/>
      <c r="DI41" s="250" t="str">
        <f t="shared" si="27"/>
        <v>--</v>
      </c>
      <c r="DJ41" s="267"/>
      <c r="DK41" s="284"/>
      <c r="DL41" s="285"/>
      <c r="DM41" s="250" t="str">
        <f t="shared" si="55"/>
        <v>--</v>
      </c>
      <c r="DN41" s="267"/>
      <c r="DO41" s="260"/>
      <c r="DP41" s="264"/>
      <c r="DQ41" s="247" t="str">
        <f t="shared" si="59"/>
        <v>--</v>
      </c>
      <c r="DR41" s="238"/>
      <c r="DS41" s="226"/>
      <c r="DT41" s="232"/>
      <c r="DU41" s="283" t="str">
        <f t="shared" si="28"/>
        <v>--</v>
      </c>
      <c r="DV41" s="231"/>
      <c r="DW41" s="230"/>
      <c r="DX41" s="232"/>
      <c r="DY41" s="247" t="str">
        <f t="shared" si="53"/>
        <v>--</v>
      </c>
      <c r="DZ41" s="231"/>
      <c r="EA41" s="481"/>
      <c r="EB41" s="232"/>
      <c r="EC41" s="250" t="str">
        <f t="shared" ref="EC41:EC61" si="65">CONCATENATE(DZ41,"-",EA41,"-",EB41)</f>
        <v>--</v>
      </c>
      <c r="ED41" s="231"/>
      <c r="EE41" s="254"/>
      <c r="EF41" s="264"/>
      <c r="EG41" s="250" t="str">
        <f t="shared" si="61"/>
        <v>--</v>
      </c>
      <c r="EH41" s="258"/>
      <c r="EI41" s="254"/>
      <c r="EJ41" s="264"/>
      <c r="EK41" s="250" t="str">
        <f t="shared" si="29"/>
        <v>--</v>
      </c>
      <c r="EL41" s="258"/>
      <c r="EM41" s="254"/>
      <c r="EN41" s="264"/>
      <c r="EO41" s="250" t="str">
        <f t="shared" si="30"/>
        <v>--</v>
      </c>
    </row>
    <row r="42" spans="1:145" ht="26.25" thickBot="1" x14ac:dyDescent="0.3">
      <c r="A42" s="683"/>
      <c r="B42" s="422">
        <v>815</v>
      </c>
      <c r="C42" s="394" t="s">
        <v>1315</v>
      </c>
      <c r="U42" s="237">
        <v>39</v>
      </c>
      <c r="V42" s="231"/>
      <c r="W42" s="230"/>
      <c r="X42" s="232"/>
      <c r="Y42" s="247" t="str">
        <f t="shared" si="62"/>
        <v>--</v>
      </c>
      <c r="Z42" s="231"/>
      <c r="AA42" s="230"/>
      <c r="AB42" s="270"/>
      <c r="AC42" s="272" t="str">
        <f t="shared" si="38"/>
        <v>--</v>
      </c>
      <c r="AD42" s="378">
        <v>899</v>
      </c>
      <c r="AE42" s="254" t="s">
        <v>1073</v>
      </c>
      <c r="AF42" s="277" t="s">
        <v>1482</v>
      </c>
      <c r="AG42" s="249" t="str">
        <f t="shared" si="5"/>
        <v>899-SIRESI M3-Registro, Evaluación y Seguimiento de Incidencias M3</v>
      </c>
      <c r="AH42" s="244"/>
      <c r="AI42" s="243"/>
      <c r="AJ42" s="232"/>
      <c r="AK42" s="233" t="str">
        <f t="shared" si="33"/>
        <v>--</v>
      </c>
      <c r="AL42" s="459"/>
      <c r="AM42" s="460"/>
      <c r="AN42" s="460"/>
      <c r="AO42" s="233" t="str">
        <f t="shared" si="63"/>
        <v>--</v>
      </c>
      <c r="AP42" s="231"/>
      <c r="AQ42" s="230"/>
      <c r="AR42" s="232"/>
      <c r="AS42" s="250" t="str">
        <f t="shared" si="60"/>
        <v>--</v>
      </c>
      <c r="AT42" s="231"/>
      <c r="AU42" s="230"/>
      <c r="AV42" s="232"/>
      <c r="AW42" s="247" t="str">
        <f t="shared" si="22"/>
        <v>--</v>
      </c>
      <c r="AX42" s="258"/>
      <c r="AY42" s="254"/>
      <c r="AZ42" s="277"/>
      <c r="BA42" s="233" t="str">
        <f t="shared" si="42"/>
        <v>--</v>
      </c>
      <c r="BB42" s="259"/>
      <c r="BC42" s="260"/>
      <c r="BD42" s="264"/>
      <c r="BE42" s="233" t="str">
        <f t="shared" si="52"/>
        <v>--</v>
      </c>
      <c r="BF42" s="238"/>
      <c r="BG42" s="226"/>
      <c r="BH42" s="234"/>
      <c r="BI42" s="457" t="str">
        <f t="shared" si="64"/>
        <v>--</v>
      </c>
      <c r="BJ42" s="238"/>
      <c r="BK42" s="226"/>
      <c r="BL42" s="232"/>
      <c r="BM42" s="247" t="str">
        <f t="shared" si="49"/>
        <v>--</v>
      </c>
      <c r="BN42" s="231"/>
      <c r="BO42" s="230"/>
      <c r="BP42" s="232"/>
      <c r="BQ42" s="247" t="str">
        <f t="shared" si="50"/>
        <v>--</v>
      </c>
      <c r="BR42" s="231"/>
      <c r="BS42" s="230"/>
      <c r="BT42" s="232"/>
      <c r="BU42" s="283" t="str">
        <f t="shared" si="34"/>
        <v>--</v>
      </c>
      <c r="BV42" s="395"/>
      <c r="BW42" s="396"/>
      <c r="BX42" s="396"/>
      <c r="BY42" s="233" t="str">
        <f t="shared" ref="BY42:BY68" si="66">CONCATENATE(BV42,"-",BW42,"-",BX42)</f>
        <v>--</v>
      </c>
      <c r="BZ42" s="238"/>
      <c r="CA42" s="226"/>
      <c r="CB42" s="234"/>
      <c r="CC42" s="233" t="str">
        <f t="shared" si="23"/>
        <v>--</v>
      </c>
      <c r="CD42" s="238"/>
      <c r="CE42" s="226"/>
      <c r="CF42" s="234"/>
      <c r="CG42" s="233" t="str">
        <f t="shared" si="46"/>
        <v>--</v>
      </c>
      <c r="CH42" s="238"/>
      <c r="CI42" s="226"/>
      <c r="CJ42" s="234"/>
      <c r="CK42" s="290" t="str">
        <f t="shared" si="24"/>
        <v>--</v>
      </c>
      <c r="CL42" s="238"/>
      <c r="CM42" s="226"/>
      <c r="CN42" s="230"/>
      <c r="CO42" s="250" t="str">
        <f t="shared" si="36"/>
        <v>--</v>
      </c>
      <c r="CP42" s="231"/>
      <c r="CQ42" s="230"/>
      <c r="CR42" s="232"/>
      <c r="CS42" s="250" t="str">
        <f t="shared" si="25"/>
        <v>--</v>
      </c>
      <c r="CT42" s="231"/>
      <c r="CU42" s="230"/>
      <c r="CV42" s="232"/>
      <c r="CW42" s="283" t="str">
        <f t="shared" si="26"/>
        <v>--</v>
      </c>
      <c r="CX42" s="231"/>
      <c r="CY42" s="230"/>
      <c r="CZ42" s="232"/>
      <c r="DA42" s="250" t="str">
        <f t="shared" si="58"/>
        <v>--</v>
      </c>
      <c r="DB42" s="231"/>
      <c r="DC42" s="230"/>
      <c r="DD42" s="232"/>
      <c r="DE42" s="247" t="str">
        <f t="shared" si="32"/>
        <v>--</v>
      </c>
      <c r="DF42" s="258"/>
      <c r="DG42" s="254"/>
      <c r="DH42" s="264"/>
      <c r="DI42" s="250" t="str">
        <f t="shared" si="27"/>
        <v>--</v>
      </c>
      <c r="DJ42" s="231"/>
      <c r="DK42" s="230"/>
      <c r="DL42" s="232"/>
      <c r="DM42" s="250" t="str">
        <f t="shared" si="55"/>
        <v>--</v>
      </c>
      <c r="DN42" s="259"/>
      <c r="DO42" s="260"/>
      <c r="DP42" s="264"/>
      <c r="DQ42" s="247" t="str">
        <f t="shared" si="59"/>
        <v>--</v>
      </c>
      <c r="DR42" s="238"/>
      <c r="DS42" s="226"/>
      <c r="DT42" s="232"/>
      <c r="DU42" s="283" t="str">
        <f t="shared" si="28"/>
        <v>--</v>
      </c>
      <c r="DV42" s="231"/>
      <c r="DW42" s="230"/>
      <c r="DX42" s="232"/>
      <c r="DY42" s="247" t="str">
        <f t="shared" si="53"/>
        <v>--</v>
      </c>
      <c r="DZ42" s="231"/>
      <c r="EA42" s="481"/>
      <c r="EB42" s="232"/>
      <c r="EC42" s="250" t="str">
        <f t="shared" si="65"/>
        <v>--</v>
      </c>
      <c r="ED42" s="231"/>
      <c r="EE42" s="230"/>
      <c r="EF42" s="232"/>
      <c r="EG42" s="250" t="str">
        <f>CONCATENATE(ED42,"-",EE42,"-",EF42)</f>
        <v>--</v>
      </c>
      <c r="EH42" s="258"/>
      <c r="EI42" s="254"/>
      <c r="EJ42" s="264"/>
      <c r="EK42" s="250" t="str">
        <f t="shared" si="29"/>
        <v>--</v>
      </c>
      <c r="EL42" s="258"/>
      <c r="EM42" s="254"/>
      <c r="EN42" s="264"/>
      <c r="EO42" s="250" t="str">
        <f t="shared" si="30"/>
        <v>--</v>
      </c>
    </row>
    <row r="43" spans="1:145" ht="15.75" thickBot="1" x14ac:dyDescent="0.3">
      <c r="U43" s="237">
        <v>41</v>
      </c>
      <c r="V43" s="231"/>
      <c r="W43" s="230"/>
      <c r="X43" s="232"/>
      <c r="Y43" s="247" t="str">
        <f t="shared" si="62"/>
        <v>--</v>
      </c>
      <c r="Z43" s="231"/>
      <c r="AA43" s="230"/>
      <c r="AB43" s="270"/>
      <c r="AC43" s="272" t="str">
        <f t="shared" si="38"/>
        <v>--</v>
      </c>
      <c r="AD43" s="388">
        <v>911</v>
      </c>
      <c r="AE43" s="260" t="s">
        <v>1283</v>
      </c>
      <c r="AF43" s="277" t="s">
        <v>1285</v>
      </c>
      <c r="AG43" s="249" t="str">
        <f t="shared" si="5"/>
        <v>911-CCupo-Cartas Cupo</v>
      </c>
      <c r="AH43" s="244"/>
      <c r="AI43" s="243"/>
      <c r="AJ43" s="232"/>
      <c r="AK43" s="233" t="str">
        <f t="shared" si="33"/>
        <v>--</v>
      </c>
      <c r="AL43" s="231"/>
      <c r="AM43" s="230"/>
      <c r="AN43" s="232"/>
      <c r="AO43" s="233" t="str">
        <f t="shared" si="63"/>
        <v>--</v>
      </c>
      <c r="AP43" s="231"/>
      <c r="AQ43" s="230"/>
      <c r="AR43" s="232"/>
      <c r="AS43" s="250" t="str">
        <f t="shared" si="60"/>
        <v>--</v>
      </c>
      <c r="AT43" s="231"/>
      <c r="AU43" s="230"/>
      <c r="AV43" s="232"/>
      <c r="AW43" s="247" t="str">
        <f t="shared" si="22"/>
        <v>--</v>
      </c>
      <c r="AX43" s="258"/>
      <c r="AY43" s="254"/>
      <c r="AZ43" s="277"/>
      <c r="BA43" s="233" t="str">
        <f t="shared" si="42"/>
        <v>--</v>
      </c>
      <c r="BB43" s="259"/>
      <c r="BC43" s="260"/>
      <c r="BD43" s="264"/>
      <c r="BE43" s="233" t="str">
        <f t="shared" si="52"/>
        <v>--</v>
      </c>
      <c r="BF43" s="238"/>
      <c r="BG43" s="226"/>
      <c r="BH43" s="234"/>
      <c r="BI43" s="457" t="str">
        <f t="shared" si="64"/>
        <v>--</v>
      </c>
      <c r="BJ43" s="238"/>
      <c r="BK43" s="226"/>
      <c r="BL43" s="232"/>
      <c r="BM43" s="247" t="str">
        <f t="shared" si="49"/>
        <v>--</v>
      </c>
      <c r="BN43" s="231"/>
      <c r="BO43" s="230"/>
      <c r="BP43" s="232"/>
      <c r="BQ43" s="247" t="str">
        <f t="shared" si="50"/>
        <v>--</v>
      </c>
      <c r="BR43" s="231"/>
      <c r="BS43" s="230"/>
      <c r="BT43" s="232"/>
      <c r="BU43" s="283" t="str">
        <f t="shared" si="34"/>
        <v>--</v>
      </c>
      <c r="BV43" s="395"/>
      <c r="BW43" s="396"/>
      <c r="BX43" s="396"/>
      <c r="BY43" s="233" t="str">
        <f t="shared" si="66"/>
        <v>--</v>
      </c>
      <c r="BZ43" s="238"/>
      <c r="CA43" s="226"/>
      <c r="CB43" s="234"/>
      <c r="CC43" s="233" t="str">
        <f t="shared" si="23"/>
        <v>--</v>
      </c>
      <c r="CD43" s="238"/>
      <c r="CE43" s="226"/>
      <c r="CF43" s="234"/>
      <c r="CG43" s="233" t="str">
        <f t="shared" si="46"/>
        <v>--</v>
      </c>
      <c r="CH43" s="238"/>
      <c r="CI43" s="226"/>
      <c r="CJ43" s="234"/>
      <c r="CK43" s="290" t="str">
        <f t="shared" si="24"/>
        <v>--</v>
      </c>
      <c r="CL43" s="238"/>
      <c r="CM43" s="226"/>
      <c r="CN43" s="230"/>
      <c r="CO43" s="250" t="str">
        <f t="shared" si="36"/>
        <v>--</v>
      </c>
      <c r="CP43" s="231"/>
      <c r="CQ43" s="230"/>
      <c r="CR43" s="232"/>
      <c r="CS43" s="250" t="str">
        <f t="shared" si="25"/>
        <v>--</v>
      </c>
      <c r="CT43" s="231"/>
      <c r="CU43" s="230"/>
      <c r="CV43" s="232"/>
      <c r="CW43" s="283" t="str">
        <f t="shared" si="26"/>
        <v>--</v>
      </c>
      <c r="CX43" s="231"/>
      <c r="CY43" s="230"/>
      <c r="CZ43" s="232"/>
      <c r="DA43" s="250" t="str">
        <f t="shared" si="58"/>
        <v>--</v>
      </c>
      <c r="DB43" s="231"/>
      <c r="DC43" s="230"/>
      <c r="DD43" s="232"/>
      <c r="DE43" s="247" t="str">
        <f t="shared" si="32"/>
        <v>--</v>
      </c>
      <c r="DF43" s="332"/>
      <c r="DG43" s="254"/>
      <c r="DH43" s="264"/>
      <c r="DI43" s="250" t="str">
        <f t="shared" si="27"/>
        <v>--</v>
      </c>
      <c r="DJ43" s="238"/>
      <c r="DK43" s="226"/>
      <c r="DL43" s="232"/>
      <c r="DM43" s="250" t="str">
        <f t="shared" si="55"/>
        <v>--</v>
      </c>
      <c r="DN43" s="267"/>
      <c r="DO43" s="260"/>
      <c r="DP43" s="264"/>
      <c r="DQ43" s="247" t="str">
        <f t="shared" si="59"/>
        <v>--</v>
      </c>
      <c r="DR43" s="231"/>
      <c r="DS43" s="230"/>
      <c r="DT43" s="232"/>
      <c r="DU43" s="283" t="str">
        <f t="shared" si="28"/>
        <v>--</v>
      </c>
      <c r="DV43" s="231"/>
      <c r="DW43" s="230"/>
      <c r="DX43" s="232"/>
      <c r="DY43" s="247" t="str">
        <f t="shared" si="53"/>
        <v>--</v>
      </c>
      <c r="DZ43" s="231"/>
      <c r="EA43" s="481"/>
      <c r="EB43" s="232"/>
      <c r="EC43" s="250" t="str">
        <f t="shared" si="65"/>
        <v>--</v>
      </c>
      <c r="ED43" s="231"/>
      <c r="EE43" s="230"/>
      <c r="EF43" s="232"/>
      <c r="EG43" s="250" t="str">
        <f>CONCATENATE(ED43,"-",EE43,"-",EF43)</f>
        <v>--</v>
      </c>
      <c r="EH43" s="332"/>
      <c r="EI43" s="254"/>
      <c r="EJ43" s="264"/>
      <c r="EK43" s="250" t="str">
        <f t="shared" si="29"/>
        <v>--</v>
      </c>
      <c r="EL43" s="332"/>
      <c r="EM43" s="254"/>
      <c r="EN43" s="264"/>
      <c r="EO43" s="250" t="str">
        <f t="shared" si="30"/>
        <v>--</v>
      </c>
    </row>
    <row r="44" spans="1:145" ht="26.25" thickBot="1" x14ac:dyDescent="0.3">
      <c r="U44" s="237">
        <v>42</v>
      </c>
      <c r="V44" s="231"/>
      <c r="W44" s="230"/>
      <c r="X44" s="232"/>
      <c r="Y44" s="247" t="str">
        <f t="shared" si="62"/>
        <v>--</v>
      </c>
      <c r="Z44" s="231"/>
      <c r="AA44" s="230"/>
      <c r="AB44" s="270"/>
      <c r="AC44" s="272" t="str">
        <f t="shared" si="38"/>
        <v>--</v>
      </c>
      <c r="AD44" s="387">
        <v>912</v>
      </c>
      <c r="AE44" s="254" t="s">
        <v>1284</v>
      </c>
      <c r="AF44" s="277" t="s">
        <v>1284</v>
      </c>
      <c r="AG44" s="249" t="str">
        <f t="shared" si="5"/>
        <v>912-SICOFE - DWH-SICOFE - DWH</v>
      </c>
      <c r="AH44" s="244"/>
      <c r="AI44" s="243"/>
      <c r="AJ44" s="232"/>
      <c r="AK44" s="233" t="str">
        <f t="shared" si="33"/>
        <v>--</v>
      </c>
      <c r="AL44" s="231"/>
      <c r="AM44" s="230"/>
      <c r="AN44" s="232"/>
      <c r="AO44" s="233" t="str">
        <f t="shared" si="63"/>
        <v>--</v>
      </c>
      <c r="AP44" s="231"/>
      <c r="AQ44" s="230"/>
      <c r="AR44" s="232"/>
      <c r="AS44" s="250" t="str">
        <f t="shared" si="60"/>
        <v>--</v>
      </c>
      <c r="AT44" s="231"/>
      <c r="AU44" s="230"/>
      <c r="AV44" s="232"/>
      <c r="AW44" s="247" t="str">
        <f t="shared" si="22"/>
        <v>--</v>
      </c>
      <c r="AX44" s="258"/>
      <c r="AY44" s="254"/>
      <c r="AZ44" s="286"/>
      <c r="BA44" s="233" t="str">
        <f t="shared" si="42"/>
        <v>--</v>
      </c>
      <c r="BB44" s="238"/>
      <c r="BC44" s="226"/>
      <c r="BD44" s="234"/>
      <c r="BE44" s="233" t="str">
        <f t="shared" ref="BE44:BE64" si="67">CONCATENATE(BB44,"-",BC44,"-",BD44)</f>
        <v>--</v>
      </c>
      <c r="BF44" s="238"/>
      <c r="BG44" s="226"/>
      <c r="BH44" s="234"/>
      <c r="BI44" s="457" t="str">
        <f t="shared" si="64"/>
        <v>--</v>
      </c>
      <c r="BJ44" s="238"/>
      <c r="BK44" s="226"/>
      <c r="BL44" s="232"/>
      <c r="BM44" s="247" t="str">
        <f t="shared" si="49"/>
        <v>--</v>
      </c>
      <c r="BN44" s="231"/>
      <c r="BO44" s="230"/>
      <c r="BP44" s="232"/>
      <c r="BQ44" s="247" t="str">
        <f t="shared" si="50"/>
        <v>--</v>
      </c>
      <c r="BR44" s="231"/>
      <c r="BS44" s="230"/>
      <c r="BT44" s="232"/>
      <c r="BU44" s="283" t="str">
        <f t="shared" si="34"/>
        <v>--</v>
      </c>
      <c r="BV44" s="395"/>
      <c r="BW44" s="396"/>
      <c r="BX44" s="396"/>
      <c r="BY44" s="233" t="str">
        <f t="shared" si="66"/>
        <v>--</v>
      </c>
      <c r="BZ44" s="238"/>
      <c r="CA44" s="226"/>
      <c r="CB44" s="234"/>
      <c r="CC44" s="233" t="str">
        <f t="shared" si="23"/>
        <v>--</v>
      </c>
      <c r="CD44" s="238"/>
      <c r="CE44" s="226"/>
      <c r="CF44" s="234"/>
      <c r="CG44" s="233" t="str">
        <f t="shared" si="46"/>
        <v>--</v>
      </c>
      <c r="CH44" s="238"/>
      <c r="CI44" s="226"/>
      <c r="CJ44" s="234"/>
      <c r="CK44" s="290" t="str">
        <f t="shared" si="24"/>
        <v>--</v>
      </c>
      <c r="CL44" s="238"/>
      <c r="CM44" s="226"/>
      <c r="CN44" s="230"/>
      <c r="CO44" s="250" t="str">
        <f t="shared" si="36"/>
        <v>--</v>
      </c>
      <c r="CP44" s="231"/>
      <c r="CQ44" s="230"/>
      <c r="CR44" s="232"/>
      <c r="CS44" s="250" t="str">
        <f t="shared" si="25"/>
        <v>--</v>
      </c>
      <c r="CT44" s="231"/>
      <c r="CU44" s="230"/>
      <c r="CV44" s="232"/>
      <c r="CW44" s="283" t="str">
        <f t="shared" si="26"/>
        <v>--</v>
      </c>
      <c r="CX44" s="231"/>
      <c r="CY44" s="230"/>
      <c r="CZ44" s="232"/>
      <c r="DA44" s="250" t="str">
        <f t="shared" si="58"/>
        <v>--</v>
      </c>
      <c r="DB44" s="231"/>
      <c r="DC44" s="230"/>
      <c r="DD44" s="232"/>
      <c r="DE44" s="247" t="str">
        <f t="shared" si="32"/>
        <v>--</v>
      </c>
      <c r="DF44" s="332"/>
      <c r="DG44" s="254"/>
      <c r="DH44" s="264"/>
      <c r="DI44" s="250" t="str">
        <f t="shared" si="27"/>
        <v>--</v>
      </c>
      <c r="DJ44" s="231"/>
      <c r="DK44" s="230"/>
      <c r="DL44" s="232"/>
      <c r="DM44" s="250" t="str">
        <f t="shared" si="55"/>
        <v>--</v>
      </c>
      <c r="DN44" s="464"/>
      <c r="DO44" s="260"/>
      <c r="DP44" s="264"/>
      <c r="DQ44" s="247" t="str">
        <f t="shared" si="59"/>
        <v>--</v>
      </c>
      <c r="DR44" s="231"/>
      <c r="DS44" s="230"/>
      <c r="DT44" s="232"/>
      <c r="DU44" s="283" t="str">
        <f t="shared" si="28"/>
        <v>--</v>
      </c>
      <c r="DV44" s="231"/>
      <c r="DW44" s="230"/>
      <c r="DX44" s="232"/>
      <c r="DY44" s="247" t="str">
        <f t="shared" si="53"/>
        <v>--</v>
      </c>
      <c r="DZ44" s="231"/>
      <c r="EA44" s="230"/>
      <c r="EB44" s="232"/>
      <c r="EC44" s="250" t="str">
        <f t="shared" si="65"/>
        <v>--</v>
      </c>
      <c r="ED44" s="231"/>
      <c r="EE44" s="230"/>
      <c r="EF44" s="232"/>
      <c r="EG44" s="250" t="str">
        <f>CONCATENATE(ED44,"-",EE44,"-",EF44)</f>
        <v>--</v>
      </c>
      <c r="EH44" s="332"/>
      <c r="EI44" s="254"/>
      <c r="EJ44" s="264"/>
      <c r="EK44" s="250" t="str">
        <f t="shared" si="29"/>
        <v>--</v>
      </c>
      <c r="EL44" s="332"/>
      <c r="EM44" s="254"/>
      <c r="EN44" s="264"/>
      <c r="EO44" s="250" t="str">
        <f t="shared" si="30"/>
        <v>--</v>
      </c>
    </row>
    <row r="45" spans="1:145" ht="15.75" thickBot="1" x14ac:dyDescent="0.3">
      <c r="U45" s="237">
        <v>43</v>
      </c>
      <c r="V45" s="231"/>
      <c r="W45" s="230"/>
      <c r="X45" s="232"/>
      <c r="Y45" s="247" t="str">
        <f t="shared" si="62"/>
        <v>--</v>
      </c>
      <c r="Z45" s="231"/>
      <c r="AA45" s="230"/>
      <c r="AB45" s="270"/>
      <c r="AC45" s="272" t="str">
        <f t="shared" si="38"/>
        <v>--</v>
      </c>
      <c r="AD45" s="379">
        <v>913</v>
      </c>
      <c r="AE45" s="515" t="s">
        <v>1280</v>
      </c>
      <c r="AF45" s="516" t="s">
        <v>1281</v>
      </c>
      <c r="AG45" s="249" t="str">
        <f t="shared" si="5"/>
        <v>913-RNI-Revisión No Intrusiva</v>
      </c>
      <c r="AH45" s="244"/>
      <c r="AI45" s="243"/>
      <c r="AJ45" s="232"/>
      <c r="AK45" s="233" t="str">
        <f t="shared" si="33"/>
        <v>--</v>
      </c>
      <c r="AL45" s="231"/>
      <c r="AM45" s="230"/>
      <c r="AN45" s="232"/>
      <c r="AO45" s="233" t="str">
        <f t="shared" si="63"/>
        <v>--</v>
      </c>
      <c r="AP45" s="231"/>
      <c r="AQ45" s="230"/>
      <c r="AR45" s="232"/>
      <c r="AS45" s="250" t="str">
        <f t="shared" si="60"/>
        <v>--</v>
      </c>
      <c r="AT45" s="231"/>
      <c r="AU45" s="230"/>
      <c r="AV45" s="232"/>
      <c r="AW45" s="247" t="str">
        <f t="shared" si="22"/>
        <v>--</v>
      </c>
      <c r="AX45" s="258"/>
      <c r="AY45" s="254"/>
      <c r="AZ45" s="277"/>
      <c r="BA45" s="233" t="str">
        <f t="shared" si="42"/>
        <v>--</v>
      </c>
      <c r="BB45" s="238"/>
      <c r="BC45" s="226"/>
      <c r="BD45" s="234"/>
      <c r="BE45" s="233" t="str">
        <f t="shared" si="67"/>
        <v>--</v>
      </c>
      <c r="BF45" s="238"/>
      <c r="BG45" s="226"/>
      <c r="BH45" s="234"/>
      <c r="BI45" s="457" t="str">
        <f t="shared" si="64"/>
        <v>--</v>
      </c>
      <c r="BJ45" s="238"/>
      <c r="BK45" s="226"/>
      <c r="BL45" s="232"/>
      <c r="BM45" s="247" t="str">
        <f t="shared" si="49"/>
        <v>--</v>
      </c>
      <c r="BN45" s="231"/>
      <c r="BO45" s="230"/>
      <c r="BP45" s="232"/>
      <c r="BQ45" s="247" t="str">
        <f t="shared" si="50"/>
        <v>--</v>
      </c>
      <c r="BR45" s="231"/>
      <c r="BS45" s="230"/>
      <c r="BT45" s="232"/>
      <c r="BU45" s="283" t="str">
        <f t="shared" si="34"/>
        <v>--</v>
      </c>
      <c r="BV45" s="395"/>
      <c r="BW45" s="396"/>
      <c r="BX45" s="396"/>
      <c r="BY45" s="233" t="str">
        <f t="shared" si="66"/>
        <v>--</v>
      </c>
      <c r="BZ45" s="238"/>
      <c r="CA45" s="226"/>
      <c r="CB45" s="234"/>
      <c r="CC45" s="233" t="str">
        <f t="shared" si="23"/>
        <v>--</v>
      </c>
      <c r="CD45" s="238"/>
      <c r="CE45" s="226"/>
      <c r="CF45" s="234"/>
      <c r="CG45" s="233" t="str">
        <f t="shared" si="46"/>
        <v>--</v>
      </c>
      <c r="CH45" s="238"/>
      <c r="CI45" s="226"/>
      <c r="CJ45" s="234"/>
      <c r="CK45" s="290" t="str">
        <f t="shared" si="24"/>
        <v>--</v>
      </c>
      <c r="CL45" s="238"/>
      <c r="CM45" s="226"/>
      <c r="CN45" s="230"/>
      <c r="CO45" s="250" t="str">
        <f t="shared" si="36"/>
        <v>--</v>
      </c>
      <c r="CP45" s="231"/>
      <c r="CQ45" s="230"/>
      <c r="CR45" s="232"/>
      <c r="CS45" s="250" t="str">
        <f t="shared" si="25"/>
        <v>--</v>
      </c>
      <c r="CT45" s="231"/>
      <c r="CU45" s="230"/>
      <c r="CV45" s="232"/>
      <c r="CW45" s="283" t="str">
        <f t="shared" si="26"/>
        <v>--</v>
      </c>
      <c r="CX45" s="231"/>
      <c r="CY45" s="230"/>
      <c r="CZ45" s="232"/>
      <c r="DA45" s="250" t="str">
        <f t="shared" si="58"/>
        <v>--</v>
      </c>
      <c r="DB45" s="231"/>
      <c r="DC45" s="230"/>
      <c r="DD45" s="232"/>
      <c r="DE45" s="247" t="str">
        <f t="shared" si="32"/>
        <v>--</v>
      </c>
      <c r="DF45" s="231"/>
      <c r="DG45" s="230"/>
      <c r="DH45" s="232"/>
      <c r="DI45" s="250" t="str">
        <f t="shared" si="27"/>
        <v>--</v>
      </c>
      <c r="DJ45" s="231"/>
      <c r="DK45" s="230"/>
      <c r="DL45" s="232"/>
      <c r="DM45" s="250" t="str">
        <f t="shared" si="55"/>
        <v>--</v>
      </c>
      <c r="DN45" s="267"/>
      <c r="DO45" s="260"/>
      <c r="DP45" s="264"/>
      <c r="DQ45" s="247" t="str">
        <f t="shared" si="59"/>
        <v>--</v>
      </c>
      <c r="DR45" s="231"/>
      <c r="DS45" s="230"/>
      <c r="DT45" s="232"/>
      <c r="DU45" s="283" t="str">
        <f t="shared" si="28"/>
        <v>--</v>
      </c>
      <c r="DV45" s="231"/>
      <c r="DW45" s="230"/>
      <c r="DX45" s="232"/>
      <c r="DY45" s="247" t="str">
        <f t="shared" si="53"/>
        <v>--</v>
      </c>
      <c r="DZ45" s="231"/>
      <c r="EA45" s="230"/>
      <c r="EB45" s="232"/>
      <c r="EC45" s="250" t="str">
        <f t="shared" si="65"/>
        <v>--</v>
      </c>
      <c r="ED45" s="231"/>
      <c r="EE45" s="230"/>
      <c r="EF45" s="232"/>
      <c r="EG45" s="250" t="str">
        <f>CONCATENATE(ED45,"-",EE45,"-",EF45)</f>
        <v>--</v>
      </c>
      <c r="EH45" s="231"/>
      <c r="EI45" s="230"/>
      <c r="EJ45" s="232"/>
      <c r="EK45" s="250" t="str">
        <f t="shared" si="29"/>
        <v>--</v>
      </c>
      <c r="EL45" s="231"/>
      <c r="EM45" s="230"/>
      <c r="EN45" s="232"/>
      <c r="EO45" s="250" t="str">
        <f t="shared" si="30"/>
        <v>--</v>
      </c>
    </row>
    <row r="46" spans="1:145" ht="15.75" thickBot="1" x14ac:dyDescent="0.3">
      <c r="U46" s="237">
        <v>44</v>
      </c>
      <c r="V46" s="231"/>
      <c r="W46" s="230"/>
      <c r="X46" s="232"/>
      <c r="Y46" s="247" t="str">
        <f t="shared" si="62"/>
        <v>--</v>
      </c>
      <c r="Z46" s="231"/>
      <c r="AA46" s="230"/>
      <c r="AB46" s="270"/>
      <c r="AC46" s="272" t="str">
        <f t="shared" si="38"/>
        <v>--</v>
      </c>
      <c r="AD46" s="387">
        <v>922</v>
      </c>
      <c r="AE46" s="260" t="s">
        <v>1311</v>
      </c>
      <c r="AF46" s="264" t="s">
        <v>1311</v>
      </c>
      <c r="AG46" s="249" t="str">
        <f t="shared" si="5"/>
        <v>922-APIS-DWH-APIS-DWH</v>
      </c>
      <c r="AH46" s="244"/>
      <c r="AI46" s="243"/>
      <c r="AJ46" s="232"/>
      <c r="AK46" s="233" t="str">
        <f t="shared" si="33"/>
        <v>--</v>
      </c>
      <c r="AL46" s="231"/>
      <c r="AM46" s="230"/>
      <c r="AN46" s="232"/>
      <c r="AO46" s="233" t="str">
        <f t="shared" si="63"/>
        <v>--</v>
      </c>
      <c r="AP46" s="231"/>
      <c r="AQ46" s="230"/>
      <c r="AR46" s="232"/>
      <c r="AS46" s="250" t="str">
        <f t="shared" si="60"/>
        <v>--</v>
      </c>
      <c r="AT46" s="231"/>
      <c r="AU46" s="230"/>
      <c r="AV46" s="232"/>
      <c r="AW46" s="247" t="str">
        <f t="shared" si="22"/>
        <v>--</v>
      </c>
      <c r="AX46" s="258"/>
      <c r="AY46" s="254"/>
      <c r="AZ46" s="277"/>
      <c r="BA46" s="233" t="str">
        <f t="shared" ref="BA46:BA67" si="68">CONCATENATE(AX46,"-",AY46,"-",AZ46)</f>
        <v>--</v>
      </c>
      <c r="BB46" s="238"/>
      <c r="BC46" s="226"/>
      <c r="BD46" s="234"/>
      <c r="BE46" s="233" t="str">
        <f t="shared" si="67"/>
        <v>--</v>
      </c>
      <c r="BF46" s="238"/>
      <c r="BG46" s="226"/>
      <c r="BH46" s="234"/>
      <c r="BI46" s="457" t="str">
        <f t="shared" si="64"/>
        <v>--</v>
      </c>
      <c r="BJ46" s="238"/>
      <c r="BK46" s="226"/>
      <c r="BL46" s="232"/>
      <c r="BM46" s="247" t="str">
        <f t="shared" si="49"/>
        <v>--</v>
      </c>
      <c r="BN46" s="231"/>
      <c r="BO46" s="230"/>
      <c r="BP46" s="232"/>
      <c r="BQ46" s="247" t="str">
        <f t="shared" si="50"/>
        <v>--</v>
      </c>
      <c r="BR46" s="231"/>
      <c r="BS46" s="230"/>
      <c r="BT46" s="232"/>
      <c r="BU46" s="283" t="str">
        <f t="shared" si="34"/>
        <v>--</v>
      </c>
      <c r="BV46" s="395"/>
      <c r="BW46" s="396"/>
      <c r="BX46" s="396"/>
      <c r="BY46" s="233" t="str">
        <f t="shared" si="66"/>
        <v>--</v>
      </c>
      <c r="BZ46" s="238"/>
      <c r="CA46" s="226"/>
      <c r="CB46" s="234"/>
      <c r="CC46" s="233" t="str">
        <f t="shared" si="23"/>
        <v>--</v>
      </c>
      <c r="CD46" s="238"/>
      <c r="CE46" s="226"/>
      <c r="CF46" s="234"/>
      <c r="CG46" s="233" t="str">
        <f t="shared" si="46"/>
        <v>--</v>
      </c>
      <c r="CH46" s="238"/>
      <c r="CI46" s="226"/>
      <c r="CJ46" s="234"/>
      <c r="CK46" s="290" t="str">
        <f t="shared" si="24"/>
        <v>--</v>
      </c>
      <c r="CL46" s="238"/>
      <c r="CM46" s="226"/>
      <c r="CN46" s="230"/>
      <c r="CO46" s="250" t="str">
        <f t="shared" si="36"/>
        <v>--</v>
      </c>
      <c r="CP46" s="231"/>
      <c r="CQ46" s="230"/>
      <c r="CR46" s="232"/>
      <c r="CS46" s="250" t="str">
        <f t="shared" si="25"/>
        <v>--</v>
      </c>
      <c r="CT46" s="231"/>
      <c r="CU46" s="230"/>
      <c r="CV46" s="232"/>
      <c r="CW46" s="283" t="str">
        <f t="shared" si="26"/>
        <v>--</v>
      </c>
      <c r="CX46" s="231"/>
      <c r="CY46" s="230"/>
      <c r="CZ46" s="232"/>
      <c r="DA46" s="250" t="str">
        <f t="shared" si="58"/>
        <v>--</v>
      </c>
      <c r="DB46" s="231"/>
      <c r="DC46" s="230"/>
      <c r="DD46" s="232"/>
      <c r="DE46" s="247" t="str">
        <f t="shared" si="32"/>
        <v>--</v>
      </c>
      <c r="DF46" s="231"/>
      <c r="DG46" s="230"/>
      <c r="DH46" s="232"/>
      <c r="DI46" s="250" t="str">
        <f t="shared" si="27"/>
        <v>--</v>
      </c>
      <c r="DJ46" s="231"/>
      <c r="DK46" s="230"/>
      <c r="DL46" s="232"/>
      <c r="DM46" s="250" t="str">
        <f t="shared" si="55"/>
        <v>--</v>
      </c>
      <c r="DN46" s="267"/>
      <c r="DO46" s="260"/>
      <c r="DP46" s="540"/>
      <c r="DQ46" s="247" t="str">
        <f t="shared" si="59"/>
        <v>--</v>
      </c>
      <c r="DR46" s="231"/>
      <c r="DS46" s="230"/>
      <c r="DT46" s="232"/>
      <c r="DU46" s="283" t="str">
        <f t="shared" si="28"/>
        <v>--</v>
      </c>
      <c r="DV46" s="231"/>
      <c r="DW46" s="230"/>
      <c r="DX46" s="232"/>
      <c r="DY46" s="247" t="str">
        <f t="shared" si="53"/>
        <v>--</v>
      </c>
      <c r="DZ46" s="231"/>
      <c r="EA46" s="230"/>
      <c r="EB46" s="232"/>
      <c r="EC46" s="250" t="str">
        <f t="shared" si="65"/>
        <v>--</v>
      </c>
      <c r="ED46" s="231"/>
      <c r="EE46" s="230"/>
      <c r="EF46" s="232"/>
      <c r="EG46" s="250" t="str">
        <f t="shared" ref="EG46:EG67" si="69">CONCATENATE(ED46,"-",EE46,"-",EF46)</f>
        <v>--</v>
      </c>
      <c r="EH46" s="231"/>
      <c r="EI46" s="230"/>
      <c r="EJ46" s="232"/>
      <c r="EK46" s="250" t="str">
        <f t="shared" si="29"/>
        <v>--</v>
      </c>
      <c r="EL46" s="231"/>
      <c r="EM46" s="230"/>
      <c r="EN46" s="232"/>
      <c r="EO46" s="250" t="str">
        <f t="shared" si="30"/>
        <v>--</v>
      </c>
    </row>
    <row r="47" spans="1:145" ht="26.25" thickBot="1" x14ac:dyDescent="0.3">
      <c r="U47" s="237">
        <v>45</v>
      </c>
      <c r="V47" s="231"/>
      <c r="W47" s="230"/>
      <c r="X47" s="232"/>
      <c r="Y47" s="247" t="str">
        <f t="shared" si="62"/>
        <v>--</v>
      </c>
      <c r="Z47" s="231"/>
      <c r="AA47" s="230"/>
      <c r="AB47" s="270"/>
      <c r="AC47" s="272" t="str">
        <f t="shared" si="38"/>
        <v>--</v>
      </c>
      <c r="AD47" s="387">
        <v>948</v>
      </c>
      <c r="AE47" s="472" t="s">
        <v>1429</v>
      </c>
      <c r="AF47" s="264" t="s">
        <v>1430</v>
      </c>
      <c r="AG47" s="249" t="str">
        <f t="shared" si="5"/>
        <v>948-DAE-Despacho Anticipado a la Exportación</v>
      </c>
      <c r="AH47" s="244"/>
      <c r="AI47" s="243"/>
      <c r="AJ47" s="232"/>
      <c r="AK47" s="233" t="str">
        <f t="shared" si="33"/>
        <v>--</v>
      </c>
      <c r="AL47" s="231"/>
      <c r="AM47" s="230"/>
      <c r="AN47" s="232"/>
      <c r="AO47" s="233" t="str">
        <f t="shared" si="63"/>
        <v>--</v>
      </c>
      <c r="AP47" s="231"/>
      <c r="AQ47" s="230"/>
      <c r="AR47" s="232"/>
      <c r="AS47" s="250" t="str">
        <f t="shared" si="60"/>
        <v>--</v>
      </c>
      <c r="AT47" s="231"/>
      <c r="AU47" s="230"/>
      <c r="AV47" s="232"/>
      <c r="AW47" s="247" t="str">
        <f t="shared" si="22"/>
        <v>--</v>
      </c>
      <c r="AX47" s="258"/>
      <c r="AY47" s="254"/>
      <c r="AZ47" s="277"/>
      <c r="BA47" s="233" t="str">
        <f t="shared" si="68"/>
        <v>--</v>
      </c>
      <c r="BB47" s="238"/>
      <c r="BC47" s="226"/>
      <c r="BD47" s="234"/>
      <c r="BE47" s="233" t="str">
        <f t="shared" si="67"/>
        <v>--</v>
      </c>
      <c r="BF47" s="231"/>
      <c r="BG47" s="230"/>
      <c r="BH47" s="234"/>
      <c r="BI47" s="457" t="str">
        <f t="shared" si="64"/>
        <v>--</v>
      </c>
      <c r="BJ47" s="238"/>
      <c r="BK47" s="226"/>
      <c r="BL47" s="232"/>
      <c r="BM47" s="247" t="str">
        <f t="shared" si="49"/>
        <v>--</v>
      </c>
      <c r="BN47" s="231"/>
      <c r="BO47" s="230"/>
      <c r="BP47" s="232"/>
      <c r="BQ47" s="247" t="str">
        <f t="shared" si="50"/>
        <v>--</v>
      </c>
      <c r="BR47" s="231"/>
      <c r="BS47" s="230"/>
      <c r="BT47" s="232"/>
      <c r="BU47" s="283" t="str">
        <f t="shared" si="34"/>
        <v>--</v>
      </c>
      <c r="BV47" s="395"/>
      <c r="BW47" s="396"/>
      <c r="BX47" s="396"/>
      <c r="BY47" s="233" t="str">
        <f t="shared" si="66"/>
        <v>--</v>
      </c>
      <c r="BZ47" s="238"/>
      <c r="CA47" s="226"/>
      <c r="CB47" s="234"/>
      <c r="CC47" s="233" t="str">
        <f t="shared" si="23"/>
        <v>--</v>
      </c>
      <c r="CD47" s="238"/>
      <c r="CE47" s="226"/>
      <c r="CF47" s="234"/>
      <c r="CG47" s="233" t="str">
        <f t="shared" si="46"/>
        <v>--</v>
      </c>
      <c r="CH47" s="238"/>
      <c r="CI47" s="226"/>
      <c r="CJ47" s="234"/>
      <c r="CK47" s="290" t="str">
        <f t="shared" si="24"/>
        <v>--</v>
      </c>
      <c r="CL47" s="238"/>
      <c r="CM47" s="226"/>
      <c r="CN47" s="230"/>
      <c r="CO47" s="250" t="str">
        <f t="shared" si="36"/>
        <v>--</v>
      </c>
      <c r="CP47" s="231"/>
      <c r="CQ47" s="230"/>
      <c r="CR47" s="232"/>
      <c r="CS47" s="250" t="str">
        <f t="shared" si="25"/>
        <v>--</v>
      </c>
      <c r="CT47" s="231"/>
      <c r="CU47" s="230"/>
      <c r="CV47" s="232"/>
      <c r="CW47" s="283" t="str">
        <f t="shared" si="26"/>
        <v>--</v>
      </c>
      <c r="CX47" s="231"/>
      <c r="CY47" s="230"/>
      <c r="CZ47" s="232"/>
      <c r="DA47" s="250" t="str">
        <f t="shared" si="58"/>
        <v>--</v>
      </c>
      <c r="DB47" s="231"/>
      <c r="DC47" s="230"/>
      <c r="DD47" s="232"/>
      <c r="DE47" s="247" t="str">
        <f t="shared" si="32"/>
        <v>--</v>
      </c>
      <c r="DF47" s="231"/>
      <c r="DG47" s="230"/>
      <c r="DH47" s="232"/>
      <c r="DI47" s="250" t="str">
        <f t="shared" si="27"/>
        <v>--</v>
      </c>
      <c r="DJ47" s="231"/>
      <c r="DK47" s="230"/>
      <c r="DL47" s="232"/>
      <c r="DM47" s="250" t="str">
        <f t="shared" si="55"/>
        <v>--</v>
      </c>
      <c r="DN47" s="395"/>
      <c r="DO47" s="396"/>
      <c r="DP47" s="396"/>
      <c r="DQ47" s="247" t="str">
        <f t="shared" ref="DQ47:DQ67" si="70">CONCATENATE(DN47,"-",DO47,"-",DP47)</f>
        <v>--</v>
      </c>
      <c r="DR47" s="231"/>
      <c r="DS47" s="230"/>
      <c r="DT47" s="232"/>
      <c r="DU47" s="283" t="str">
        <f t="shared" si="28"/>
        <v>--</v>
      </c>
      <c r="DV47" s="231"/>
      <c r="DW47" s="230"/>
      <c r="DX47" s="232"/>
      <c r="DY47" s="247" t="str">
        <f t="shared" si="53"/>
        <v>--</v>
      </c>
      <c r="DZ47" s="231"/>
      <c r="EA47" s="230"/>
      <c r="EB47" s="232"/>
      <c r="EC47" s="250" t="str">
        <f t="shared" si="65"/>
        <v>--</v>
      </c>
      <c r="ED47" s="231"/>
      <c r="EE47" s="230"/>
      <c r="EF47" s="232"/>
      <c r="EG47" s="250" t="str">
        <f t="shared" si="69"/>
        <v>--</v>
      </c>
      <c r="EH47" s="231"/>
      <c r="EI47" s="230"/>
      <c r="EJ47" s="232"/>
      <c r="EK47" s="250" t="str">
        <f t="shared" si="29"/>
        <v>--</v>
      </c>
      <c r="EL47" s="231"/>
      <c r="EM47" s="230"/>
      <c r="EN47" s="232"/>
      <c r="EO47" s="250" t="str">
        <f t="shared" si="30"/>
        <v>--</v>
      </c>
    </row>
    <row r="48" spans="1:145" ht="26.25" thickBot="1" x14ac:dyDescent="0.3">
      <c r="U48" s="237">
        <v>46</v>
      </c>
      <c r="V48" s="231"/>
      <c r="W48" s="230"/>
      <c r="X48" s="232"/>
      <c r="Y48" s="247" t="str">
        <f t="shared" si="62"/>
        <v>--</v>
      </c>
      <c r="Z48" s="231"/>
      <c r="AA48" s="230"/>
      <c r="AB48" s="270"/>
      <c r="AC48" s="272" t="str">
        <f t="shared" si="38"/>
        <v>--</v>
      </c>
      <c r="AD48" s="387">
        <v>957</v>
      </c>
      <c r="AE48" s="260" t="s">
        <v>1431</v>
      </c>
      <c r="AF48" s="264" t="s">
        <v>1443</v>
      </c>
      <c r="AG48" s="249" t="str">
        <f t="shared" si="5"/>
        <v>957-SSP- REPUVE-Entrega de Pedimentos Vehiculos - SSP</v>
      </c>
      <c r="AH48" s="244"/>
      <c r="AI48" s="243"/>
      <c r="AJ48" s="232"/>
      <c r="AK48" s="233" t="str">
        <f t="shared" si="33"/>
        <v>--</v>
      </c>
      <c r="AL48" s="231"/>
      <c r="AM48" s="230"/>
      <c r="AN48" s="232"/>
      <c r="AO48" s="233" t="str">
        <f t="shared" ref="AO48:AO68" si="71">CONCATENATE(AL48,"-",AM48,"-",AN48)</f>
        <v>--</v>
      </c>
      <c r="AP48" s="231"/>
      <c r="AQ48" s="230"/>
      <c r="AR48" s="232"/>
      <c r="AS48" s="250" t="str">
        <f t="shared" si="60"/>
        <v>--</v>
      </c>
      <c r="AT48" s="231"/>
      <c r="AU48" s="230"/>
      <c r="AV48" s="232"/>
      <c r="AW48" s="247" t="str">
        <f t="shared" si="22"/>
        <v>--</v>
      </c>
      <c r="AX48" s="258"/>
      <c r="AY48" s="254"/>
      <c r="AZ48" s="277"/>
      <c r="BA48" s="233" t="str">
        <f t="shared" si="68"/>
        <v>--</v>
      </c>
      <c r="BB48" s="238"/>
      <c r="BC48" s="226"/>
      <c r="BD48" s="232"/>
      <c r="BE48" s="233" t="str">
        <f t="shared" si="67"/>
        <v>--</v>
      </c>
      <c r="BF48" s="238"/>
      <c r="BG48" s="226"/>
      <c r="BH48" s="234"/>
      <c r="BI48" s="457" t="str">
        <f t="shared" si="64"/>
        <v>--</v>
      </c>
      <c r="BJ48" s="238"/>
      <c r="BK48" s="226"/>
      <c r="BL48" s="232"/>
      <c r="BM48" s="247" t="str">
        <f t="shared" si="49"/>
        <v>--</v>
      </c>
      <c r="BN48" s="231"/>
      <c r="BO48" s="230"/>
      <c r="BP48" s="232"/>
      <c r="BQ48" s="247" t="str">
        <f t="shared" si="50"/>
        <v>--</v>
      </c>
      <c r="BR48" s="231"/>
      <c r="BS48" s="230"/>
      <c r="BT48" s="232"/>
      <c r="BU48" s="283" t="str">
        <f t="shared" si="34"/>
        <v>--</v>
      </c>
      <c r="BV48" s="231"/>
      <c r="BW48" s="230"/>
      <c r="BX48" s="232"/>
      <c r="BY48" s="233" t="str">
        <f t="shared" si="66"/>
        <v>--</v>
      </c>
      <c r="BZ48" s="238"/>
      <c r="CA48" s="226"/>
      <c r="CB48" s="234"/>
      <c r="CC48" s="233" t="str">
        <f t="shared" si="23"/>
        <v>--</v>
      </c>
      <c r="CD48" s="238"/>
      <c r="CE48" s="226"/>
      <c r="CF48" s="234"/>
      <c r="CG48" s="233" t="str">
        <f t="shared" si="46"/>
        <v>--</v>
      </c>
      <c r="CH48" s="238"/>
      <c r="CI48" s="226"/>
      <c r="CJ48" s="234"/>
      <c r="CK48" s="290" t="str">
        <f t="shared" si="24"/>
        <v>--</v>
      </c>
      <c r="CL48" s="238"/>
      <c r="CM48" s="226"/>
      <c r="CN48" s="230"/>
      <c r="CO48" s="250" t="str">
        <f t="shared" si="36"/>
        <v>--</v>
      </c>
      <c r="CP48" s="231"/>
      <c r="CQ48" s="230"/>
      <c r="CR48" s="232"/>
      <c r="CS48" s="250" t="str">
        <f t="shared" si="25"/>
        <v>--</v>
      </c>
      <c r="CT48" s="231"/>
      <c r="CU48" s="230"/>
      <c r="CV48" s="232"/>
      <c r="CW48" s="283" t="str">
        <f t="shared" si="26"/>
        <v>--</v>
      </c>
      <c r="CX48" s="231"/>
      <c r="CY48" s="230"/>
      <c r="CZ48" s="232"/>
      <c r="DA48" s="250" t="str">
        <f t="shared" si="58"/>
        <v>--</v>
      </c>
      <c r="DB48" s="231"/>
      <c r="DC48" s="230"/>
      <c r="DD48" s="232"/>
      <c r="DE48" s="247" t="str">
        <f t="shared" si="32"/>
        <v>--</v>
      </c>
      <c r="DF48" s="332"/>
      <c r="DG48" s="254"/>
      <c r="DH48" s="264"/>
      <c r="DI48" s="250" t="str">
        <f t="shared" si="27"/>
        <v>--</v>
      </c>
      <c r="DJ48" s="231"/>
      <c r="DK48" s="230"/>
      <c r="DL48" s="232"/>
      <c r="DM48" s="250" t="str">
        <f t="shared" si="55"/>
        <v>--</v>
      </c>
      <c r="DN48" s="395"/>
      <c r="DO48" s="396"/>
      <c r="DP48" s="396"/>
      <c r="DQ48" s="247" t="str">
        <f t="shared" si="70"/>
        <v>--</v>
      </c>
      <c r="DR48" s="231"/>
      <c r="DS48" s="230"/>
      <c r="DT48" s="232"/>
      <c r="DU48" s="283" t="str">
        <f t="shared" si="28"/>
        <v>--</v>
      </c>
      <c r="DV48" s="231"/>
      <c r="DW48" s="230"/>
      <c r="DX48" s="232"/>
      <c r="DY48" s="247" t="str">
        <f t="shared" si="53"/>
        <v>--</v>
      </c>
      <c r="DZ48" s="231"/>
      <c r="EA48" s="230"/>
      <c r="EB48" s="232"/>
      <c r="EC48" s="250" t="str">
        <f t="shared" si="65"/>
        <v>--</v>
      </c>
      <c r="ED48" s="231"/>
      <c r="EE48" s="230"/>
      <c r="EF48" s="232"/>
      <c r="EG48" s="250" t="str">
        <f t="shared" si="69"/>
        <v>--</v>
      </c>
      <c r="EH48" s="332"/>
      <c r="EI48" s="254"/>
      <c r="EJ48" s="264"/>
      <c r="EK48" s="250" t="str">
        <f t="shared" si="29"/>
        <v>--</v>
      </c>
      <c r="EL48" s="332"/>
      <c r="EM48" s="254"/>
      <c r="EN48" s="264"/>
      <c r="EO48" s="250" t="str">
        <f t="shared" si="30"/>
        <v>--</v>
      </c>
    </row>
    <row r="49" spans="21:145" ht="15.75" thickBot="1" x14ac:dyDescent="0.3">
      <c r="U49" s="237">
        <v>47</v>
      </c>
      <c r="V49" s="231"/>
      <c r="W49" s="230"/>
      <c r="X49" s="232"/>
      <c r="Y49" s="247" t="str">
        <f t="shared" si="62"/>
        <v>--</v>
      </c>
      <c r="Z49" s="231"/>
      <c r="AA49" s="230"/>
      <c r="AB49" s="270"/>
      <c r="AC49" s="272" t="str">
        <f t="shared" si="38"/>
        <v>--</v>
      </c>
      <c r="AD49" s="387">
        <v>973</v>
      </c>
      <c r="AE49" s="260" t="s">
        <v>1432</v>
      </c>
      <c r="AF49" s="264" t="s">
        <v>1432</v>
      </c>
      <c r="AG49" s="249" t="str">
        <f t="shared" si="5"/>
        <v>973-ITN-DWH-ITN-DWH</v>
      </c>
      <c r="AH49" s="244"/>
      <c r="AI49" s="243"/>
      <c r="AJ49" s="232"/>
      <c r="AK49" s="233" t="str">
        <f t="shared" si="33"/>
        <v>--</v>
      </c>
      <c r="AL49" s="231"/>
      <c r="AM49" s="230"/>
      <c r="AN49" s="232"/>
      <c r="AO49" s="233" t="str">
        <f t="shared" si="71"/>
        <v>--</v>
      </c>
      <c r="AP49" s="231"/>
      <c r="AQ49" s="230"/>
      <c r="AR49" s="232"/>
      <c r="AS49" s="250" t="str">
        <f t="shared" si="60"/>
        <v>--</v>
      </c>
      <c r="AT49" s="231"/>
      <c r="AU49" s="230"/>
      <c r="AV49" s="232"/>
      <c r="AW49" s="247" t="str">
        <f t="shared" si="22"/>
        <v>--</v>
      </c>
      <c r="AX49" s="395"/>
      <c r="AY49" s="396"/>
      <c r="AZ49" s="396"/>
      <c r="BA49" s="233" t="str">
        <f t="shared" si="68"/>
        <v>--</v>
      </c>
      <c r="BB49" s="238"/>
      <c r="BC49" s="226"/>
      <c r="BD49" s="234"/>
      <c r="BE49" s="233" t="str">
        <f t="shared" si="67"/>
        <v>--</v>
      </c>
      <c r="BF49" s="238"/>
      <c r="BG49" s="226"/>
      <c r="BH49" s="234"/>
      <c r="BI49" s="457" t="str">
        <f t="shared" si="64"/>
        <v>--</v>
      </c>
      <c r="BJ49" s="238"/>
      <c r="BK49" s="226"/>
      <c r="BL49" s="232"/>
      <c r="BM49" s="247" t="str">
        <f t="shared" si="49"/>
        <v>--</v>
      </c>
      <c r="BN49" s="231"/>
      <c r="BO49" s="230"/>
      <c r="BP49" s="232"/>
      <c r="BQ49" s="247" t="str">
        <f t="shared" si="50"/>
        <v>--</v>
      </c>
      <c r="BR49" s="231"/>
      <c r="BS49" s="230"/>
      <c r="BT49" s="232"/>
      <c r="BU49" s="283" t="str">
        <f t="shared" si="34"/>
        <v>--</v>
      </c>
      <c r="BV49" s="231"/>
      <c r="BW49" s="230"/>
      <c r="BX49" s="232"/>
      <c r="BY49" s="233" t="str">
        <f t="shared" si="66"/>
        <v>--</v>
      </c>
      <c r="BZ49" s="244"/>
      <c r="CA49" s="243"/>
      <c r="CB49" s="234"/>
      <c r="CC49" s="233" t="str">
        <f t="shared" si="23"/>
        <v>--</v>
      </c>
      <c r="CD49" s="238"/>
      <c r="CE49" s="226"/>
      <c r="CF49" s="234"/>
      <c r="CG49" s="233" t="str">
        <f t="shared" si="46"/>
        <v>--</v>
      </c>
      <c r="CH49" s="238"/>
      <c r="CI49" s="226"/>
      <c r="CJ49" s="234"/>
      <c r="CK49" s="290" t="str">
        <f t="shared" si="24"/>
        <v>--</v>
      </c>
      <c r="CL49" s="238"/>
      <c r="CM49" s="226"/>
      <c r="CN49" s="230"/>
      <c r="CO49" s="250" t="str">
        <f t="shared" si="36"/>
        <v>--</v>
      </c>
      <c r="CP49" s="231"/>
      <c r="CQ49" s="230"/>
      <c r="CR49" s="232"/>
      <c r="CS49" s="250" t="str">
        <f t="shared" si="25"/>
        <v>--</v>
      </c>
      <c r="CT49" s="231"/>
      <c r="CU49" s="230"/>
      <c r="CV49" s="232"/>
      <c r="CW49" s="283" t="str">
        <f t="shared" si="26"/>
        <v>--</v>
      </c>
      <c r="CX49" s="231"/>
      <c r="CY49" s="230"/>
      <c r="CZ49" s="232"/>
      <c r="DA49" s="250" t="str">
        <f t="shared" si="58"/>
        <v>--</v>
      </c>
      <c r="DB49" s="231"/>
      <c r="DC49" s="230"/>
      <c r="DD49" s="232"/>
      <c r="DE49" s="247" t="str">
        <f t="shared" si="32"/>
        <v>--</v>
      </c>
      <c r="DF49" s="332"/>
      <c r="DG49" s="254"/>
      <c r="DH49" s="264"/>
      <c r="DI49" s="250" t="str">
        <f t="shared" si="27"/>
        <v>--</v>
      </c>
      <c r="DJ49" s="231"/>
      <c r="DK49" s="230"/>
      <c r="DL49" s="232"/>
      <c r="DM49" s="250" t="str">
        <f t="shared" si="55"/>
        <v>--</v>
      </c>
      <c r="DN49" s="395"/>
      <c r="DO49" s="396"/>
      <c r="DP49" s="396"/>
      <c r="DQ49" s="247" t="str">
        <f t="shared" si="70"/>
        <v>--</v>
      </c>
      <c r="DR49" s="231"/>
      <c r="DS49" s="230"/>
      <c r="DT49" s="232"/>
      <c r="DU49" s="283" t="str">
        <f t="shared" si="28"/>
        <v>--</v>
      </c>
      <c r="DV49" s="231"/>
      <c r="DW49" s="230"/>
      <c r="DX49" s="232"/>
      <c r="DY49" s="247" t="str">
        <f t="shared" si="53"/>
        <v>--</v>
      </c>
      <c r="DZ49" s="231"/>
      <c r="EA49" s="230"/>
      <c r="EB49" s="232"/>
      <c r="EC49" s="250" t="str">
        <f t="shared" si="65"/>
        <v>--</v>
      </c>
      <c r="ED49" s="231"/>
      <c r="EE49" s="230"/>
      <c r="EF49" s="232"/>
      <c r="EG49" s="250" t="str">
        <f t="shared" si="69"/>
        <v>--</v>
      </c>
      <c r="EH49" s="332"/>
      <c r="EI49" s="254"/>
      <c r="EJ49" s="264"/>
      <c r="EK49" s="250" t="str">
        <f t="shared" si="29"/>
        <v>--</v>
      </c>
      <c r="EL49" s="332"/>
      <c r="EM49" s="254"/>
      <c r="EN49" s="264"/>
      <c r="EO49" s="250" t="str">
        <f t="shared" si="30"/>
        <v>--</v>
      </c>
    </row>
    <row r="50" spans="21:145" ht="26.25" thickBot="1" x14ac:dyDescent="0.3">
      <c r="U50" s="237">
        <v>48</v>
      </c>
      <c r="V50" s="231"/>
      <c r="W50" s="230"/>
      <c r="X50" s="232"/>
      <c r="Y50" s="247" t="str">
        <f t="shared" si="62"/>
        <v>--</v>
      </c>
      <c r="Z50" s="231"/>
      <c r="AA50" s="230"/>
      <c r="AB50" s="270"/>
      <c r="AC50" s="272" t="str">
        <f t="shared" si="38"/>
        <v>--</v>
      </c>
      <c r="AD50" s="387">
        <v>974</v>
      </c>
      <c r="AE50" s="260" t="s">
        <v>1433</v>
      </c>
      <c r="AF50" s="264" t="s">
        <v>1433</v>
      </c>
      <c r="AG50" s="249" t="str">
        <f t="shared" si="5"/>
        <v>974-Inbounds-DWH-Inbounds-DWH</v>
      </c>
      <c r="AH50" s="244"/>
      <c r="AI50" s="243"/>
      <c r="AJ50" s="232"/>
      <c r="AK50" s="233" t="str">
        <f t="shared" si="33"/>
        <v>--</v>
      </c>
      <c r="AL50" s="231"/>
      <c r="AM50" s="230"/>
      <c r="AN50" s="232"/>
      <c r="AO50" s="233" t="str">
        <f t="shared" si="71"/>
        <v>--</v>
      </c>
      <c r="AP50" s="231"/>
      <c r="AQ50" s="230"/>
      <c r="AR50" s="232"/>
      <c r="AS50" s="250" t="str">
        <f t="shared" si="60"/>
        <v>--</v>
      </c>
      <c r="AT50" s="231"/>
      <c r="AU50" s="230"/>
      <c r="AV50" s="232"/>
      <c r="AW50" s="247" t="str">
        <f t="shared" si="22"/>
        <v>--</v>
      </c>
      <c r="AX50" s="281"/>
      <c r="AY50" s="260"/>
      <c r="AZ50" s="277"/>
      <c r="BA50" s="233" t="str">
        <f t="shared" si="68"/>
        <v>--</v>
      </c>
      <c r="BB50" s="244"/>
      <c r="BC50" s="243"/>
      <c r="BD50" s="234"/>
      <c r="BE50" s="233" t="str">
        <f t="shared" si="67"/>
        <v>--</v>
      </c>
      <c r="BF50" s="238"/>
      <c r="BG50" s="226"/>
      <c r="BH50" s="234"/>
      <c r="BI50" s="457" t="str">
        <f t="shared" si="64"/>
        <v>--</v>
      </c>
      <c r="BJ50" s="238"/>
      <c r="BK50" s="226"/>
      <c r="BL50" s="232"/>
      <c r="BM50" s="247" t="str">
        <f t="shared" si="49"/>
        <v>--</v>
      </c>
      <c r="BN50" s="231"/>
      <c r="BO50" s="230"/>
      <c r="BP50" s="232"/>
      <c r="BQ50" s="247" t="str">
        <f t="shared" si="50"/>
        <v>--</v>
      </c>
      <c r="BR50" s="231"/>
      <c r="BS50" s="230"/>
      <c r="BT50" s="232"/>
      <c r="BU50" s="283" t="str">
        <f t="shared" si="34"/>
        <v>--</v>
      </c>
      <c r="BV50" s="231"/>
      <c r="BW50" s="230"/>
      <c r="BX50" s="232"/>
      <c r="BY50" s="233" t="str">
        <f t="shared" si="66"/>
        <v>--</v>
      </c>
      <c r="BZ50" s="238"/>
      <c r="CA50" s="226"/>
      <c r="CB50" s="234"/>
      <c r="CC50" s="233" t="str">
        <f t="shared" si="23"/>
        <v>--</v>
      </c>
      <c r="CD50" s="238"/>
      <c r="CE50" s="226"/>
      <c r="CF50" s="234"/>
      <c r="CG50" s="233" t="str">
        <f t="shared" si="46"/>
        <v>--</v>
      </c>
      <c r="CH50" s="238"/>
      <c r="CI50" s="226"/>
      <c r="CJ50" s="234"/>
      <c r="CK50" s="290" t="str">
        <f t="shared" si="24"/>
        <v>--</v>
      </c>
      <c r="CL50" s="238"/>
      <c r="CM50" s="226"/>
      <c r="CN50" s="230"/>
      <c r="CO50" s="250" t="str">
        <f t="shared" si="36"/>
        <v>--</v>
      </c>
      <c r="CP50" s="231"/>
      <c r="CQ50" s="230"/>
      <c r="CR50" s="232"/>
      <c r="CS50" s="250" t="str">
        <f t="shared" si="25"/>
        <v>--</v>
      </c>
      <c r="CT50" s="231"/>
      <c r="CU50" s="230"/>
      <c r="CV50" s="232"/>
      <c r="CW50" s="283" t="str">
        <f t="shared" si="26"/>
        <v>--</v>
      </c>
      <c r="CX50" s="231"/>
      <c r="CY50" s="230"/>
      <c r="CZ50" s="232"/>
      <c r="DA50" s="250" t="str">
        <f t="shared" si="58"/>
        <v>--</v>
      </c>
      <c r="DB50" s="231"/>
      <c r="DC50" s="230"/>
      <c r="DD50" s="232"/>
      <c r="DE50" s="247" t="str">
        <f t="shared" si="32"/>
        <v>--</v>
      </c>
      <c r="DF50" s="231"/>
      <c r="DG50" s="230"/>
      <c r="DH50" s="232"/>
      <c r="DI50" s="250" t="str">
        <f t="shared" si="27"/>
        <v>--</v>
      </c>
      <c r="DJ50" s="231"/>
      <c r="DK50" s="230"/>
      <c r="DL50" s="232"/>
      <c r="DM50" s="250" t="str">
        <f t="shared" si="55"/>
        <v>--</v>
      </c>
      <c r="DN50" s="395"/>
      <c r="DO50" s="396"/>
      <c r="DP50" s="396"/>
      <c r="DQ50" s="247" t="str">
        <f t="shared" si="70"/>
        <v>--</v>
      </c>
      <c r="DR50" s="231"/>
      <c r="DS50" s="230"/>
      <c r="DT50" s="232"/>
      <c r="DU50" s="283" t="str">
        <f t="shared" si="28"/>
        <v>--</v>
      </c>
      <c r="DV50" s="231"/>
      <c r="DW50" s="230"/>
      <c r="DX50" s="232"/>
      <c r="DY50" s="247" t="str">
        <f t="shared" si="53"/>
        <v>--</v>
      </c>
      <c r="DZ50" s="231"/>
      <c r="EA50" s="230"/>
      <c r="EB50" s="232"/>
      <c r="EC50" s="250" t="str">
        <f t="shared" si="65"/>
        <v>--</v>
      </c>
      <c r="ED50" s="231"/>
      <c r="EE50" s="230"/>
      <c r="EF50" s="232"/>
      <c r="EG50" s="250" t="str">
        <f t="shared" si="69"/>
        <v>--</v>
      </c>
      <c r="EH50" s="231"/>
      <c r="EI50" s="230"/>
      <c r="EJ50" s="232"/>
      <c r="EK50" s="250" t="str">
        <f t="shared" si="29"/>
        <v>--</v>
      </c>
      <c r="EL50" s="231"/>
      <c r="EM50" s="230"/>
      <c r="EN50" s="232"/>
      <c r="EO50" s="250" t="str">
        <f t="shared" si="30"/>
        <v>--</v>
      </c>
    </row>
    <row r="51" spans="21:145" ht="26.25" thickBot="1" x14ac:dyDescent="0.3">
      <c r="U51" s="237">
        <v>49</v>
      </c>
      <c r="V51" s="231"/>
      <c r="W51" s="230"/>
      <c r="X51" s="232"/>
      <c r="Y51" s="247" t="str">
        <f t="shared" si="62"/>
        <v>--</v>
      </c>
      <c r="Z51" s="231"/>
      <c r="AA51" s="230"/>
      <c r="AB51" s="270"/>
      <c r="AC51" s="272" t="str">
        <f t="shared" si="38"/>
        <v>--</v>
      </c>
      <c r="AD51" s="387">
        <v>1457</v>
      </c>
      <c r="AE51" s="254" t="s">
        <v>1434</v>
      </c>
      <c r="AF51" s="277" t="s">
        <v>1442</v>
      </c>
      <c r="AG51" s="249" t="str">
        <f t="shared" si="5"/>
        <v>1457-SIA (Incidencias)-Sistema de Incidencias Automatizado</v>
      </c>
      <c r="AH51" s="244"/>
      <c r="AI51" s="243"/>
      <c r="AJ51" s="232"/>
      <c r="AK51" s="233" t="str">
        <f t="shared" si="33"/>
        <v>--</v>
      </c>
      <c r="AL51" s="231"/>
      <c r="AM51" s="230"/>
      <c r="AN51" s="232"/>
      <c r="AO51" s="233" t="str">
        <f t="shared" si="71"/>
        <v>--</v>
      </c>
      <c r="AP51" s="231"/>
      <c r="AQ51" s="230"/>
      <c r="AR51" s="232"/>
      <c r="AS51" s="250" t="str">
        <f t="shared" si="60"/>
        <v>--</v>
      </c>
      <c r="AT51" s="231"/>
      <c r="AU51" s="230"/>
      <c r="AV51" s="232"/>
      <c r="AW51" s="247" t="str">
        <f t="shared" si="22"/>
        <v>--</v>
      </c>
      <c r="AX51" s="261"/>
      <c r="AY51" s="284"/>
      <c r="AZ51" s="264"/>
      <c r="BA51" s="233" t="str">
        <f t="shared" si="68"/>
        <v>--</v>
      </c>
      <c r="BB51" s="238"/>
      <c r="BC51" s="226"/>
      <c r="BD51" s="234"/>
      <c r="BE51" s="233" t="str">
        <f t="shared" si="67"/>
        <v>--</v>
      </c>
      <c r="BF51" s="244"/>
      <c r="BG51" s="243"/>
      <c r="BH51" s="235"/>
      <c r="BI51" s="457" t="str">
        <f t="shared" si="64"/>
        <v>--</v>
      </c>
      <c r="BJ51" s="238"/>
      <c r="BK51" s="226"/>
      <c r="BL51" s="232"/>
      <c r="BM51" s="247" t="str">
        <f t="shared" si="49"/>
        <v>--</v>
      </c>
      <c r="BN51" s="231"/>
      <c r="BO51" s="230"/>
      <c r="BP51" s="232"/>
      <c r="BQ51" s="247" t="str">
        <f t="shared" si="50"/>
        <v>--</v>
      </c>
      <c r="BR51" s="231"/>
      <c r="BS51" s="230"/>
      <c r="BT51" s="232"/>
      <c r="BU51" s="283" t="str">
        <f t="shared" si="34"/>
        <v>--</v>
      </c>
      <c r="BV51" s="267"/>
      <c r="BW51" s="260"/>
      <c r="BX51" s="234"/>
      <c r="BY51" s="233" t="str">
        <f t="shared" si="66"/>
        <v>--</v>
      </c>
      <c r="BZ51" s="238"/>
      <c r="CA51" s="226"/>
      <c r="CB51" s="232"/>
      <c r="CC51" s="233" t="str">
        <f t="shared" si="23"/>
        <v>--</v>
      </c>
      <c r="CD51" s="231"/>
      <c r="CE51" s="230"/>
      <c r="CF51" s="232"/>
      <c r="CG51" s="233" t="str">
        <f t="shared" si="46"/>
        <v>--</v>
      </c>
      <c r="CH51" s="231"/>
      <c r="CI51" s="230"/>
      <c r="CJ51" s="232"/>
      <c r="CK51" s="290" t="str">
        <f t="shared" si="24"/>
        <v>--</v>
      </c>
      <c r="CL51" s="231"/>
      <c r="CM51" s="230"/>
      <c r="CN51" s="230"/>
      <c r="CO51" s="250" t="str">
        <f t="shared" si="36"/>
        <v>--</v>
      </c>
      <c r="CP51" s="231"/>
      <c r="CQ51" s="230"/>
      <c r="CR51" s="232"/>
      <c r="CS51" s="250" t="str">
        <f t="shared" si="25"/>
        <v>--</v>
      </c>
      <c r="CT51" s="231"/>
      <c r="CU51" s="230"/>
      <c r="CV51" s="232"/>
      <c r="CW51" s="283" t="str">
        <f t="shared" si="26"/>
        <v>--</v>
      </c>
      <c r="CX51" s="231"/>
      <c r="CY51" s="230"/>
      <c r="CZ51" s="232"/>
      <c r="DA51" s="250" t="str">
        <f t="shared" si="58"/>
        <v>--</v>
      </c>
      <c r="DB51" s="231"/>
      <c r="DC51" s="230"/>
      <c r="DD51" s="232"/>
      <c r="DE51" s="247" t="str">
        <f t="shared" si="32"/>
        <v>--</v>
      </c>
      <c r="DF51" s="231"/>
      <c r="DG51" s="230"/>
      <c r="DH51" s="232"/>
      <c r="DI51" s="250" t="str">
        <f t="shared" si="27"/>
        <v>--</v>
      </c>
      <c r="DJ51" s="231"/>
      <c r="DK51" s="230"/>
      <c r="DL51" s="232"/>
      <c r="DM51" s="250" t="str">
        <f t="shared" si="55"/>
        <v>--</v>
      </c>
      <c r="DN51" s="395"/>
      <c r="DO51" s="396"/>
      <c r="DP51" s="396"/>
      <c r="DQ51" s="247" t="str">
        <f t="shared" si="70"/>
        <v>--</v>
      </c>
      <c r="DR51" s="231"/>
      <c r="DS51" s="230"/>
      <c r="DT51" s="232"/>
      <c r="DU51" s="283" t="str">
        <f t="shared" si="28"/>
        <v>--</v>
      </c>
      <c r="DV51" s="231"/>
      <c r="DW51" s="230"/>
      <c r="DX51" s="232"/>
      <c r="DY51" s="247" t="str">
        <f t="shared" si="53"/>
        <v>--</v>
      </c>
      <c r="DZ51" s="231"/>
      <c r="EA51" s="230"/>
      <c r="EB51" s="232"/>
      <c r="EC51" s="250" t="str">
        <f t="shared" si="65"/>
        <v>--</v>
      </c>
      <c r="ED51" s="231"/>
      <c r="EE51" s="230"/>
      <c r="EF51" s="232"/>
      <c r="EG51" s="250" t="str">
        <f t="shared" si="69"/>
        <v>--</v>
      </c>
      <c r="EH51" s="231"/>
      <c r="EI51" s="230"/>
      <c r="EJ51" s="232"/>
      <c r="EK51" s="250" t="str">
        <f t="shared" si="29"/>
        <v>--</v>
      </c>
      <c r="EL51" s="231"/>
      <c r="EM51" s="230"/>
      <c r="EN51" s="232"/>
      <c r="EO51" s="250" t="str">
        <f t="shared" si="30"/>
        <v>--</v>
      </c>
    </row>
    <row r="52" spans="21:145" ht="26.25" thickBot="1" x14ac:dyDescent="0.3">
      <c r="U52" s="237">
        <v>50</v>
      </c>
      <c r="V52" s="231"/>
      <c r="W52" s="230"/>
      <c r="X52" s="232"/>
      <c r="Y52" s="247" t="str">
        <f t="shared" si="62"/>
        <v>--</v>
      </c>
      <c r="Z52" s="231"/>
      <c r="AA52" s="230"/>
      <c r="AB52" s="270"/>
      <c r="AC52" s="272" t="str">
        <f t="shared" si="38"/>
        <v>--</v>
      </c>
      <c r="AD52" s="387">
        <v>2457</v>
      </c>
      <c r="AE52" s="254" t="s">
        <v>1435</v>
      </c>
      <c r="AF52" s="277" t="s">
        <v>1441</v>
      </c>
      <c r="AG52" s="249" t="str">
        <f t="shared" si="5"/>
        <v>2457-SIA (Alertas)-Sistema de Incidencias y Alertas</v>
      </c>
      <c r="AH52" s="244"/>
      <c r="AI52" s="243"/>
      <c r="AJ52" s="232"/>
      <c r="AK52" s="233" t="str">
        <f t="shared" si="33"/>
        <v>--</v>
      </c>
      <c r="AL52" s="231"/>
      <c r="AM52" s="230"/>
      <c r="AN52" s="232"/>
      <c r="AO52" s="233" t="str">
        <f t="shared" si="71"/>
        <v>--</v>
      </c>
      <c r="AP52" s="231"/>
      <c r="AQ52" s="230"/>
      <c r="AR52" s="232"/>
      <c r="AS52" s="250" t="str">
        <f t="shared" si="60"/>
        <v>--</v>
      </c>
      <c r="AT52" s="231"/>
      <c r="AU52" s="230"/>
      <c r="AV52" s="232"/>
      <c r="AW52" s="247" t="str">
        <f t="shared" si="22"/>
        <v>--</v>
      </c>
      <c r="AX52" s="395"/>
      <c r="AY52" s="396"/>
      <c r="AZ52" s="396"/>
      <c r="BA52" s="233" t="str">
        <f t="shared" si="68"/>
        <v>--</v>
      </c>
      <c r="BB52" s="238"/>
      <c r="BC52" s="226"/>
      <c r="BD52" s="235"/>
      <c r="BE52" s="233" t="str">
        <f t="shared" si="67"/>
        <v>--</v>
      </c>
      <c r="BF52" s="238"/>
      <c r="BG52" s="226"/>
      <c r="BH52" s="234"/>
      <c r="BI52" s="457" t="str">
        <f t="shared" si="64"/>
        <v>--</v>
      </c>
      <c r="BJ52" s="244"/>
      <c r="BK52" s="243"/>
      <c r="BL52" s="232"/>
      <c r="BM52" s="247" t="str">
        <f t="shared" si="49"/>
        <v>--</v>
      </c>
      <c r="BN52" s="231"/>
      <c r="BO52" s="230"/>
      <c r="BP52" s="232"/>
      <c r="BQ52" s="247" t="str">
        <f t="shared" si="50"/>
        <v>--</v>
      </c>
      <c r="BR52" s="231"/>
      <c r="BS52" s="230"/>
      <c r="BT52" s="232"/>
      <c r="BU52" s="283" t="str">
        <f t="shared" si="34"/>
        <v>--</v>
      </c>
      <c r="BV52" s="259"/>
      <c r="BW52" s="260"/>
      <c r="BX52" s="264"/>
      <c r="BY52" s="233" t="str">
        <f t="shared" si="66"/>
        <v>--</v>
      </c>
      <c r="BZ52" s="238"/>
      <c r="CA52" s="226"/>
      <c r="CB52" s="232"/>
      <c r="CC52" s="233" t="str">
        <f t="shared" si="23"/>
        <v>--</v>
      </c>
      <c r="CD52" s="231"/>
      <c r="CE52" s="230"/>
      <c r="CF52" s="232"/>
      <c r="CG52" s="233" t="str">
        <f t="shared" si="46"/>
        <v>--</v>
      </c>
      <c r="CH52" s="231"/>
      <c r="CI52" s="230"/>
      <c r="CJ52" s="232"/>
      <c r="CK52" s="290" t="str">
        <f t="shared" si="24"/>
        <v>--</v>
      </c>
      <c r="CL52" s="231"/>
      <c r="CM52" s="230"/>
      <c r="CN52" s="230"/>
      <c r="CO52" s="250" t="str">
        <f t="shared" si="36"/>
        <v>--</v>
      </c>
      <c r="CP52" s="231"/>
      <c r="CQ52" s="230"/>
      <c r="CR52" s="232"/>
      <c r="CS52" s="250" t="str">
        <f t="shared" si="25"/>
        <v>--</v>
      </c>
      <c r="CT52" s="231"/>
      <c r="CU52" s="230"/>
      <c r="CV52" s="232"/>
      <c r="CW52" s="283" t="str">
        <f t="shared" si="26"/>
        <v>--</v>
      </c>
      <c r="CX52" s="231"/>
      <c r="CY52" s="230"/>
      <c r="CZ52" s="232"/>
      <c r="DA52" s="250" t="str">
        <f t="shared" si="58"/>
        <v>--</v>
      </c>
      <c r="DB52" s="231"/>
      <c r="DC52" s="230"/>
      <c r="DD52" s="232"/>
      <c r="DE52" s="247" t="str">
        <f t="shared" si="32"/>
        <v>--</v>
      </c>
      <c r="DF52" s="231"/>
      <c r="DG52" s="230"/>
      <c r="DH52" s="232"/>
      <c r="DI52" s="250" t="str">
        <f t="shared" si="27"/>
        <v>--</v>
      </c>
      <c r="DJ52" s="231"/>
      <c r="DK52" s="230"/>
      <c r="DL52" s="232"/>
      <c r="DM52" s="250" t="str">
        <f t="shared" si="55"/>
        <v>--</v>
      </c>
      <c r="DN52" s="395"/>
      <c r="DO52" s="396"/>
      <c r="DP52" s="396"/>
      <c r="DQ52" s="247" t="str">
        <f t="shared" si="70"/>
        <v>--</v>
      </c>
      <c r="DR52" s="231"/>
      <c r="DS52" s="230"/>
      <c r="DT52" s="232"/>
      <c r="DU52" s="283" t="str">
        <f t="shared" si="28"/>
        <v>--</v>
      </c>
      <c r="DV52" s="231"/>
      <c r="DW52" s="230"/>
      <c r="DX52" s="232"/>
      <c r="DY52" s="247" t="str">
        <f t="shared" si="53"/>
        <v>--</v>
      </c>
      <c r="DZ52" s="231"/>
      <c r="EA52" s="230"/>
      <c r="EB52" s="232"/>
      <c r="EC52" s="250" t="str">
        <f t="shared" si="65"/>
        <v>--</v>
      </c>
      <c r="ED52" s="231"/>
      <c r="EE52" s="230"/>
      <c r="EF52" s="232"/>
      <c r="EG52" s="250" t="str">
        <f t="shared" si="69"/>
        <v>--</v>
      </c>
      <c r="EH52" s="231"/>
      <c r="EI52" s="230"/>
      <c r="EJ52" s="232"/>
      <c r="EK52" s="250" t="str">
        <f t="shared" si="29"/>
        <v>--</v>
      </c>
      <c r="EL52" s="231"/>
      <c r="EM52" s="230"/>
      <c r="EN52" s="232"/>
      <c r="EO52" s="250" t="str">
        <f t="shared" si="30"/>
        <v>--</v>
      </c>
    </row>
    <row r="53" spans="21:145" ht="23.25" customHeight="1" thickBot="1" x14ac:dyDescent="0.3">
      <c r="U53" s="237">
        <v>51</v>
      </c>
      <c r="V53" s="231"/>
      <c r="W53" s="230"/>
      <c r="X53" s="232"/>
      <c r="Y53" s="247" t="str">
        <f t="shared" si="62"/>
        <v>--</v>
      </c>
      <c r="Z53" s="231"/>
      <c r="AA53" s="230"/>
      <c r="AB53" s="270"/>
      <c r="AC53" s="272" t="str">
        <f t="shared" si="38"/>
        <v>--</v>
      </c>
      <c r="AD53" s="387">
        <v>3457</v>
      </c>
      <c r="AE53" s="254" t="s">
        <v>1436</v>
      </c>
      <c r="AF53" s="277" t="s">
        <v>1436</v>
      </c>
      <c r="AG53" s="249" t="str">
        <f t="shared" si="5"/>
        <v>3457-Fichas CPED-Fichas CPED</v>
      </c>
      <c r="AH53" s="244"/>
      <c r="AI53" s="243"/>
      <c r="AJ53" s="232"/>
      <c r="AK53" s="233" t="str">
        <f t="shared" si="33"/>
        <v>--</v>
      </c>
      <c r="AL53" s="231"/>
      <c r="AM53" s="230"/>
      <c r="AN53" s="232"/>
      <c r="AO53" s="233" t="str">
        <f t="shared" si="71"/>
        <v>--</v>
      </c>
      <c r="AP53" s="231"/>
      <c r="AQ53" s="230"/>
      <c r="AR53" s="232"/>
      <c r="AS53" s="250" t="str">
        <f t="shared" si="60"/>
        <v>--</v>
      </c>
      <c r="AT53" s="231"/>
      <c r="AU53" s="230"/>
      <c r="AV53" s="232"/>
      <c r="AW53" s="247" t="str">
        <f t="shared" si="22"/>
        <v>--</v>
      </c>
      <c r="AX53" s="259"/>
      <c r="AY53" s="260"/>
      <c r="AZ53" s="264"/>
      <c r="BA53" s="233" t="str">
        <f t="shared" si="68"/>
        <v>--</v>
      </c>
      <c r="BB53" s="238"/>
      <c r="BC53" s="226"/>
      <c r="BD53" s="234"/>
      <c r="BE53" s="233" t="str">
        <f t="shared" si="67"/>
        <v>--</v>
      </c>
      <c r="BF53" s="238"/>
      <c r="BG53" s="226"/>
      <c r="BH53" s="234"/>
      <c r="BI53" s="457" t="str">
        <f t="shared" si="64"/>
        <v>--</v>
      </c>
      <c r="BJ53" s="238"/>
      <c r="BK53" s="226"/>
      <c r="BL53" s="232"/>
      <c r="BM53" s="247" t="str">
        <f t="shared" si="49"/>
        <v>--</v>
      </c>
      <c r="BN53" s="231"/>
      <c r="BO53" s="230"/>
      <c r="BP53" s="232"/>
      <c r="BQ53" s="247" t="str">
        <f t="shared" si="50"/>
        <v>--</v>
      </c>
      <c r="BR53" s="231"/>
      <c r="BS53" s="230"/>
      <c r="BT53" s="232"/>
      <c r="BU53" s="283" t="str">
        <f t="shared" si="34"/>
        <v>--</v>
      </c>
      <c r="BV53" s="231"/>
      <c r="BW53" s="230"/>
      <c r="BX53" s="232"/>
      <c r="BY53" s="233" t="str">
        <f t="shared" si="66"/>
        <v>--</v>
      </c>
      <c r="BZ53" s="231"/>
      <c r="CA53" s="230"/>
      <c r="CB53" s="232"/>
      <c r="CC53" s="233" t="str">
        <f t="shared" si="23"/>
        <v>--</v>
      </c>
      <c r="CD53" s="231"/>
      <c r="CE53" s="230"/>
      <c r="CF53" s="232"/>
      <c r="CG53" s="233" t="str">
        <f t="shared" si="46"/>
        <v>--</v>
      </c>
      <c r="CH53" s="231"/>
      <c r="CI53" s="230"/>
      <c r="CJ53" s="232"/>
      <c r="CK53" s="290" t="str">
        <f t="shared" si="24"/>
        <v>--</v>
      </c>
      <c r="CL53" s="231"/>
      <c r="CM53" s="230"/>
      <c r="CN53" s="230"/>
      <c r="CO53" s="250" t="str">
        <f t="shared" si="36"/>
        <v>--</v>
      </c>
      <c r="CP53" s="231"/>
      <c r="CQ53" s="230"/>
      <c r="CR53" s="232"/>
      <c r="CS53" s="250" t="str">
        <f t="shared" si="25"/>
        <v>--</v>
      </c>
      <c r="CT53" s="231"/>
      <c r="CU53" s="230"/>
      <c r="CV53" s="232"/>
      <c r="CW53" s="283" t="str">
        <f t="shared" si="26"/>
        <v>--</v>
      </c>
      <c r="CX53" s="231"/>
      <c r="CY53" s="230"/>
      <c r="CZ53" s="232"/>
      <c r="DA53" s="250" t="str">
        <f t="shared" si="58"/>
        <v>--</v>
      </c>
      <c r="DB53" s="231"/>
      <c r="DC53" s="230"/>
      <c r="DD53" s="232"/>
      <c r="DE53" s="247" t="str">
        <f t="shared" si="32"/>
        <v>--</v>
      </c>
      <c r="DF53" s="231"/>
      <c r="DG53" s="230"/>
      <c r="DH53" s="232"/>
      <c r="DI53" s="250" t="str">
        <f t="shared" si="27"/>
        <v>--</v>
      </c>
      <c r="DJ53" s="231"/>
      <c r="DK53" s="230"/>
      <c r="DL53" s="232"/>
      <c r="DM53" s="250" t="str">
        <f t="shared" si="55"/>
        <v>--</v>
      </c>
      <c r="DN53" s="395"/>
      <c r="DO53" s="396"/>
      <c r="DP53" s="396"/>
      <c r="DQ53" s="247" t="str">
        <f t="shared" si="70"/>
        <v>--</v>
      </c>
      <c r="DR53" s="231"/>
      <c r="DS53" s="230"/>
      <c r="DT53" s="232"/>
      <c r="DU53" s="283" t="str">
        <f t="shared" si="28"/>
        <v>--</v>
      </c>
      <c r="DV53" s="231"/>
      <c r="DW53" s="230"/>
      <c r="DX53" s="232"/>
      <c r="DY53" s="247" t="str">
        <f t="shared" si="53"/>
        <v>--</v>
      </c>
      <c r="DZ53" s="231"/>
      <c r="EA53" s="230"/>
      <c r="EB53" s="232"/>
      <c r="EC53" s="250" t="str">
        <f t="shared" si="65"/>
        <v>--</v>
      </c>
      <c r="ED53" s="231"/>
      <c r="EE53" s="230"/>
      <c r="EF53" s="232"/>
      <c r="EG53" s="250" t="str">
        <f t="shared" si="69"/>
        <v>--</v>
      </c>
      <c r="EH53" s="231"/>
      <c r="EI53" s="230"/>
      <c r="EJ53" s="232"/>
      <c r="EK53" s="250" t="str">
        <f t="shared" si="29"/>
        <v>--</v>
      </c>
      <c r="EL53" s="231"/>
      <c r="EM53" s="230"/>
      <c r="EN53" s="232"/>
      <c r="EO53" s="250" t="str">
        <f t="shared" si="30"/>
        <v>--</v>
      </c>
    </row>
    <row r="54" spans="21:145" ht="26.25" thickBot="1" x14ac:dyDescent="0.3">
      <c r="U54" s="237">
        <v>52</v>
      </c>
      <c r="V54" s="231"/>
      <c r="W54" s="230"/>
      <c r="X54" s="232"/>
      <c r="Y54" s="247" t="str">
        <f t="shared" si="62"/>
        <v>--</v>
      </c>
      <c r="Z54" s="231"/>
      <c r="AA54" s="230"/>
      <c r="AB54" s="270"/>
      <c r="AC54" s="272" t="str">
        <f t="shared" si="38"/>
        <v>--</v>
      </c>
      <c r="AD54" s="387">
        <v>4457</v>
      </c>
      <c r="AE54" s="254" t="s">
        <v>1437</v>
      </c>
      <c r="AF54" s="277" t="s">
        <v>1440</v>
      </c>
      <c r="AG54" s="249" t="str">
        <f t="shared" si="5"/>
        <v>4457-ADI-Análisis Dinámico y Carga de Manifiestos</v>
      </c>
      <c r="AH54" s="244"/>
      <c r="AI54" s="243"/>
      <c r="AJ54" s="232"/>
      <c r="AK54" s="233" t="str">
        <f t="shared" si="33"/>
        <v>--</v>
      </c>
      <c r="AL54" s="231"/>
      <c r="AM54" s="230"/>
      <c r="AN54" s="232"/>
      <c r="AO54" s="233" t="str">
        <f t="shared" si="71"/>
        <v>--</v>
      </c>
      <c r="AP54" s="231"/>
      <c r="AQ54" s="230"/>
      <c r="AR54" s="232"/>
      <c r="AS54" s="250" t="str">
        <f t="shared" si="60"/>
        <v>--</v>
      </c>
      <c r="AT54" s="231"/>
      <c r="AU54" s="230"/>
      <c r="AV54" s="232"/>
      <c r="AW54" s="247" t="str">
        <f t="shared" si="22"/>
        <v>--</v>
      </c>
      <c r="AX54" s="259"/>
      <c r="AY54" s="260"/>
      <c r="AZ54" s="264"/>
      <c r="BA54" s="233" t="str">
        <f t="shared" si="68"/>
        <v>--</v>
      </c>
      <c r="BB54" s="238"/>
      <c r="BC54" s="226"/>
      <c r="BD54" s="234"/>
      <c r="BE54" s="233" t="str">
        <f t="shared" si="67"/>
        <v>--</v>
      </c>
      <c r="BF54" s="238"/>
      <c r="BG54" s="226"/>
      <c r="BH54" s="234"/>
      <c r="BI54" s="457" t="str">
        <f t="shared" si="64"/>
        <v>--</v>
      </c>
      <c r="BJ54" s="238"/>
      <c r="BK54" s="226"/>
      <c r="BL54" s="232"/>
      <c r="BM54" s="247" t="str">
        <f t="shared" si="49"/>
        <v>--</v>
      </c>
      <c r="BN54" s="231"/>
      <c r="BO54" s="230"/>
      <c r="BP54" s="232"/>
      <c r="BQ54" s="247" t="str">
        <f t="shared" si="50"/>
        <v>--</v>
      </c>
      <c r="BR54" s="231"/>
      <c r="BS54" s="230"/>
      <c r="BT54" s="232"/>
      <c r="BU54" s="283" t="str">
        <f t="shared" si="34"/>
        <v>--</v>
      </c>
      <c r="BV54" s="231"/>
      <c r="BW54" s="230"/>
      <c r="BX54" s="232"/>
      <c r="BY54" s="233" t="str">
        <f t="shared" si="66"/>
        <v>--</v>
      </c>
      <c r="BZ54" s="231"/>
      <c r="CA54" s="230"/>
      <c r="CB54" s="232"/>
      <c r="CC54" s="233" t="str">
        <f t="shared" si="23"/>
        <v>--</v>
      </c>
      <c r="CD54" s="231"/>
      <c r="CE54" s="230"/>
      <c r="CF54" s="232"/>
      <c r="CG54" s="233" t="str">
        <f t="shared" si="46"/>
        <v>--</v>
      </c>
      <c r="CH54" s="231"/>
      <c r="CI54" s="230"/>
      <c r="CJ54" s="232"/>
      <c r="CK54" s="290" t="str">
        <f t="shared" si="24"/>
        <v>--</v>
      </c>
      <c r="CL54" s="231"/>
      <c r="CM54" s="230"/>
      <c r="CN54" s="230"/>
      <c r="CO54" s="250" t="str">
        <f t="shared" si="36"/>
        <v>--</v>
      </c>
      <c r="CP54" s="231"/>
      <c r="CQ54" s="230"/>
      <c r="CR54" s="232"/>
      <c r="CS54" s="250" t="str">
        <f t="shared" si="25"/>
        <v>--</v>
      </c>
      <c r="CT54" s="231"/>
      <c r="CU54" s="230"/>
      <c r="CV54" s="232"/>
      <c r="CW54" s="283" t="str">
        <f t="shared" si="26"/>
        <v>--</v>
      </c>
      <c r="CX54" s="231"/>
      <c r="CY54" s="230"/>
      <c r="CZ54" s="232"/>
      <c r="DA54" s="250" t="str">
        <f t="shared" si="58"/>
        <v>--</v>
      </c>
      <c r="DB54" s="231"/>
      <c r="DC54" s="230"/>
      <c r="DD54" s="232"/>
      <c r="DE54" s="247" t="str">
        <f t="shared" si="32"/>
        <v>--</v>
      </c>
      <c r="DF54" s="231"/>
      <c r="DG54" s="230"/>
      <c r="DH54" s="232"/>
      <c r="DI54" s="250" t="str">
        <f t="shared" si="27"/>
        <v>--</v>
      </c>
      <c r="DJ54" s="231"/>
      <c r="DK54" s="230"/>
      <c r="DL54" s="232"/>
      <c r="DM54" s="250" t="str">
        <f t="shared" si="55"/>
        <v>--</v>
      </c>
      <c r="DN54" s="395"/>
      <c r="DO54" s="396"/>
      <c r="DP54" s="396"/>
      <c r="DQ54" s="247" t="str">
        <f t="shared" si="70"/>
        <v>--</v>
      </c>
      <c r="DR54" s="231"/>
      <c r="DS54" s="230"/>
      <c r="DT54" s="232"/>
      <c r="DU54" s="283" t="str">
        <f t="shared" si="28"/>
        <v>--</v>
      </c>
      <c r="DV54" s="231"/>
      <c r="DW54" s="230"/>
      <c r="DX54" s="232"/>
      <c r="DY54" s="247" t="str">
        <f t="shared" si="53"/>
        <v>--</v>
      </c>
      <c r="DZ54" s="231"/>
      <c r="EA54" s="230"/>
      <c r="EB54" s="232"/>
      <c r="EC54" s="250" t="str">
        <f t="shared" si="65"/>
        <v>--</v>
      </c>
      <c r="ED54" s="231"/>
      <c r="EE54" s="230"/>
      <c r="EF54" s="232"/>
      <c r="EG54" s="250" t="str">
        <f t="shared" si="69"/>
        <v>--</v>
      </c>
      <c r="EH54" s="231"/>
      <c r="EI54" s="230"/>
      <c r="EJ54" s="232"/>
      <c r="EK54" s="250" t="str">
        <f t="shared" si="29"/>
        <v>--</v>
      </c>
      <c r="EL54" s="231"/>
      <c r="EM54" s="230"/>
      <c r="EN54" s="232"/>
      <c r="EO54" s="250" t="str">
        <f t="shared" si="30"/>
        <v>--</v>
      </c>
    </row>
    <row r="55" spans="21:145" ht="25.5" x14ac:dyDescent="0.25">
      <c r="U55" s="237">
        <v>53</v>
      </c>
      <c r="V55" s="231"/>
      <c r="W55" s="230"/>
      <c r="X55" s="232"/>
      <c r="Y55" s="247" t="str">
        <f t="shared" si="62"/>
        <v>--</v>
      </c>
      <c r="Z55" s="231"/>
      <c r="AA55" s="230"/>
      <c r="AB55" s="270"/>
      <c r="AC55" s="272" t="str">
        <f t="shared" si="38"/>
        <v>--</v>
      </c>
      <c r="AD55" s="387">
        <v>5457</v>
      </c>
      <c r="AE55" s="254" t="s">
        <v>1438</v>
      </c>
      <c r="AF55" s="277" t="s">
        <v>1439</v>
      </c>
      <c r="AG55" s="249" t="str">
        <f t="shared" si="5"/>
        <v>5457-SICORCE-Sistema Integral para el Control de Riesgo de Comercio Exterior</v>
      </c>
      <c r="AH55" s="244"/>
      <c r="AI55" s="243"/>
      <c r="AJ55" s="232"/>
      <c r="AK55" s="233" t="str">
        <f t="shared" si="33"/>
        <v>--</v>
      </c>
      <c r="AL55" s="231"/>
      <c r="AM55" s="230"/>
      <c r="AN55" s="232"/>
      <c r="AO55" s="233" t="str">
        <f t="shared" si="71"/>
        <v>--</v>
      </c>
      <c r="AP55" s="231"/>
      <c r="AQ55" s="230"/>
      <c r="AR55" s="232"/>
      <c r="AS55" s="250" t="str">
        <f t="shared" si="60"/>
        <v>--</v>
      </c>
      <c r="AT55" s="231"/>
      <c r="AU55" s="230"/>
      <c r="AV55" s="232"/>
      <c r="AW55" s="247" t="str">
        <f t="shared" si="22"/>
        <v>--</v>
      </c>
      <c r="AX55" s="261"/>
      <c r="AY55" s="254"/>
      <c r="AZ55" s="264"/>
      <c r="BA55" s="233" t="str">
        <f t="shared" si="68"/>
        <v>--</v>
      </c>
      <c r="BB55" s="238"/>
      <c r="BC55" s="226"/>
      <c r="BD55" s="234"/>
      <c r="BE55" s="233" t="str">
        <f t="shared" si="67"/>
        <v>--</v>
      </c>
      <c r="BF55" s="238"/>
      <c r="BG55" s="226"/>
      <c r="BH55" s="234"/>
      <c r="BI55" s="457" t="str">
        <f t="shared" si="64"/>
        <v>--</v>
      </c>
      <c r="BJ55" s="238"/>
      <c r="BK55" s="226"/>
      <c r="BL55" s="232"/>
      <c r="BM55" s="247" t="str">
        <f t="shared" si="49"/>
        <v>--</v>
      </c>
      <c r="BN55" s="231"/>
      <c r="BO55" s="230"/>
      <c r="BP55" s="232"/>
      <c r="BQ55" s="247" t="str">
        <f t="shared" si="50"/>
        <v>--</v>
      </c>
      <c r="BR55" s="231"/>
      <c r="BS55" s="230"/>
      <c r="BT55" s="232"/>
      <c r="BU55" s="283" t="str">
        <f t="shared" si="34"/>
        <v>--</v>
      </c>
      <c r="BV55" s="267"/>
      <c r="BW55" s="265"/>
      <c r="BX55" s="234"/>
      <c r="BY55" s="233" t="str">
        <f t="shared" si="66"/>
        <v>--</v>
      </c>
      <c r="BZ55" s="231"/>
      <c r="CA55" s="230"/>
      <c r="CB55" s="232"/>
      <c r="CC55" s="233" t="str">
        <f t="shared" si="23"/>
        <v>--</v>
      </c>
      <c r="CD55" s="231"/>
      <c r="CE55" s="230"/>
      <c r="CF55" s="232"/>
      <c r="CG55" s="233" t="str">
        <f t="shared" si="46"/>
        <v>--</v>
      </c>
      <c r="CH55" s="231"/>
      <c r="CI55" s="230"/>
      <c r="CJ55" s="232"/>
      <c r="CK55" s="290" t="str">
        <f t="shared" si="24"/>
        <v>--</v>
      </c>
      <c r="CL55" s="231"/>
      <c r="CM55" s="230"/>
      <c r="CN55" s="230"/>
      <c r="CO55" s="250" t="str">
        <f t="shared" si="36"/>
        <v>--</v>
      </c>
      <c r="CP55" s="231"/>
      <c r="CQ55" s="230"/>
      <c r="CR55" s="232"/>
      <c r="CS55" s="250" t="str">
        <f t="shared" si="25"/>
        <v>--</v>
      </c>
      <c r="CT55" s="231"/>
      <c r="CU55" s="230"/>
      <c r="CV55" s="232"/>
      <c r="CW55" s="283" t="str">
        <f t="shared" si="26"/>
        <v>--</v>
      </c>
      <c r="CX55" s="231"/>
      <c r="CY55" s="230"/>
      <c r="CZ55" s="232"/>
      <c r="DA55" s="250" t="str">
        <f t="shared" si="58"/>
        <v>--</v>
      </c>
      <c r="DB55" s="231"/>
      <c r="DC55" s="230"/>
      <c r="DD55" s="232"/>
      <c r="DE55" s="247" t="str">
        <f t="shared" si="32"/>
        <v>--</v>
      </c>
      <c r="DF55" s="231"/>
      <c r="DG55" s="230"/>
      <c r="DH55" s="232"/>
      <c r="DI55" s="250" t="str">
        <f t="shared" si="27"/>
        <v>--</v>
      </c>
      <c r="DJ55" s="231"/>
      <c r="DK55" s="230"/>
      <c r="DL55" s="232"/>
      <c r="DM55" s="250" t="str">
        <f t="shared" si="55"/>
        <v>--</v>
      </c>
      <c r="DN55" s="231"/>
      <c r="DO55" s="230"/>
      <c r="DP55" s="232"/>
      <c r="DQ55" s="247" t="str">
        <f t="shared" si="70"/>
        <v>--</v>
      </c>
      <c r="DR55" s="231"/>
      <c r="DS55" s="230"/>
      <c r="DT55" s="232"/>
      <c r="DU55" s="283" t="str">
        <f t="shared" si="28"/>
        <v>--</v>
      </c>
      <c r="DV55" s="231"/>
      <c r="DW55" s="230"/>
      <c r="DX55" s="232"/>
      <c r="DY55" s="247" t="str">
        <f t="shared" si="53"/>
        <v>--</v>
      </c>
      <c r="DZ55" s="231"/>
      <c r="EA55" s="230"/>
      <c r="EB55" s="232"/>
      <c r="EC55" s="250" t="str">
        <f t="shared" si="65"/>
        <v>--</v>
      </c>
      <c r="ED55" s="231"/>
      <c r="EE55" s="230"/>
      <c r="EF55" s="232"/>
      <c r="EG55" s="250" t="str">
        <f t="shared" si="69"/>
        <v>--</v>
      </c>
      <c r="EH55" s="231"/>
      <c r="EI55" s="230"/>
      <c r="EJ55" s="232"/>
      <c r="EK55" s="250" t="str">
        <f t="shared" si="29"/>
        <v>--</v>
      </c>
      <c r="EL55" s="231"/>
      <c r="EM55" s="230"/>
      <c r="EN55" s="232"/>
      <c r="EO55" s="250" t="str">
        <f t="shared" si="30"/>
        <v>--</v>
      </c>
    </row>
    <row r="56" spans="21:145" ht="15" x14ac:dyDescent="0.25">
      <c r="U56" s="237">
        <v>54</v>
      </c>
      <c r="V56" s="231"/>
      <c r="W56" s="230"/>
      <c r="X56" s="232"/>
      <c r="Y56" s="247" t="str">
        <f t="shared" si="62"/>
        <v>--</v>
      </c>
      <c r="Z56" s="231"/>
      <c r="AA56" s="230"/>
      <c r="AB56" s="270"/>
      <c r="AC56" s="272" t="str">
        <f t="shared" si="38"/>
        <v>--</v>
      </c>
      <c r="AD56" s="231"/>
      <c r="AE56" s="418"/>
      <c r="AF56" s="418"/>
      <c r="AG56" s="250" t="str">
        <f t="shared" ref="AG56:AG65" si="72">CONCATENATE(AD56,"-",AE56,"-",AF56)</f>
        <v>--</v>
      </c>
      <c r="AH56" s="244"/>
      <c r="AI56" s="243"/>
      <c r="AJ56" s="232"/>
      <c r="AK56" s="233" t="str">
        <f t="shared" si="33"/>
        <v>--</v>
      </c>
      <c r="AL56" s="231"/>
      <c r="AM56" s="230"/>
      <c r="AN56" s="232"/>
      <c r="AO56" s="233" t="str">
        <f t="shared" si="71"/>
        <v>--</v>
      </c>
      <c r="AP56" s="231"/>
      <c r="AQ56" s="230"/>
      <c r="AR56" s="232"/>
      <c r="AS56" s="250" t="str">
        <f t="shared" si="60"/>
        <v>--</v>
      </c>
      <c r="AT56" s="231"/>
      <c r="AU56" s="230"/>
      <c r="AV56" s="232"/>
      <c r="AW56" s="247" t="str">
        <f t="shared" si="22"/>
        <v>--</v>
      </c>
      <c r="AX56" s="259"/>
      <c r="AY56" s="260"/>
      <c r="AZ56" s="264"/>
      <c r="BA56" s="233" t="str">
        <f t="shared" si="68"/>
        <v>--</v>
      </c>
      <c r="BB56" s="238"/>
      <c r="BC56" s="226"/>
      <c r="BD56" s="234"/>
      <c r="BE56" s="233" t="str">
        <f t="shared" si="67"/>
        <v>--</v>
      </c>
      <c r="BF56" s="238"/>
      <c r="BG56" s="226"/>
      <c r="BH56" s="234"/>
      <c r="BI56" s="457" t="str">
        <f t="shared" si="64"/>
        <v>--</v>
      </c>
      <c r="BJ56" s="238"/>
      <c r="BK56" s="226"/>
      <c r="BL56" s="232"/>
      <c r="BM56" s="247" t="str">
        <f t="shared" si="49"/>
        <v>--</v>
      </c>
      <c r="BN56" s="231"/>
      <c r="BO56" s="230"/>
      <c r="BP56" s="232"/>
      <c r="BQ56" s="247" t="str">
        <f t="shared" si="50"/>
        <v>--</v>
      </c>
      <c r="BR56" s="231"/>
      <c r="BS56" s="230"/>
      <c r="BT56" s="232"/>
      <c r="BU56" s="283" t="str">
        <f t="shared" si="34"/>
        <v>--</v>
      </c>
      <c r="BV56" s="231"/>
      <c r="BW56" s="230"/>
      <c r="BX56" s="232"/>
      <c r="BY56" s="233" t="str">
        <f t="shared" si="66"/>
        <v>--</v>
      </c>
      <c r="BZ56" s="231"/>
      <c r="CA56" s="230"/>
      <c r="CB56" s="232"/>
      <c r="CC56" s="233" t="str">
        <f t="shared" si="23"/>
        <v>--</v>
      </c>
      <c r="CD56" s="231"/>
      <c r="CE56" s="230"/>
      <c r="CF56" s="232"/>
      <c r="CG56" s="233" t="str">
        <f t="shared" si="46"/>
        <v>--</v>
      </c>
      <c r="CH56" s="231"/>
      <c r="CI56" s="230"/>
      <c r="CJ56" s="232"/>
      <c r="CK56" s="290" t="str">
        <f t="shared" si="24"/>
        <v>--</v>
      </c>
      <c r="CL56" s="231"/>
      <c r="CM56" s="230"/>
      <c r="CN56" s="230"/>
      <c r="CO56" s="250" t="str">
        <f t="shared" si="36"/>
        <v>--</v>
      </c>
      <c r="CP56" s="231"/>
      <c r="CQ56" s="230"/>
      <c r="CR56" s="232"/>
      <c r="CS56" s="250" t="str">
        <f t="shared" si="25"/>
        <v>--</v>
      </c>
      <c r="CT56" s="231"/>
      <c r="CU56" s="230"/>
      <c r="CV56" s="232"/>
      <c r="CW56" s="283" t="str">
        <f t="shared" si="26"/>
        <v>--</v>
      </c>
      <c r="CX56" s="231"/>
      <c r="CY56" s="230"/>
      <c r="CZ56" s="232"/>
      <c r="DA56" s="250" t="str">
        <f t="shared" si="58"/>
        <v>--</v>
      </c>
      <c r="DB56" s="231"/>
      <c r="DC56" s="230"/>
      <c r="DD56" s="232"/>
      <c r="DE56" s="247" t="str">
        <f t="shared" si="32"/>
        <v>--</v>
      </c>
      <c r="DF56" s="231"/>
      <c r="DG56" s="230"/>
      <c r="DH56" s="232"/>
      <c r="DI56" s="250" t="str">
        <f t="shared" si="27"/>
        <v>--</v>
      </c>
      <c r="DJ56" s="231"/>
      <c r="DK56" s="230"/>
      <c r="DL56" s="232"/>
      <c r="DM56" s="250" t="str">
        <f t="shared" si="55"/>
        <v>--</v>
      </c>
      <c r="DN56" s="231"/>
      <c r="DO56" s="230"/>
      <c r="DP56" s="232"/>
      <c r="DQ56" s="247" t="str">
        <f t="shared" si="70"/>
        <v>--</v>
      </c>
      <c r="DR56" s="231"/>
      <c r="DS56" s="230"/>
      <c r="DT56" s="232"/>
      <c r="DU56" s="283" t="str">
        <f t="shared" si="28"/>
        <v>--</v>
      </c>
      <c r="DV56" s="231"/>
      <c r="DW56" s="230"/>
      <c r="DX56" s="232"/>
      <c r="DY56" s="247" t="str">
        <f t="shared" ref="DY56:DY66" si="73">CONCATENATE(DV56,"-",DW56,"-",DX56)</f>
        <v>--</v>
      </c>
      <c r="DZ56" s="231"/>
      <c r="EA56" s="230"/>
      <c r="EB56" s="232"/>
      <c r="EC56" s="250" t="str">
        <f t="shared" si="65"/>
        <v>--</v>
      </c>
      <c r="ED56" s="231"/>
      <c r="EE56" s="230"/>
      <c r="EF56" s="232"/>
      <c r="EG56" s="250" t="str">
        <f t="shared" si="69"/>
        <v>--</v>
      </c>
      <c r="EH56" s="231"/>
      <c r="EI56" s="230"/>
      <c r="EJ56" s="232"/>
      <c r="EK56" s="250" t="str">
        <f t="shared" si="29"/>
        <v>--</v>
      </c>
      <c r="EL56" s="231"/>
      <c r="EM56" s="230"/>
      <c r="EN56" s="232"/>
      <c r="EO56" s="250" t="str">
        <f t="shared" si="30"/>
        <v>--</v>
      </c>
    </row>
    <row r="57" spans="21:145" ht="15" x14ac:dyDescent="0.25">
      <c r="U57" s="237">
        <v>55</v>
      </c>
      <c r="V57" s="231"/>
      <c r="W57" s="230"/>
      <c r="X57" s="232"/>
      <c r="Y57" s="247" t="str">
        <f t="shared" si="62"/>
        <v>--</v>
      </c>
      <c r="Z57" s="231"/>
      <c r="AA57" s="230"/>
      <c r="AB57" s="270"/>
      <c r="AC57" s="272" t="str">
        <f t="shared" si="38"/>
        <v>--</v>
      </c>
      <c r="AD57" s="231"/>
      <c r="AE57" s="418"/>
      <c r="AF57" s="418"/>
      <c r="AG57" s="250" t="str">
        <f t="shared" si="72"/>
        <v>--</v>
      </c>
      <c r="AH57" s="244"/>
      <c r="AI57" s="243"/>
      <c r="AJ57" s="232"/>
      <c r="AK57" s="233" t="str">
        <f t="shared" si="33"/>
        <v>--</v>
      </c>
      <c r="AL57" s="231"/>
      <c r="AM57" s="230"/>
      <c r="AN57" s="232"/>
      <c r="AO57" s="233" t="str">
        <f t="shared" si="71"/>
        <v>--</v>
      </c>
      <c r="AP57" s="231"/>
      <c r="AQ57" s="230"/>
      <c r="AR57" s="232"/>
      <c r="AS57" s="250" t="str">
        <f t="shared" si="60"/>
        <v>--</v>
      </c>
      <c r="AT57" s="231"/>
      <c r="AU57" s="230"/>
      <c r="AV57" s="232"/>
      <c r="AW57" s="247" t="str">
        <f t="shared" si="22"/>
        <v>--</v>
      </c>
      <c r="AX57" s="259"/>
      <c r="AY57" s="260"/>
      <c r="AZ57" s="264"/>
      <c r="BA57" s="233" t="str">
        <f t="shared" si="68"/>
        <v>--</v>
      </c>
      <c r="BB57" s="238"/>
      <c r="BC57" s="226"/>
      <c r="BD57" s="234"/>
      <c r="BE57" s="233" t="str">
        <f t="shared" si="67"/>
        <v>--</v>
      </c>
      <c r="BF57" s="238"/>
      <c r="BG57" s="226"/>
      <c r="BH57" s="234"/>
      <c r="BI57" s="457" t="str">
        <f t="shared" si="64"/>
        <v>--</v>
      </c>
      <c r="BJ57" s="238"/>
      <c r="BK57" s="226"/>
      <c r="BL57" s="232"/>
      <c r="BM57" s="247" t="str">
        <f t="shared" si="49"/>
        <v>--</v>
      </c>
      <c r="BN57" s="231"/>
      <c r="BO57" s="230"/>
      <c r="BP57" s="232"/>
      <c r="BQ57" s="247" t="str">
        <f t="shared" si="50"/>
        <v>--</v>
      </c>
      <c r="BR57" s="231"/>
      <c r="BS57" s="230"/>
      <c r="BT57" s="232"/>
      <c r="BU57" s="283" t="str">
        <f t="shared" si="34"/>
        <v>--</v>
      </c>
      <c r="BV57" s="231"/>
      <c r="BW57" s="230"/>
      <c r="BX57" s="232"/>
      <c r="BY57" s="233" t="str">
        <f t="shared" si="66"/>
        <v>--</v>
      </c>
      <c r="BZ57" s="231"/>
      <c r="CA57" s="230"/>
      <c r="CB57" s="232"/>
      <c r="CC57" s="233" t="str">
        <f t="shared" si="23"/>
        <v>--</v>
      </c>
      <c r="CD57" s="231"/>
      <c r="CE57" s="230"/>
      <c r="CF57" s="232"/>
      <c r="CG57" s="233" t="str">
        <f t="shared" si="46"/>
        <v>--</v>
      </c>
      <c r="CH57" s="231"/>
      <c r="CI57" s="230"/>
      <c r="CJ57" s="232"/>
      <c r="CK57" s="290" t="str">
        <f t="shared" si="24"/>
        <v>--</v>
      </c>
      <c r="CL57" s="231"/>
      <c r="CM57" s="230"/>
      <c r="CN57" s="230"/>
      <c r="CO57" s="250" t="str">
        <f t="shared" si="36"/>
        <v>--</v>
      </c>
      <c r="CP57" s="231"/>
      <c r="CQ57" s="230"/>
      <c r="CR57" s="232"/>
      <c r="CS57" s="250" t="str">
        <f t="shared" si="25"/>
        <v>--</v>
      </c>
      <c r="CT57" s="231"/>
      <c r="CU57" s="230"/>
      <c r="CV57" s="232"/>
      <c r="CW57" s="283" t="str">
        <f t="shared" si="26"/>
        <v>--</v>
      </c>
      <c r="CX57" s="231"/>
      <c r="CY57" s="230"/>
      <c r="CZ57" s="232"/>
      <c r="DA57" s="250" t="str">
        <f t="shared" si="58"/>
        <v>--</v>
      </c>
      <c r="DB57" s="231"/>
      <c r="DC57" s="230"/>
      <c r="DD57" s="232"/>
      <c r="DE57" s="247" t="str">
        <f t="shared" si="32"/>
        <v>--</v>
      </c>
      <c r="DF57" s="231"/>
      <c r="DG57" s="230"/>
      <c r="DH57" s="232"/>
      <c r="DI57" s="250" t="str">
        <f t="shared" si="27"/>
        <v>--</v>
      </c>
      <c r="DJ57" s="231"/>
      <c r="DK57" s="230"/>
      <c r="DL57" s="232"/>
      <c r="DM57" s="250" t="str">
        <f t="shared" si="55"/>
        <v>--</v>
      </c>
      <c r="DN57" s="231"/>
      <c r="DO57" s="230"/>
      <c r="DP57" s="232"/>
      <c r="DQ57" s="247" t="str">
        <f t="shared" si="70"/>
        <v>--</v>
      </c>
      <c r="DR57" s="231"/>
      <c r="DS57" s="230"/>
      <c r="DT57" s="232"/>
      <c r="DU57" s="283" t="str">
        <f t="shared" si="28"/>
        <v>--</v>
      </c>
      <c r="DV57" s="231"/>
      <c r="DW57" s="230"/>
      <c r="DX57" s="232"/>
      <c r="DY57" s="247" t="str">
        <f t="shared" si="73"/>
        <v>--</v>
      </c>
      <c r="DZ57" s="231"/>
      <c r="EA57" s="230"/>
      <c r="EB57" s="232"/>
      <c r="EC57" s="250" t="str">
        <f t="shared" si="65"/>
        <v>--</v>
      </c>
      <c r="ED57" s="231"/>
      <c r="EE57" s="230"/>
      <c r="EF57" s="232"/>
      <c r="EG57" s="250" t="str">
        <f t="shared" si="69"/>
        <v>--</v>
      </c>
      <c r="EH57" s="231"/>
      <c r="EI57" s="230"/>
      <c r="EJ57" s="232"/>
      <c r="EK57" s="250" t="str">
        <f t="shared" si="29"/>
        <v>--</v>
      </c>
      <c r="EL57" s="231"/>
      <c r="EM57" s="230"/>
      <c r="EN57" s="232"/>
      <c r="EO57" s="250" t="str">
        <f t="shared" si="30"/>
        <v>--</v>
      </c>
    </row>
    <row r="58" spans="21:145" ht="15" x14ac:dyDescent="0.25">
      <c r="U58" s="237">
        <v>56</v>
      </c>
      <c r="V58" s="231"/>
      <c r="W58" s="230"/>
      <c r="X58" s="232"/>
      <c r="Y58" s="247" t="str">
        <f t="shared" si="62"/>
        <v>--</v>
      </c>
      <c r="Z58" s="231"/>
      <c r="AA58" s="230"/>
      <c r="AB58" s="270"/>
      <c r="AC58" s="272" t="str">
        <f t="shared" si="38"/>
        <v>--</v>
      </c>
      <c r="AD58" s="231"/>
      <c r="AE58" s="418"/>
      <c r="AF58" s="418"/>
      <c r="AG58" s="250" t="str">
        <f t="shared" si="72"/>
        <v>--</v>
      </c>
      <c r="AH58" s="244"/>
      <c r="AI58" s="243"/>
      <c r="AJ58" s="232"/>
      <c r="AK58" s="233" t="str">
        <f t="shared" si="33"/>
        <v>--</v>
      </c>
      <c r="AL58" s="231"/>
      <c r="AM58" s="230"/>
      <c r="AN58" s="232"/>
      <c r="AO58" s="233" t="str">
        <f t="shared" si="71"/>
        <v>--</v>
      </c>
      <c r="AP58" s="231"/>
      <c r="AQ58" s="230"/>
      <c r="AR58" s="232"/>
      <c r="AS58" s="250" t="str">
        <f t="shared" si="60"/>
        <v>--</v>
      </c>
      <c r="AT58" s="231"/>
      <c r="AU58" s="230"/>
      <c r="AV58" s="232"/>
      <c r="AW58" s="247" t="str">
        <f t="shared" si="22"/>
        <v>--</v>
      </c>
      <c r="AX58" s="261"/>
      <c r="AY58" s="254"/>
      <c r="AZ58" s="264"/>
      <c r="BA58" s="233" t="str">
        <f t="shared" si="68"/>
        <v>--</v>
      </c>
      <c r="BB58" s="238"/>
      <c r="BC58" s="226"/>
      <c r="BD58" s="234"/>
      <c r="BE58" s="233" t="str">
        <f t="shared" si="67"/>
        <v>--</v>
      </c>
      <c r="BF58" s="238"/>
      <c r="BG58" s="226"/>
      <c r="BH58" s="234"/>
      <c r="BI58" s="457" t="str">
        <f t="shared" si="64"/>
        <v>--</v>
      </c>
      <c r="BJ58" s="238"/>
      <c r="BK58" s="226"/>
      <c r="BL58" s="232"/>
      <c r="BM58" s="247" t="str">
        <f t="shared" si="49"/>
        <v>--</v>
      </c>
      <c r="BN58" s="231"/>
      <c r="BO58" s="230"/>
      <c r="BP58" s="232"/>
      <c r="BQ58" s="247" t="str">
        <f t="shared" si="50"/>
        <v>--</v>
      </c>
      <c r="BR58" s="231"/>
      <c r="BS58" s="230"/>
      <c r="BT58" s="232"/>
      <c r="BU58" s="283" t="str">
        <f t="shared" si="34"/>
        <v>--</v>
      </c>
      <c r="BV58" s="231"/>
      <c r="BW58" s="230"/>
      <c r="BX58" s="232"/>
      <c r="BY58" s="233" t="str">
        <f t="shared" si="66"/>
        <v>--</v>
      </c>
      <c r="BZ58" s="231"/>
      <c r="CA58" s="230"/>
      <c r="CB58" s="232"/>
      <c r="CC58" s="233" t="str">
        <f t="shared" si="23"/>
        <v>--</v>
      </c>
      <c r="CD58" s="231"/>
      <c r="CE58" s="230"/>
      <c r="CF58" s="232"/>
      <c r="CG58" s="233" t="str">
        <f t="shared" si="46"/>
        <v>--</v>
      </c>
      <c r="CH58" s="231"/>
      <c r="CI58" s="230"/>
      <c r="CJ58" s="232"/>
      <c r="CK58" s="290" t="str">
        <f t="shared" si="24"/>
        <v>--</v>
      </c>
      <c r="CL58" s="231"/>
      <c r="CM58" s="230"/>
      <c r="CN58" s="230"/>
      <c r="CO58" s="250" t="str">
        <f t="shared" si="36"/>
        <v>--</v>
      </c>
      <c r="CP58" s="231"/>
      <c r="CQ58" s="230"/>
      <c r="CR58" s="232"/>
      <c r="CS58" s="250" t="str">
        <f t="shared" si="25"/>
        <v>--</v>
      </c>
      <c r="CT58" s="231"/>
      <c r="CU58" s="230"/>
      <c r="CV58" s="232"/>
      <c r="CW58" s="283" t="str">
        <f t="shared" si="26"/>
        <v>--</v>
      </c>
      <c r="CX58" s="231"/>
      <c r="CY58" s="230"/>
      <c r="CZ58" s="232"/>
      <c r="DA58" s="250" t="str">
        <f t="shared" si="58"/>
        <v>--</v>
      </c>
      <c r="DB58" s="231"/>
      <c r="DC58" s="230"/>
      <c r="DD58" s="232"/>
      <c r="DE58" s="247" t="str">
        <f t="shared" si="32"/>
        <v>--</v>
      </c>
      <c r="DF58" s="231"/>
      <c r="DG58" s="230"/>
      <c r="DH58" s="232"/>
      <c r="DI58" s="250" t="str">
        <f t="shared" si="27"/>
        <v>--</v>
      </c>
      <c r="DJ58" s="231"/>
      <c r="DK58" s="230"/>
      <c r="DL58" s="232"/>
      <c r="DM58" s="250" t="str">
        <f t="shared" si="55"/>
        <v>--</v>
      </c>
      <c r="DN58" s="231"/>
      <c r="DO58" s="230"/>
      <c r="DP58" s="232"/>
      <c r="DQ58" s="247" t="str">
        <f t="shared" si="70"/>
        <v>--</v>
      </c>
      <c r="DR58" s="231"/>
      <c r="DS58" s="230"/>
      <c r="DT58" s="232"/>
      <c r="DU58" s="283" t="str">
        <f t="shared" si="28"/>
        <v>--</v>
      </c>
      <c r="DV58" s="231"/>
      <c r="DW58" s="230"/>
      <c r="DX58" s="232"/>
      <c r="DY58" s="247" t="str">
        <f t="shared" si="73"/>
        <v>--</v>
      </c>
      <c r="DZ58" s="231"/>
      <c r="EA58" s="230"/>
      <c r="EB58" s="232"/>
      <c r="EC58" s="250" t="str">
        <f t="shared" si="65"/>
        <v>--</v>
      </c>
      <c r="ED58" s="231"/>
      <c r="EE58" s="230"/>
      <c r="EF58" s="232"/>
      <c r="EG58" s="250" t="str">
        <f t="shared" si="69"/>
        <v>--</v>
      </c>
      <c r="EH58" s="231"/>
      <c r="EI58" s="230"/>
      <c r="EJ58" s="232"/>
      <c r="EK58" s="250" t="str">
        <f t="shared" si="29"/>
        <v>--</v>
      </c>
      <c r="EL58" s="231"/>
      <c r="EM58" s="230"/>
      <c r="EN58" s="232"/>
      <c r="EO58" s="250" t="str">
        <f t="shared" si="30"/>
        <v>--</v>
      </c>
    </row>
    <row r="59" spans="21:145" ht="15" x14ac:dyDescent="0.25">
      <c r="U59" s="237">
        <v>57</v>
      </c>
      <c r="V59" s="231"/>
      <c r="W59" s="230"/>
      <c r="X59" s="232"/>
      <c r="Y59" s="247" t="str">
        <f t="shared" si="62"/>
        <v>--</v>
      </c>
      <c r="Z59" s="231"/>
      <c r="AA59" s="230"/>
      <c r="AB59" s="270"/>
      <c r="AC59" s="272" t="str">
        <f t="shared" si="38"/>
        <v>--</v>
      </c>
      <c r="AD59" s="231"/>
      <c r="AE59" s="418"/>
      <c r="AF59" s="418"/>
      <c r="AG59" s="250" t="str">
        <f t="shared" si="72"/>
        <v>--</v>
      </c>
      <c r="AH59" s="244"/>
      <c r="AI59" s="243"/>
      <c r="AJ59" s="232"/>
      <c r="AK59" s="233" t="str">
        <f t="shared" si="33"/>
        <v>--</v>
      </c>
      <c r="AL59" s="231"/>
      <c r="AM59" s="230"/>
      <c r="AN59" s="232"/>
      <c r="AO59" s="233" t="str">
        <f t="shared" si="71"/>
        <v>--</v>
      </c>
      <c r="AP59" s="231"/>
      <c r="AQ59" s="230"/>
      <c r="AR59" s="232"/>
      <c r="AS59" s="250" t="str">
        <f t="shared" si="60"/>
        <v>--</v>
      </c>
      <c r="AT59" s="231"/>
      <c r="AU59" s="230"/>
      <c r="AV59" s="232"/>
      <c r="AW59" s="247" t="str">
        <f t="shared" si="22"/>
        <v>--</v>
      </c>
      <c r="AX59" s="261"/>
      <c r="AY59" s="265"/>
      <c r="AZ59" s="264"/>
      <c r="BA59" s="233" t="str">
        <f t="shared" si="68"/>
        <v>--</v>
      </c>
      <c r="BB59" s="238"/>
      <c r="BC59" s="226"/>
      <c r="BD59" s="234"/>
      <c r="BE59" s="233" t="str">
        <f t="shared" si="67"/>
        <v>--</v>
      </c>
      <c r="BF59" s="238"/>
      <c r="BG59" s="226"/>
      <c r="BH59" s="234"/>
      <c r="BI59" s="457" t="str">
        <f t="shared" si="64"/>
        <v>--</v>
      </c>
      <c r="BJ59" s="238"/>
      <c r="BK59" s="226"/>
      <c r="BL59" s="232"/>
      <c r="BM59" s="247" t="str">
        <f t="shared" si="49"/>
        <v>--</v>
      </c>
      <c r="BN59" s="231"/>
      <c r="BO59" s="230"/>
      <c r="BP59" s="232"/>
      <c r="BQ59" s="247" t="str">
        <f t="shared" si="50"/>
        <v>--</v>
      </c>
      <c r="BR59" s="231"/>
      <c r="BS59" s="230"/>
      <c r="BT59" s="232"/>
      <c r="BU59" s="283" t="str">
        <f t="shared" si="34"/>
        <v>--</v>
      </c>
      <c r="BV59" s="231"/>
      <c r="BW59" s="230"/>
      <c r="BX59" s="232"/>
      <c r="BY59" s="233" t="str">
        <f t="shared" si="66"/>
        <v>--</v>
      </c>
      <c r="BZ59" s="231"/>
      <c r="CA59" s="230"/>
      <c r="CB59" s="232"/>
      <c r="CC59" s="233" t="str">
        <f t="shared" si="23"/>
        <v>--</v>
      </c>
      <c r="CD59" s="231"/>
      <c r="CE59" s="230"/>
      <c r="CF59" s="232"/>
      <c r="CG59" s="233" t="str">
        <f t="shared" si="46"/>
        <v>--</v>
      </c>
      <c r="CH59" s="231"/>
      <c r="CI59" s="230"/>
      <c r="CJ59" s="232"/>
      <c r="CK59" s="290" t="str">
        <f t="shared" si="24"/>
        <v>--</v>
      </c>
      <c r="CL59" s="231"/>
      <c r="CM59" s="230"/>
      <c r="CN59" s="230"/>
      <c r="CO59" s="250" t="str">
        <f t="shared" si="36"/>
        <v>--</v>
      </c>
      <c r="CP59" s="231"/>
      <c r="CQ59" s="230"/>
      <c r="CR59" s="232"/>
      <c r="CS59" s="250" t="str">
        <f t="shared" si="25"/>
        <v>--</v>
      </c>
      <c r="CT59" s="231"/>
      <c r="CU59" s="230"/>
      <c r="CV59" s="232"/>
      <c r="CW59" s="283" t="str">
        <f t="shared" si="26"/>
        <v>--</v>
      </c>
      <c r="CX59" s="231"/>
      <c r="CY59" s="230"/>
      <c r="CZ59" s="232"/>
      <c r="DA59" s="250" t="str">
        <f t="shared" si="58"/>
        <v>--</v>
      </c>
      <c r="DB59" s="231"/>
      <c r="DC59" s="230"/>
      <c r="DD59" s="232"/>
      <c r="DE59" s="247" t="str">
        <f t="shared" si="32"/>
        <v>--</v>
      </c>
      <c r="DF59" s="231"/>
      <c r="DG59" s="230"/>
      <c r="DH59" s="232"/>
      <c r="DI59" s="250" t="str">
        <f t="shared" si="27"/>
        <v>--</v>
      </c>
      <c r="DJ59" s="231"/>
      <c r="DK59" s="230"/>
      <c r="DL59" s="232"/>
      <c r="DM59" s="250" t="str">
        <f t="shared" si="55"/>
        <v>--</v>
      </c>
      <c r="DN59" s="231"/>
      <c r="DO59" s="230"/>
      <c r="DP59" s="232"/>
      <c r="DQ59" s="247" t="str">
        <f t="shared" si="70"/>
        <v>--</v>
      </c>
      <c r="DR59" s="231"/>
      <c r="DS59" s="230"/>
      <c r="DT59" s="232"/>
      <c r="DU59" s="283" t="str">
        <f t="shared" si="28"/>
        <v>--</v>
      </c>
      <c r="DV59" s="231"/>
      <c r="DW59" s="230"/>
      <c r="DX59" s="232"/>
      <c r="DY59" s="247" t="str">
        <f t="shared" si="73"/>
        <v>--</v>
      </c>
      <c r="DZ59" s="231"/>
      <c r="EA59" s="230"/>
      <c r="EB59" s="232"/>
      <c r="EC59" s="250" t="str">
        <f t="shared" si="65"/>
        <v>--</v>
      </c>
      <c r="ED59" s="231"/>
      <c r="EE59" s="230"/>
      <c r="EF59" s="232"/>
      <c r="EG59" s="250" t="str">
        <f t="shared" si="69"/>
        <v>--</v>
      </c>
      <c r="EH59" s="231"/>
      <c r="EI59" s="230"/>
      <c r="EJ59" s="232"/>
      <c r="EK59" s="250" t="str">
        <f t="shared" si="29"/>
        <v>--</v>
      </c>
      <c r="EL59" s="231"/>
      <c r="EM59" s="230"/>
      <c r="EN59" s="232"/>
      <c r="EO59" s="250" t="str">
        <f t="shared" si="30"/>
        <v>--</v>
      </c>
    </row>
    <row r="60" spans="21:145" ht="15" x14ac:dyDescent="0.25">
      <c r="U60" s="237">
        <v>58</v>
      </c>
      <c r="V60" s="231"/>
      <c r="W60" s="230"/>
      <c r="X60" s="232"/>
      <c r="Y60" s="247" t="str">
        <f t="shared" si="62"/>
        <v>--</v>
      </c>
      <c r="Z60" s="231"/>
      <c r="AA60" s="230"/>
      <c r="AB60" s="270"/>
      <c r="AC60" s="272" t="str">
        <f t="shared" si="38"/>
        <v>--</v>
      </c>
      <c r="AD60" s="231"/>
      <c r="AE60" s="418"/>
      <c r="AF60" s="418"/>
      <c r="AG60" s="250" t="str">
        <f t="shared" si="72"/>
        <v>--</v>
      </c>
      <c r="AH60" s="244"/>
      <c r="AI60" s="243"/>
      <c r="AJ60" s="232"/>
      <c r="AK60" s="233" t="str">
        <f t="shared" si="33"/>
        <v>--</v>
      </c>
      <c r="AL60" s="231"/>
      <c r="AM60" s="230"/>
      <c r="AN60" s="232"/>
      <c r="AO60" s="233" t="str">
        <f t="shared" si="71"/>
        <v>--</v>
      </c>
      <c r="AP60" s="231"/>
      <c r="AQ60" s="230"/>
      <c r="AR60" s="232"/>
      <c r="AS60" s="250" t="str">
        <f t="shared" si="60"/>
        <v>--</v>
      </c>
      <c r="AT60" s="231"/>
      <c r="AU60" s="230"/>
      <c r="AV60" s="232"/>
      <c r="AW60" s="247" t="str">
        <f t="shared" si="22"/>
        <v>--</v>
      </c>
      <c r="AX60" s="261"/>
      <c r="AY60" s="260"/>
      <c r="AZ60" s="264"/>
      <c r="BA60" s="233" t="str">
        <f t="shared" si="68"/>
        <v>--</v>
      </c>
      <c r="BB60" s="238"/>
      <c r="BC60" s="226"/>
      <c r="BD60" s="234"/>
      <c r="BE60" s="233" t="str">
        <f t="shared" si="67"/>
        <v>--</v>
      </c>
      <c r="BF60" s="238"/>
      <c r="BG60" s="226"/>
      <c r="BH60" s="234"/>
      <c r="BI60" s="233" t="str">
        <f t="shared" ref="BI60:BI67" si="74">CONCATENATE(BF60,"-",BG60,"-",BH60)</f>
        <v>--</v>
      </c>
      <c r="BJ60" s="238"/>
      <c r="BK60" s="226"/>
      <c r="BL60" s="232"/>
      <c r="BM60" s="247" t="str">
        <f t="shared" si="49"/>
        <v>--</v>
      </c>
      <c r="BN60" s="231"/>
      <c r="BO60" s="230"/>
      <c r="BP60" s="232"/>
      <c r="BQ60" s="247" t="str">
        <f t="shared" si="50"/>
        <v>--</v>
      </c>
      <c r="BR60" s="231"/>
      <c r="BS60" s="230"/>
      <c r="BT60" s="232"/>
      <c r="BU60" s="283" t="str">
        <f t="shared" si="34"/>
        <v>--</v>
      </c>
      <c r="BV60" s="231"/>
      <c r="BW60" s="230"/>
      <c r="BX60" s="232"/>
      <c r="BY60" s="233" t="str">
        <f t="shared" si="66"/>
        <v>--</v>
      </c>
      <c r="BZ60" s="231"/>
      <c r="CA60" s="230"/>
      <c r="CB60" s="232"/>
      <c r="CC60" s="233" t="str">
        <f t="shared" si="23"/>
        <v>--</v>
      </c>
      <c r="CD60" s="231"/>
      <c r="CE60" s="230"/>
      <c r="CF60" s="232"/>
      <c r="CG60" s="233" t="str">
        <f t="shared" si="46"/>
        <v>--</v>
      </c>
      <c r="CH60" s="231"/>
      <c r="CI60" s="230"/>
      <c r="CJ60" s="232"/>
      <c r="CK60" s="290" t="str">
        <f t="shared" si="24"/>
        <v>--</v>
      </c>
      <c r="CL60" s="231"/>
      <c r="CM60" s="230"/>
      <c r="CN60" s="230"/>
      <c r="CO60" s="250" t="str">
        <f t="shared" si="36"/>
        <v>--</v>
      </c>
      <c r="CP60" s="231"/>
      <c r="CQ60" s="230"/>
      <c r="CR60" s="232"/>
      <c r="CS60" s="250" t="str">
        <f t="shared" si="25"/>
        <v>--</v>
      </c>
      <c r="CT60" s="231"/>
      <c r="CU60" s="230"/>
      <c r="CV60" s="232"/>
      <c r="CW60" s="283" t="str">
        <f t="shared" si="26"/>
        <v>--</v>
      </c>
      <c r="CX60" s="231"/>
      <c r="CY60" s="230"/>
      <c r="CZ60" s="232"/>
      <c r="DA60" s="250" t="str">
        <f t="shared" si="58"/>
        <v>--</v>
      </c>
      <c r="DB60" s="231"/>
      <c r="DC60" s="230"/>
      <c r="DD60" s="232"/>
      <c r="DE60" s="247" t="str">
        <f t="shared" si="32"/>
        <v>--</v>
      </c>
      <c r="DF60" s="231"/>
      <c r="DG60" s="230"/>
      <c r="DH60" s="232"/>
      <c r="DI60" s="250" t="str">
        <f t="shared" si="27"/>
        <v>--</v>
      </c>
      <c r="DJ60" s="231"/>
      <c r="DK60" s="230"/>
      <c r="DL60" s="232"/>
      <c r="DM60" s="250" t="str">
        <f t="shared" si="55"/>
        <v>--</v>
      </c>
      <c r="DN60" s="231"/>
      <c r="DO60" s="230"/>
      <c r="DP60" s="232"/>
      <c r="DQ60" s="247" t="str">
        <f t="shared" si="70"/>
        <v>--</v>
      </c>
      <c r="DR60" s="231"/>
      <c r="DS60" s="230"/>
      <c r="DT60" s="232"/>
      <c r="DU60" s="283" t="str">
        <f t="shared" si="28"/>
        <v>--</v>
      </c>
      <c r="DV60" s="231"/>
      <c r="DW60" s="230"/>
      <c r="DX60" s="232"/>
      <c r="DY60" s="247" t="str">
        <f t="shared" si="73"/>
        <v>--</v>
      </c>
      <c r="DZ60" s="231"/>
      <c r="EA60" s="230"/>
      <c r="EB60" s="232"/>
      <c r="EC60" s="250" t="str">
        <f t="shared" si="65"/>
        <v>--</v>
      </c>
      <c r="ED60" s="231"/>
      <c r="EE60" s="230"/>
      <c r="EF60" s="232"/>
      <c r="EG60" s="250" t="str">
        <f t="shared" si="69"/>
        <v>--</v>
      </c>
      <c r="EH60" s="231"/>
      <c r="EI60" s="230"/>
      <c r="EJ60" s="232"/>
      <c r="EK60" s="250" t="str">
        <f t="shared" si="29"/>
        <v>--</v>
      </c>
      <c r="EL60" s="231"/>
      <c r="EM60" s="230"/>
      <c r="EN60" s="232"/>
      <c r="EO60" s="250" t="str">
        <f t="shared" si="30"/>
        <v>--</v>
      </c>
    </row>
    <row r="61" spans="21:145" ht="15" x14ac:dyDescent="0.25">
      <c r="U61" s="237">
        <v>59</v>
      </c>
      <c r="V61" s="231"/>
      <c r="W61" s="230"/>
      <c r="X61" s="232"/>
      <c r="Y61" s="247" t="str">
        <f t="shared" si="62"/>
        <v>--</v>
      </c>
      <c r="Z61" s="231"/>
      <c r="AA61" s="230"/>
      <c r="AB61" s="270"/>
      <c r="AC61" s="272" t="str">
        <f t="shared" si="38"/>
        <v>--</v>
      </c>
      <c r="AD61" s="231"/>
      <c r="AE61" s="418"/>
      <c r="AF61" s="418"/>
      <c r="AG61" s="250" t="str">
        <f t="shared" si="72"/>
        <v>--</v>
      </c>
      <c r="AH61" s="244"/>
      <c r="AI61" s="243"/>
      <c r="AJ61" s="232"/>
      <c r="AK61" s="233" t="str">
        <f t="shared" si="33"/>
        <v>--</v>
      </c>
      <c r="AL61" s="231"/>
      <c r="AM61" s="230"/>
      <c r="AN61" s="232"/>
      <c r="AO61" s="233" t="str">
        <f t="shared" si="71"/>
        <v>--</v>
      </c>
      <c r="AP61" s="231"/>
      <c r="AQ61" s="230"/>
      <c r="AR61" s="232"/>
      <c r="AS61" s="250" t="str">
        <f t="shared" si="60"/>
        <v>--</v>
      </c>
      <c r="AT61" s="231"/>
      <c r="AU61" s="230"/>
      <c r="AV61" s="232"/>
      <c r="AW61" s="247" t="str">
        <f t="shared" si="22"/>
        <v>--</v>
      </c>
      <c r="AX61" s="261"/>
      <c r="AY61" s="265"/>
      <c r="AZ61" s="264"/>
      <c r="BA61" s="233" t="str">
        <f t="shared" si="68"/>
        <v>--</v>
      </c>
      <c r="BB61" s="238"/>
      <c r="BC61" s="226"/>
      <c r="BD61" s="234"/>
      <c r="BE61" s="233" t="str">
        <f t="shared" si="67"/>
        <v>--</v>
      </c>
      <c r="BF61" s="238"/>
      <c r="BG61" s="226"/>
      <c r="BH61" s="234"/>
      <c r="BI61" s="233" t="str">
        <f t="shared" si="74"/>
        <v>--</v>
      </c>
      <c r="BJ61" s="238"/>
      <c r="BK61" s="226"/>
      <c r="BL61" s="232"/>
      <c r="BM61" s="247" t="str">
        <f t="shared" si="49"/>
        <v>--</v>
      </c>
      <c r="BN61" s="231"/>
      <c r="BO61" s="230"/>
      <c r="BP61" s="232"/>
      <c r="BQ61" s="247" t="str">
        <f t="shared" si="50"/>
        <v>--</v>
      </c>
      <c r="BR61" s="231"/>
      <c r="BS61" s="230"/>
      <c r="BT61" s="232"/>
      <c r="BU61" s="283" t="str">
        <f t="shared" si="34"/>
        <v>--</v>
      </c>
      <c r="BV61" s="231"/>
      <c r="BW61" s="230"/>
      <c r="BX61" s="232"/>
      <c r="BY61" s="233" t="str">
        <f t="shared" si="66"/>
        <v>--</v>
      </c>
      <c r="BZ61" s="231"/>
      <c r="CA61" s="230"/>
      <c r="CB61" s="232"/>
      <c r="CC61" s="233" t="str">
        <f t="shared" si="23"/>
        <v>--</v>
      </c>
      <c r="CD61" s="231"/>
      <c r="CE61" s="230"/>
      <c r="CF61" s="232"/>
      <c r="CG61" s="233" t="str">
        <f t="shared" si="46"/>
        <v>--</v>
      </c>
      <c r="CH61" s="231"/>
      <c r="CI61" s="230"/>
      <c r="CJ61" s="232"/>
      <c r="CK61" s="290" t="str">
        <f t="shared" si="24"/>
        <v>--</v>
      </c>
      <c r="CL61" s="231"/>
      <c r="CM61" s="230"/>
      <c r="CN61" s="230"/>
      <c r="CO61" s="250" t="str">
        <f t="shared" si="36"/>
        <v>--</v>
      </c>
      <c r="CP61" s="231"/>
      <c r="CQ61" s="230"/>
      <c r="CR61" s="232"/>
      <c r="CS61" s="250" t="str">
        <f t="shared" si="25"/>
        <v>--</v>
      </c>
      <c r="CT61" s="231"/>
      <c r="CU61" s="230"/>
      <c r="CV61" s="232"/>
      <c r="CW61" s="283" t="str">
        <f t="shared" si="26"/>
        <v>--</v>
      </c>
      <c r="CX61" s="231"/>
      <c r="CY61" s="230"/>
      <c r="CZ61" s="232"/>
      <c r="DA61" s="250" t="str">
        <f t="shared" si="58"/>
        <v>--</v>
      </c>
      <c r="DB61" s="231"/>
      <c r="DC61" s="230"/>
      <c r="DD61" s="232"/>
      <c r="DE61" s="247" t="str">
        <f t="shared" si="32"/>
        <v>--</v>
      </c>
      <c r="DF61" s="231"/>
      <c r="DG61" s="230"/>
      <c r="DH61" s="232"/>
      <c r="DI61" s="250" t="str">
        <f t="shared" si="27"/>
        <v>--</v>
      </c>
      <c r="DJ61" s="231"/>
      <c r="DK61" s="230"/>
      <c r="DL61" s="232"/>
      <c r="DM61" s="250" t="str">
        <f t="shared" si="55"/>
        <v>--</v>
      </c>
      <c r="DN61" s="231"/>
      <c r="DO61" s="230"/>
      <c r="DP61" s="232"/>
      <c r="DQ61" s="247" t="str">
        <f t="shared" si="70"/>
        <v>--</v>
      </c>
      <c r="DR61" s="231"/>
      <c r="DS61" s="230"/>
      <c r="DT61" s="232"/>
      <c r="DU61" s="283" t="str">
        <f t="shared" si="28"/>
        <v>--</v>
      </c>
      <c r="DV61" s="231"/>
      <c r="DW61" s="230"/>
      <c r="DX61" s="232"/>
      <c r="DY61" s="247" t="str">
        <f t="shared" si="73"/>
        <v>--</v>
      </c>
      <c r="DZ61" s="231"/>
      <c r="EA61" s="230"/>
      <c r="EB61" s="232"/>
      <c r="EC61" s="250" t="str">
        <f t="shared" si="65"/>
        <v>--</v>
      </c>
      <c r="ED61" s="231"/>
      <c r="EE61" s="230"/>
      <c r="EF61" s="232"/>
      <c r="EG61" s="250" t="str">
        <f t="shared" si="69"/>
        <v>--</v>
      </c>
      <c r="EH61" s="231"/>
      <c r="EI61" s="230"/>
      <c r="EJ61" s="232"/>
      <c r="EK61" s="250" t="str">
        <f t="shared" si="29"/>
        <v>--</v>
      </c>
      <c r="EL61" s="231"/>
      <c r="EM61" s="230"/>
      <c r="EN61" s="232"/>
      <c r="EO61" s="250" t="str">
        <f t="shared" si="30"/>
        <v>--</v>
      </c>
    </row>
    <row r="62" spans="21:145" ht="15" x14ac:dyDescent="0.25">
      <c r="U62" s="237">
        <v>60</v>
      </c>
      <c r="V62" s="231"/>
      <c r="W62" s="230"/>
      <c r="X62" s="232"/>
      <c r="Y62" s="247" t="str">
        <f t="shared" si="62"/>
        <v>--</v>
      </c>
      <c r="Z62" s="231"/>
      <c r="AA62" s="230"/>
      <c r="AB62" s="270"/>
      <c r="AC62" s="272" t="str">
        <f t="shared" si="38"/>
        <v>--</v>
      </c>
      <c r="AD62" s="231"/>
      <c r="AE62" s="418"/>
      <c r="AF62" s="418"/>
      <c r="AG62" s="250" t="str">
        <f t="shared" si="72"/>
        <v>--</v>
      </c>
      <c r="AH62" s="244"/>
      <c r="AI62" s="243"/>
      <c r="AJ62" s="232"/>
      <c r="AK62" s="233" t="str">
        <f t="shared" si="33"/>
        <v>--</v>
      </c>
      <c r="AL62" s="231"/>
      <c r="AM62" s="230"/>
      <c r="AN62" s="232"/>
      <c r="AO62" s="233" t="str">
        <f t="shared" si="71"/>
        <v>--</v>
      </c>
      <c r="AP62" s="231"/>
      <c r="AQ62" s="230"/>
      <c r="AR62" s="232"/>
      <c r="AS62" s="250" t="str">
        <f t="shared" si="60"/>
        <v>--</v>
      </c>
      <c r="AT62" s="231"/>
      <c r="AU62" s="230"/>
      <c r="AV62" s="232"/>
      <c r="AW62" s="247" t="str">
        <f t="shared" si="22"/>
        <v>--</v>
      </c>
      <c r="AX62" s="395"/>
      <c r="AY62" s="396"/>
      <c r="AZ62" s="396"/>
      <c r="BA62" s="233" t="str">
        <f t="shared" si="68"/>
        <v>--</v>
      </c>
      <c r="BB62" s="238"/>
      <c r="BC62" s="226"/>
      <c r="BD62" s="234"/>
      <c r="BE62" s="233" t="str">
        <f t="shared" si="67"/>
        <v>--</v>
      </c>
      <c r="BF62" s="238"/>
      <c r="BG62" s="226"/>
      <c r="BH62" s="234"/>
      <c r="BI62" s="233" t="str">
        <f t="shared" si="74"/>
        <v>--</v>
      </c>
      <c r="BJ62" s="238"/>
      <c r="BK62" s="226"/>
      <c r="BL62" s="232"/>
      <c r="BM62" s="247" t="str">
        <f t="shared" si="49"/>
        <v>--</v>
      </c>
      <c r="BN62" s="231"/>
      <c r="BO62" s="230"/>
      <c r="BP62" s="232"/>
      <c r="BQ62" s="247" t="str">
        <f t="shared" si="50"/>
        <v>--</v>
      </c>
      <c r="BR62" s="231"/>
      <c r="BS62" s="230"/>
      <c r="BT62" s="232"/>
      <c r="BU62" s="283" t="str">
        <f t="shared" si="34"/>
        <v>--</v>
      </c>
      <c r="BV62" s="231"/>
      <c r="BW62" s="230"/>
      <c r="BX62" s="232"/>
      <c r="BY62" s="233" t="str">
        <f t="shared" si="66"/>
        <v>--</v>
      </c>
      <c r="BZ62" s="231"/>
      <c r="CA62" s="230"/>
      <c r="CB62" s="232"/>
      <c r="CC62" s="233" t="str">
        <f t="shared" si="23"/>
        <v>--</v>
      </c>
      <c r="CD62" s="231"/>
      <c r="CE62" s="230"/>
      <c r="CF62" s="232"/>
      <c r="CG62" s="233" t="str">
        <f t="shared" si="46"/>
        <v>--</v>
      </c>
      <c r="CH62" s="231"/>
      <c r="CI62" s="230"/>
      <c r="CJ62" s="232"/>
      <c r="CK62" s="290" t="str">
        <f t="shared" si="24"/>
        <v>--</v>
      </c>
      <c r="CL62" s="231"/>
      <c r="CM62" s="230"/>
      <c r="CN62" s="230"/>
      <c r="CO62" s="250" t="str">
        <f t="shared" si="36"/>
        <v>--</v>
      </c>
      <c r="CP62" s="231"/>
      <c r="CQ62" s="230"/>
      <c r="CR62" s="232"/>
      <c r="CS62" s="250" t="str">
        <f t="shared" si="25"/>
        <v>--</v>
      </c>
      <c r="CT62" s="231"/>
      <c r="CU62" s="230"/>
      <c r="CV62" s="232"/>
      <c r="CW62" s="283" t="str">
        <f t="shared" si="26"/>
        <v>--</v>
      </c>
      <c r="CX62" s="231"/>
      <c r="CY62" s="230"/>
      <c r="CZ62" s="232"/>
      <c r="DA62" s="250" t="str">
        <f t="shared" ref="DA62:DA67" si="75">CONCATENATE(CX62,"-",CY62,"-",CZ62)</f>
        <v>--</v>
      </c>
      <c r="DB62" s="231"/>
      <c r="DC62" s="230"/>
      <c r="DD62" s="232"/>
      <c r="DE62" s="247" t="str">
        <f t="shared" si="32"/>
        <v>--</v>
      </c>
      <c r="DF62" s="231"/>
      <c r="DG62" s="230"/>
      <c r="DH62" s="232"/>
      <c r="DI62" s="250" t="str">
        <f t="shared" si="27"/>
        <v>--</v>
      </c>
      <c r="DJ62" s="231"/>
      <c r="DK62" s="230"/>
      <c r="DL62" s="232"/>
      <c r="DM62" s="250" t="str">
        <f t="shared" si="55"/>
        <v>--</v>
      </c>
      <c r="DN62" s="231"/>
      <c r="DO62" s="230"/>
      <c r="DP62" s="232"/>
      <c r="DQ62" s="247" t="str">
        <f t="shared" si="70"/>
        <v>--</v>
      </c>
      <c r="DR62" s="231"/>
      <c r="DS62" s="230"/>
      <c r="DT62" s="232"/>
      <c r="DU62" s="283" t="str">
        <f t="shared" si="28"/>
        <v>--</v>
      </c>
      <c r="DV62" s="231"/>
      <c r="DW62" s="230"/>
      <c r="DX62" s="232"/>
      <c r="DY62" s="247" t="str">
        <f t="shared" si="73"/>
        <v>--</v>
      </c>
      <c r="DZ62" s="231"/>
      <c r="EA62" s="230"/>
      <c r="EB62" s="232"/>
      <c r="EC62" s="250" t="str">
        <f t="shared" ref="EC62:EC67" si="76">CONCATENATE(DZ62,"-",EA62,"-",EB62)</f>
        <v>--</v>
      </c>
      <c r="ED62" s="231"/>
      <c r="EE62" s="230"/>
      <c r="EF62" s="232"/>
      <c r="EG62" s="250" t="str">
        <f t="shared" si="69"/>
        <v>--</v>
      </c>
      <c r="EH62" s="231"/>
      <c r="EI62" s="230"/>
      <c r="EJ62" s="232"/>
      <c r="EK62" s="250" t="str">
        <f t="shared" si="29"/>
        <v>--</v>
      </c>
      <c r="EL62" s="231"/>
      <c r="EM62" s="230"/>
      <c r="EN62" s="232"/>
      <c r="EO62" s="250" t="str">
        <f t="shared" si="30"/>
        <v>--</v>
      </c>
    </row>
    <row r="63" spans="21:145" ht="15" x14ac:dyDescent="0.25">
      <c r="U63" s="237">
        <v>61</v>
      </c>
      <c r="V63" s="231"/>
      <c r="W63" s="230"/>
      <c r="X63" s="232"/>
      <c r="Y63" s="247" t="str">
        <f t="shared" si="62"/>
        <v>--</v>
      </c>
      <c r="Z63" s="231"/>
      <c r="AA63" s="230"/>
      <c r="AB63" s="270"/>
      <c r="AC63" s="272" t="str">
        <f t="shared" si="38"/>
        <v>--</v>
      </c>
      <c r="AD63" s="417"/>
      <c r="AE63" s="418"/>
      <c r="AF63" s="418"/>
      <c r="AG63" s="250" t="str">
        <f t="shared" si="72"/>
        <v>--</v>
      </c>
      <c r="AH63" s="244"/>
      <c r="AI63" s="243"/>
      <c r="AJ63" s="232"/>
      <c r="AK63" s="233" t="str">
        <f t="shared" si="33"/>
        <v>--</v>
      </c>
      <c r="AL63" s="231"/>
      <c r="AM63" s="230"/>
      <c r="AN63" s="232"/>
      <c r="AO63" s="233" t="str">
        <f t="shared" si="71"/>
        <v>--</v>
      </c>
      <c r="AP63" s="231"/>
      <c r="AQ63" s="230"/>
      <c r="AR63" s="232"/>
      <c r="AS63" s="250" t="str">
        <f t="shared" si="60"/>
        <v>--</v>
      </c>
      <c r="AT63" s="231"/>
      <c r="AU63" s="230"/>
      <c r="AV63" s="232"/>
      <c r="AW63" s="247" t="str">
        <f t="shared" si="22"/>
        <v>--</v>
      </c>
      <c r="AX63" s="261"/>
      <c r="AY63" s="254"/>
      <c r="AZ63" s="264"/>
      <c r="BA63" s="233" t="str">
        <f t="shared" si="68"/>
        <v>--</v>
      </c>
      <c r="BB63" s="231"/>
      <c r="BC63" s="230"/>
      <c r="BD63" s="234"/>
      <c r="BE63" s="233" t="str">
        <f t="shared" si="67"/>
        <v>--</v>
      </c>
      <c r="BF63" s="238"/>
      <c r="BG63" s="226"/>
      <c r="BH63" s="234"/>
      <c r="BI63" s="233" t="str">
        <f t="shared" si="74"/>
        <v>--</v>
      </c>
      <c r="BJ63" s="238"/>
      <c r="BK63" s="226"/>
      <c r="BL63" s="232"/>
      <c r="BM63" s="247" t="str">
        <f t="shared" si="49"/>
        <v>--</v>
      </c>
      <c r="BN63" s="231"/>
      <c r="BO63" s="230"/>
      <c r="BP63" s="232"/>
      <c r="BQ63" s="247" t="str">
        <f t="shared" si="50"/>
        <v>--</v>
      </c>
      <c r="BR63" s="231"/>
      <c r="BS63" s="230"/>
      <c r="BT63" s="232"/>
      <c r="BU63" s="283" t="str">
        <f t="shared" si="34"/>
        <v>--</v>
      </c>
      <c r="BV63" s="231"/>
      <c r="BW63" s="230"/>
      <c r="BX63" s="232"/>
      <c r="BY63" s="233" t="str">
        <f t="shared" si="66"/>
        <v>--</v>
      </c>
      <c r="BZ63" s="231"/>
      <c r="CA63" s="230"/>
      <c r="CB63" s="232"/>
      <c r="CC63" s="233" t="str">
        <f t="shared" si="23"/>
        <v>--</v>
      </c>
      <c r="CD63" s="231"/>
      <c r="CE63" s="230"/>
      <c r="CF63" s="232"/>
      <c r="CG63" s="233" t="str">
        <f t="shared" si="46"/>
        <v>--</v>
      </c>
      <c r="CH63" s="231"/>
      <c r="CI63" s="230"/>
      <c r="CJ63" s="232"/>
      <c r="CK63" s="290" t="str">
        <f t="shared" si="24"/>
        <v>--</v>
      </c>
      <c r="CL63" s="231"/>
      <c r="CM63" s="230"/>
      <c r="CN63" s="230"/>
      <c r="CO63" s="250" t="str">
        <f t="shared" si="36"/>
        <v>--</v>
      </c>
      <c r="CP63" s="231"/>
      <c r="CQ63" s="230"/>
      <c r="CR63" s="232"/>
      <c r="CS63" s="250" t="str">
        <f t="shared" si="25"/>
        <v>--</v>
      </c>
      <c r="CT63" s="231"/>
      <c r="CU63" s="230"/>
      <c r="CV63" s="232"/>
      <c r="CW63" s="283" t="str">
        <f t="shared" si="26"/>
        <v>--</v>
      </c>
      <c r="CX63" s="231"/>
      <c r="CY63" s="230"/>
      <c r="CZ63" s="232"/>
      <c r="DA63" s="250" t="str">
        <f t="shared" si="75"/>
        <v>--</v>
      </c>
      <c r="DB63" s="231"/>
      <c r="DC63" s="230"/>
      <c r="DD63" s="232"/>
      <c r="DE63" s="247" t="str">
        <f t="shared" si="32"/>
        <v>--</v>
      </c>
      <c r="DF63" s="231"/>
      <c r="DG63" s="230"/>
      <c r="DH63" s="232"/>
      <c r="DI63" s="250" t="str">
        <f t="shared" si="27"/>
        <v>--</v>
      </c>
      <c r="DJ63" s="231"/>
      <c r="DK63" s="230"/>
      <c r="DL63" s="232"/>
      <c r="DM63" s="250" t="str">
        <f t="shared" si="55"/>
        <v>--</v>
      </c>
      <c r="DN63" s="231"/>
      <c r="DO63" s="230"/>
      <c r="DP63" s="232"/>
      <c r="DQ63" s="247" t="str">
        <f t="shared" si="70"/>
        <v>--</v>
      </c>
      <c r="DR63" s="231"/>
      <c r="DS63" s="230"/>
      <c r="DT63" s="232"/>
      <c r="DU63" s="283" t="str">
        <f t="shared" si="28"/>
        <v>--</v>
      </c>
      <c r="DV63" s="231"/>
      <c r="DW63" s="230"/>
      <c r="DX63" s="232"/>
      <c r="DY63" s="247" t="str">
        <f t="shared" si="73"/>
        <v>--</v>
      </c>
      <c r="DZ63" s="231"/>
      <c r="EA63" s="230"/>
      <c r="EB63" s="232"/>
      <c r="EC63" s="250" t="str">
        <f t="shared" si="76"/>
        <v>--</v>
      </c>
      <c r="ED63" s="231"/>
      <c r="EE63" s="230"/>
      <c r="EF63" s="232"/>
      <c r="EG63" s="250" t="str">
        <f t="shared" si="69"/>
        <v>--</v>
      </c>
      <c r="EH63" s="231"/>
      <c r="EI63" s="230"/>
      <c r="EJ63" s="232"/>
      <c r="EK63" s="250" t="str">
        <f t="shared" si="29"/>
        <v>--</v>
      </c>
      <c r="EL63" s="231"/>
      <c r="EM63" s="230"/>
      <c r="EN63" s="232"/>
      <c r="EO63" s="250" t="str">
        <f t="shared" si="30"/>
        <v>--</v>
      </c>
    </row>
    <row r="64" spans="21:145" ht="15" x14ac:dyDescent="0.25">
      <c r="U64" s="237">
        <v>62</v>
      </c>
      <c r="V64" s="231"/>
      <c r="W64" s="230"/>
      <c r="X64" s="232"/>
      <c r="Y64" s="247" t="str">
        <f t="shared" si="62"/>
        <v>--</v>
      </c>
      <c r="Z64" s="231"/>
      <c r="AA64" s="230"/>
      <c r="AB64" s="270"/>
      <c r="AC64" s="272" t="str">
        <f t="shared" ref="AC64:AC71" si="77">CONCATENATE(Z64,"-",AA64,"-",AB64)</f>
        <v>--</v>
      </c>
      <c r="AD64" s="417"/>
      <c r="AE64" s="418"/>
      <c r="AF64" s="418"/>
      <c r="AG64" s="250" t="str">
        <f t="shared" si="72"/>
        <v>--</v>
      </c>
      <c r="AH64" s="244"/>
      <c r="AI64" s="243"/>
      <c r="AJ64" s="232"/>
      <c r="AK64" s="233" t="str">
        <f t="shared" si="33"/>
        <v>--</v>
      </c>
      <c r="AL64" s="231"/>
      <c r="AM64" s="230"/>
      <c r="AN64" s="232"/>
      <c r="AO64" s="233" t="str">
        <f t="shared" si="71"/>
        <v>--</v>
      </c>
      <c r="AP64" s="231"/>
      <c r="AQ64" s="230"/>
      <c r="AR64" s="232"/>
      <c r="AS64" s="250" t="str">
        <f t="shared" si="60"/>
        <v>--</v>
      </c>
      <c r="AT64" s="231"/>
      <c r="AU64" s="230"/>
      <c r="AV64" s="232"/>
      <c r="AW64" s="247" t="str">
        <f t="shared" si="22"/>
        <v>--</v>
      </c>
      <c r="AX64" s="261"/>
      <c r="AY64" s="254"/>
      <c r="AZ64" s="264"/>
      <c r="BA64" s="233" t="str">
        <f t="shared" si="68"/>
        <v>--</v>
      </c>
      <c r="BB64" s="238"/>
      <c r="BC64" s="226"/>
      <c r="BD64" s="234"/>
      <c r="BE64" s="233" t="str">
        <f t="shared" si="67"/>
        <v>--</v>
      </c>
      <c r="BF64" s="231"/>
      <c r="BG64" s="230"/>
      <c r="BH64" s="234"/>
      <c r="BI64" s="233" t="str">
        <f t="shared" si="74"/>
        <v>--</v>
      </c>
      <c r="BJ64" s="238"/>
      <c r="BK64" s="226"/>
      <c r="BL64" s="232"/>
      <c r="BM64" s="247" t="str">
        <f t="shared" si="49"/>
        <v>--</v>
      </c>
      <c r="BN64" s="231"/>
      <c r="BO64" s="230"/>
      <c r="BP64" s="232"/>
      <c r="BQ64" s="247" t="str">
        <f t="shared" si="50"/>
        <v>--</v>
      </c>
      <c r="BR64" s="231"/>
      <c r="BS64" s="230"/>
      <c r="BT64" s="232"/>
      <c r="BU64" s="283" t="str">
        <f t="shared" si="34"/>
        <v>--</v>
      </c>
      <c r="BV64" s="231"/>
      <c r="BW64" s="230"/>
      <c r="BX64" s="232"/>
      <c r="BY64" s="233" t="str">
        <f t="shared" si="66"/>
        <v>--</v>
      </c>
      <c r="BZ64" s="231"/>
      <c r="CA64" s="230"/>
      <c r="CB64" s="232"/>
      <c r="CC64" s="233" t="str">
        <f t="shared" si="23"/>
        <v>--</v>
      </c>
      <c r="CD64" s="231"/>
      <c r="CE64" s="230"/>
      <c r="CF64" s="232"/>
      <c r="CG64" s="233" t="str">
        <f t="shared" si="46"/>
        <v>--</v>
      </c>
      <c r="CH64" s="231"/>
      <c r="CI64" s="230"/>
      <c r="CJ64" s="232"/>
      <c r="CK64" s="290" t="str">
        <f t="shared" si="24"/>
        <v>--</v>
      </c>
      <c r="CL64" s="231"/>
      <c r="CM64" s="230"/>
      <c r="CN64" s="230"/>
      <c r="CO64" s="250" t="str">
        <f t="shared" si="36"/>
        <v>--</v>
      </c>
      <c r="CP64" s="231"/>
      <c r="CQ64" s="230"/>
      <c r="CR64" s="232"/>
      <c r="CS64" s="250" t="str">
        <f t="shared" si="25"/>
        <v>--</v>
      </c>
      <c r="CT64" s="231"/>
      <c r="CU64" s="230"/>
      <c r="CV64" s="232"/>
      <c r="CW64" s="283" t="str">
        <f t="shared" si="26"/>
        <v>--</v>
      </c>
      <c r="CX64" s="231"/>
      <c r="CY64" s="230"/>
      <c r="CZ64" s="232"/>
      <c r="DA64" s="250" t="str">
        <f t="shared" si="75"/>
        <v>--</v>
      </c>
      <c r="DB64" s="231"/>
      <c r="DC64" s="230"/>
      <c r="DD64" s="232"/>
      <c r="DE64" s="247" t="str">
        <f t="shared" si="32"/>
        <v>--</v>
      </c>
      <c r="DF64" s="231"/>
      <c r="DG64" s="230"/>
      <c r="DH64" s="232"/>
      <c r="DI64" s="250" t="str">
        <f t="shared" si="27"/>
        <v>--</v>
      </c>
      <c r="DJ64" s="231"/>
      <c r="DK64" s="230"/>
      <c r="DL64" s="232"/>
      <c r="DM64" s="250" t="str">
        <f t="shared" si="55"/>
        <v>--</v>
      </c>
      <c r="DN64" s="231"/>
      <c r="DO64" s="230"/>
      <c r="DP64" s="232"/>
      <c r="DQ64" s="247" t="str">
        <f t="shared" si="70"/>
        <v>--</v>
      </c>
      <c r="DR64" s="231"/>
      <c r="DS64" s="230"/>
      <c r="DT64" s="232"/>
      <c r="DU64" s="283" t="str">
        <f t="shared" si="28"/>
        <v>--</v>
      </c>
      <c r="DV64" s="231"/>
      <c r="DW64" s="230"/>
      <c r="DX64" s="232"/>
      <c r="DY64" s="247" t="str">
        <f t="shared" si="73"/>
        <v>--</v>
      </c>
      <c r="DZ64" s="231"/>
      <c r="EA64" s="230"/>
      <c r="EB64" s="232"/>
      <c r="EC64" s="250" t="str">
        <f t="shared" si="76"/>
        <v>--</v>
      </c>
      <c r="ED64" s="231"/>
      <c r="EE64" s="230"/>
      <c r="EF64" s="232"/>
      <c r="EG64" s="250" t="str">
        <f t="shared" si="69"/>
        <v>--</v>
      </c>
      <c r="EH64" s="231"/>
      <c r="EI64" s="230"/>
      <c r="EJ64" s="232"/>
      <c r="EK64" s="250" t="str">
        <f t="shared" si="29"/>
        <v>--</v>
      </c>
      <c r="EL64" s="231"/>
      <c r="EM64" s="230"/>
      <c r="EN64" s="232"/>
      <c r="EO64" s="250" t="str">
        <f t="shared" si="30"/>
        <v>--</v>
      </c>
    </row>
    <row r="65" spans="3:145" ht="15" x14ac:dyDescent="0.25">
      <c r="U65" s="237">
        <v>63</v>
      </c>
      <c r="V65" s="231"/>
      <c r="W65" s="230"/>
      <c r="X65" s="232"/>
      <c r="Y65" s="247" t="str">
        <f t="shared" si="62"/>
        <v>--</v>
      </c>
      <c r="Z65" s="231"/>
      <c r="AA65" s="230"/>
      <c r="AB65" s="270"/>
      <c r="AC65" s="272" t="str">
        <f t="shared" si="77"/>
        <v>--</v>
      </c>
      <c r="AD65" s="417"/>
      <c r="AE65" s="418"/>
      <c r="AF65" s="418"/>
      <c r="AG65" s="250" t="str">
        <f t="shared" si="72"/>
        <v>--</v>
      </c>
      <c r="AH65" s="244"/>
      <c r="AI65" s="243"/>
      <c r="AJ65" s="232"/>
      <c r="AK65" s="233" t="str">
        <f t="shared" si="33"/>
        <v>--</v>
      </c>
      <c r="AL65" s="231"/>
      <c r="AM65" s="230"/>
      <c r="AN65" s="232"/>
      <c r="AO65" s="233" t="str">
        <f t="shared" si="71"/>
        <v>--</v>
      </c>
      <c r="AP65" s="231"/>
      <c r="AQ65" s="230"/>
      <c r="AR65" s="232"/>
      <c r="AS65" s="250" t="str">
        <f t="shared" si="60"/>
        <v>--</v>
      </c>
      <c r="AT65" s="231"/>
      <c r="AU65" s="230"/>
      <c r="AV65" s="232"/>
      <c r="AW65" s="247" t="str">
        <f t="shared" si="22"/>
        <v>--</v>
      </c>
      <c r="AX65" s="258"/>
      <c r="AY65" s="282"/>
      <c r="AZ65" s="287"/>
      <c r="BA65" s="233" t="str">
        <f t="shared" si="68"/>
        <v>--</v>
      </c>
      <c r="BB65" s="238"/>
      <c r="BC65" s="226"/>
      <c r="BD65" s="232"/>
      <c r="BE65" s="233" t="str">
        <f t="shared" ref="BE65:BE72" si="78">CONCATENATE(BB65,"-",BC65,"-",BD65)</f>
        <v>--</v>
      </c>
      <c r="BF65" s="231"/>
      <c r="BG65" s="230"/>
      <c r="BH65" s="232"/>
      <c r="BI65" s="233" t="str">
        <f t="shared" si="74"/>
        <v>--</v>
      </c>
      <c r="BJ65" s="238"/>
      <c r="BK65" s="226"/>
      <c r="BL65" s="232"/>
      <c r="BM65" s="247" t="str">
        <f t="shared" si="49"/>
        <v>--</v>
      </c>
      <c r="BN65" s="231"/>
      <c r="BO65" s="230"/>
      <c r="BP65" s="232"/>
      <c r="BQ65" s="247" t="str">
        <f t="shared" si="50"/>
        <v>--</v>
      </c>
      <c r="BR65" s="231"/>
      <c r="BS65" s="230"/>
      <c r="BT65" s="232"/>
      <c r="BU65" s="283" t="str">
        <f t="shared" si="34"/>
        <v>--</v>
      </c>
      <c r="BV65" s="231"/>
      <c r="BW65" s="230"/>
      <c r="BX65" s="232"/>
      <c r="BY65" s="233" t="str">
        <f t="shared" si="66"/>
        <v>--</v>
      </c>
      <c r="BZ65" s="231"/>
      <c r="CA65" s="230"/>
      <c r="CB65" s="232"/>
      <c r="CC65" s="233" t="str">
        <f t="shared" si="23"/>
        <v>--</v>
      </c>
      <c r="CD65" s="231"/>
      <c r="CE65" s="230"/>
      <c r="CF65" s="232"/>
      <c r="CG65" s="233" t="str">
        <f t="shared" si="46"/>
        <v>--</v>
      </c>
      <c r="CH65" s="231"/>
      <c r="CI65" s="230"/>
      <c r="CJ65" s="232"/>
      <c r="CK65" s="290" t="str">
        <f t="shared" si="24"/>
        <v>--</v>
      </c>
      <c r="CL65" s="231"/>
      <c r="CM65" s="230"/>
      <c r="CN65" s="230"/>
      <c r="CO65" s="250" t="str">
        <f t="shared" si="36"/>
        <v>--</v>
      </c>
      <c r="CP65" s="231"/>
      <c r="CQ65" s="230"/>
      <c r="CR65" s="232"/>
      <c r="CS65" s="250" t="str">
        <f t="shared" si="25"/>
        <v>--</v>
      </c>
      <c r="CT65" s="231"/>
      <c r="CU65" s="230"/>
      <c r="CV65" s="232"/>
      <c r="CW65" s="283" t="str">
        <f t="shared" si="26"/>
        <v>--</v>
      </c>
      <c r="CX65" s="231"/>
      <c r="CY65" s="230"/>
      <c r="CZ65" s="232"/>
      <c r="DA65" s="250" t="str">
        <f t="shared" si="75"/>
        <v>--</v>
      </c>
      <c r="DB65" s="231"/>
      <c r="DC65" s="230"/>
      <c r="DD65" s="232"/>
      <c r="DE65" s="247" t="str">
        <f t="shared" si="32"/>
        <v>--</v>
      </c>
      <c r="DF65" s="231"/>
      <c r="DG65" s="230"/>
      <c r="DH65" s="232"/>
      <c r="DI65" s="250" t="str">
        <f t="shared" si="27"/>
        <v>--</v>
      </c>
      <c r="DJ65" s="231"/>
      <c r="DK65" s="230"/>
      <c r="DL65" s="232"/>
      <c r="DM65" s="250" t="str">
        <f t="shared" si="55"/>
        <v>--</v>
      </c>
      <c r="DN65" s="231"/>
      <c r="DO65" s="230"/>
      <c r="DP65" s="232"/>
      <c r="DQ65" s="247" t="str">
        <f t="shared" si="70"/>
        <v>--</v>
      </c>
      <c r="DR65" s="231"/>
      <c r="DS65" s="230"/>
      <c r="DT65" s="232"/>
      <c r="DU65" s="283" t="str">
        <f t="shared" si="28"/>
        <v>--</v>
      </c>
      <c r="DV65" s="231"/>
      <c r="DW65" s="230"/>
      <c r="DX65" s="232"/>
      <c r="DY65" s="247" t="str">
        <f t="shared" si="73"/>
        <v>--</v>
      </c>
      <c r="DZ65" s="231"/>
      <c r="EA65" s="230"/>
      <c r="EB65" s="232"/>
      <c r="EC65" s="250" t="str">
        <f t="shared" si="76"/>
        <v>--</v>
      </c>
      <c r="ED65" s="231"/>
      <c r="EE65" s="230"/>
      <c r="EF65" s="232"/>
      <c r="EG65" s="250" t="str">
        <f t="shared" si="69"/>
        <v>--</v>
      </c>
      <c r="EH65" s="231"/>
      <c r="EI65" s="230"/>
      <c r="EJ65" s="232"/>
      <c r="EK65" s="250" t="str">
        <f t="shared" si="29"/>
        <v>--</v>
      </c>
      <c r="EL65" s="231"/>
      <c r="EM65" s="230"/>
      <c r="EN65" s="232"/>
      <c r="EO65" s="250" t="str">
        <f t="shared" si="30"/>
        <v>--</v>
      </c>
    </row>
    <row r="66" spans="3:145" ht="15" x14ac:dyDescent="0.25">
      <c r="U66" s="237">
        <v>64</v>
      </c>
      <c r="V66" s="231"/>
      <c r="W66" s="230"/>
      <c r="X66" s="232"/>
      <c r="Y66" s="247" t="str">
        <f t="shared" si="62"/>
        <v>--</v>
      </c>
      <c r="Z66" s="231"/>
      <c r="AA66" s="230"/>
      <c r="AB66" s="270"/>
      <c r="AC66" s="272" t="str">
        <f t="shared" si="77"/>
        <v>--</v>
      </c>
      <c r="AD66" s="417"/>
      <c r="AE66" s="418"/>
      <c r="AF66" s="418"/>
      <c r="AG66" s="250" t="str">
        <f>CONCATENATE(AD66,"-",AE66,"-",AF66)</f>
        <v>--</v>
      </c>
      <c r="AH66" s="244"/>
      <c r="AI66" s="243"/>
      <c r="AJ66" s="232"/>
      <c r="AK66" s="233" t="str">
        <f t="shared" si="33"/>
        <v>--</v>
      </c>
      <c r="AL66" s="231"/>
      <c r="AM66" s="230"/>
      <c r="AN66" s="232"/>
      <c r="AO66" s="233" t="str">
        <f t="shared" si="71"/>
        <v>--</v>
      </c>
      <c r="AP66" s="231"/>
      <c r="AQ66" s="230"/>
      <c r="AR66" s="232"/>
      <c r="AS66" s="250" t="str">
        <f t="shared" si="60"/>
        <v>--</v>
      </c>
      <c r="AT66" s="231"/>
      <c r="AU66" s="230"/>
      <c r="AV66" s="232"/>
      <c r="AW66" s="247" t="str">
        <f t="shared" si="22"/>
        <v>--</v>
      </c>
      <c r="AX66" s="258"/>
      <c r="AY66" s="282"/>
      <c r="AZ66" s="288"/>
      <c r="BA66" s="233" t="str">
        <f t="shared" si="68"/>
        <v>--</v>
      </c>
      <c r="BB66" s="238"/>
      <c r="BC66" s="226"/>
      <c r="BD66" s="232"/>
      <c r="BE66" s="233" t="str">
        <f t="shared" si="78"/>
        <v>--</v>
      </c>
      <c r="BF66" s="238"/>
      <c r="BG66" s="226"/>
      <c r="BH66" s="234"/>
      <c r="BI66" s="233" t="str">
        <f t="shared" si="74"/>
        <v>--</v>
      </c>
      <c r="BJ66" s="231"/>
      <c r="BK66" s="230"/>
      <c r="BL66" s="232"/>
      <c r="BM66" s="247" t="str">
        <f t="shared" si="49"/>
        <v>--</v>
      </c>
      <c r="BN66" s="231"/>
      <c r="BO66" s="230"/>
      <c r="BP66" s="232"/>
      <c r="BQ66" s="247" t="str">
        <f t="shared" si="50"/>
        <v>--</v>
      </c>
      <c r="BR66" s="231"/>
      <c r="BS66" s="230"/>
      <c r="BT66" s="232"/>
      <c r="BU66" s="283" t="str">
        <f t="shared" si="34"/>
        <v>--</v>
      </c>
      <c r="BV66" s="231"/>
      <c r="BW66" s="230"/>
      <c r="BX66" s="232"/>
      <c r="BY66" s="233" t="str">
        <f t="shared" si="66"/>
        <v>--</v>
      </c>
      <c r="BZ66" s="231"/>
      <c r="CA66" s="230"/>
      <c r="CB66" s="232"/>
      <c r="CC66" s="233" t="str">
        <f t="shared" si="23"/>
        <v>--</v>
      </c>
      <c r="CD66" s="231"/>
      <c r="CE66" s="230"/>
      <c r="CF66" s="232"/>
      <c r="CG66" s="233" t="str">
        <f t="shared" si="46"/>
        <v>--</v>
      </c>
      <c r="CH66" s="231"/>
      <c r="CI66" s="230"/>
      <c r="CJ66" s="232"/>
      <c r="CK66" s="290" t="str">
        <f t="shared" si="24"/>
        <v>--</v>
      </c>
      <c r="CL66" s="231"/>
      <c r="CM66" s="230"/>
      <c r="CN66" s="230"/>
      <c r="CO66" s="250" t="str">
        <f t="shared" si="36"/>
        <v>--</v>
      </c>
      <c r="CP66" s="231"/>
      <c r="CQ66" s="230"/>
      <c r="CR66" s="232"/>
      <c r="CS66" s="250" t="str">
        <f t="shared" si="25"/>
        <v>--</v>
      </c>
      <c r="CT66" s="231"/>
      <c r="CU66" s="230"/>
      <c r="CV66" s="232"/>
      <c r="CW66" s="283" t="str">
        <f t="shared" si="26"/>
        <v>--</v>
      </c>
      <c r="CX66" s="231"/>
      <c r="CY66" s="230"/>
      <c r="CZ66" s="232"/>
      <c r="DA66" s="250" t="str">
        <f t="shared" si="75"/>
        <v>--</v>
      </c>
      <c r="DB66" s="231"/>
      <c r="DC66" s="230"/>
      <c r="DD66" s="232"/>
      <c r="DE66" s="247" t="str">
        <f t="shared" si="32"/>
        <v>--</v>
      </c>
      <c r="DF66" s="231"/>
      <c r="DG66" s="230"/>
      <c r="DH66" s="232"/>
      <c r="DI66" s="250" t="str">
        <f t="shared" si="27"/>
        <v>--</v>
      </c>
      <c r="DJ66" s="231"/>
      <c r="DK66" s="230"/>
      <c r="DL66" s="232"/>
      <c r="DM66" s="250" t="str">
        <f t="shared" ref="DM66:DM71" si="79">CONCATENATE(DJ66,"-",DK66,"-",DL66)</f>
        <v>--</v>
      </c>
      <c r="DN66" s="231"/>
      <c r="DO66" s="230"/>
      <c r="DP66" s="232"/>
      <c r="DQ66" s="247" t="str">
        <f t="shared" si="70"/>
        <v>--</v>
      </c>
      <c r="DR66" s="231"/>
      <c r="DS66" s="230"/>
      <c r="DT66" s="232"/>
      <c r="DU66" s="283" t="str">
        <f t="shared" si="28"/>
        <v>--</v>
      </c>
      <c r="DV66" s="231"/>
      <c r="DW66" s="230"/>
      <c r="DX66" s="232"/>
      <c r="DY66" s="247" t="str">
        <f t="shared" si="73"/>
        <v>--</v>
      </c>
      <c r="DZ66" s="231"/>
      <c r="EA66" s="230"/>
      <c r="EB66" s="232"/>
      <c r="EC66" s="250" t="str">
        <f t="shared" si="76"/>
        <v>--</v>
      </c>
      <c r="ED66" s="231"/>
      <c r="EE66" s="230"/>
      <c r="EF66" s="232"/>
      <c r="EG66" s="250" t="str">
        <f t="shared" si="69"/>
        <v>--</v>
      </c>
      <c r="EH66" s="231"/>
      <c r="EI66" s="230"/>
      <c r="EJ66" s="232"/>
      <c r="EK66" s="250" t="str">
        <f t="shared" si="29"/>
        <v>--</v>
      </c>
      <c r="EL66" s="231"/>
      <c r="EM66" s="230"/>
      <c r="EN66" s="232"/>
      <c r="EO66" s="250" t="str">
        <f t="shared" si="30"/>
        <v>--</v>
      </c>
    </row>
    <row r="67" spans="3:145" ht="15" x14ac:dyDescent="0.25">
      <c r="U67" s="237">
        <v>65</v>
      </c>
      <c r="V67" s="231"/>
      <c r="W67" s="230"/>
      <c r="X67" s="232"/>
      <c r="Y67" s="247" t="str">
        <f t="shared" si="62"/>
        <v>--</v>
      </c>
      <c r="Z67" s="231"/>
      <c r="AA67" s="230"/>
      <c r="AB67" s="270"/>
      <c r="AC67" s="272" t="str">
        <f t="shared" si="77"/>
        <v>--</v>
      </c>
      <c r="AD67" s="417"/>
      <c r="AE67" s="418"/>
      <c r="AF67" s="418"/>
      <c r="AG67" s="250" t="str">
        <f>CONCATENATE(AD67,"-",AE67,"-",AF67)</f>
        <v>--</v>
      </c>
      <c r="AH67" s="244"/>
      <c r="AI67" s="243"/>
      <c r="AJ67" s="232"/>
      <c r="AK67" s="233" t="str">
        <f t="shared" si="33"/>
        <v>--</v>
      </c>
      <c r="AL67" s="231"/>
      <c r="AM67" s="230"/>
      <c r="AN67" s="232"/>
      <c r="AO67" s="233" t="str">
        <f t="shared" si="71"/>
        <v>--</v>
      </c>
      <c r="AP67" s="231"/>
      <c r="AQ67" s="230"/>
      <c r="AR67" s="232"/>
      <c r="AS67" s="250" t="str">
        <f t="shared" si="60"/>
        <v>--</v>
      </c>
      <c r="AT67" s="231"/>
      <c r="AU67" s="230"/>
      <c r="AV67" s="232"/>
      <c r="AW67" s="247" t="str">
        <f t="shared" si="22"/>
        <v>--</v>
      </c>
      <c r="AX67" s="258"/>
      <c r="AY67" s="282"/>
      <c r="AZ67" s="288"/>
      <c r="BA67" s="233" t="str">
        <f t="shared" si="68"/>
        <v>--</v>
      </c>
      <c r="BB67" s="238"/>
      <c r="BC67" s="226"/>
      <c r="BD67" s="234"/>
      <c r="BE67" s="233" t="str">
        <f t="shared" si="78"/>
        <v>--</v>
      </c>
      <c r="BF67" s="238"/>
      <c r="BG67" s="226"/>
      <c r="BH67" s="234"/>
      <c r="BI67" s="233" t="str">
        <f t="shared" si="74"/>
        <v>--</v>
      </c>
      <c r="BJ67" s="238"/>
      <c r="BK67" s="226"/>
      <c r="BL67" s="232"/>
      <c r="BM67" s="247" t="str">
        <f t="shared" ref="BM67:BM72" si="80">CONCATENATE(BJ67,"-",BK67,"-",BL67)</f>
        <v>--</v>
      </c>
      <c r="BN67" s="231"/>
      <c r="BO67" s="230"/>
      <c r="BP67" s="232"/>
      <c r="BQ67" s="247" t="str">
        <f t="shared" si="50"/>
        <v>--</v>
      </c>
      <c r="BR67" s="231"/>
      <c r="BS67" s="230"/>
      <c r="BT67" s="232"/>
      <c r="BU67" s="283" t="str">
        <f t="shared" si="34"/>
        <v>--</v>
      </c>
      <c r="BV67" s="231"/>
      <c r="BW67" s="230"/>
      <c r="BX67" s="232"/>
      <c r="BY67" s="233" t="str">
        <f t="shared" si="66"/>
        <v>--</v>
      </c>
      <c r="BZ67" s="231"/>
      <c r="CA67" s="230"/>
      <c r="CB67" s="232"/>
      <c r="CC67" s="233" t="str">
        <f t="shared" si="23"/>
        <v>--</v>
      </c>
      <c r="CD67" s="231"/>
      <c r="CE67" s="230"/>
      <c r="CF67" s="232"/>
      <c r="CG67" s="233" t="str">
        <f t="shared" si="46"/>
        <v>--</v>
      </c>
      <c r="CH67" s="231"/>
      <c r="CI67" s="230"/>
      <c r="CJ67" s="232"/>
      <c r="CK67" s="290" t="str">
        <f t="shared" si="24"/>
        <v>--</v>
      </c>
      <c r="CL67" s="231"/>
      <c r="CM67" s="230"/>
      <c r="CN67" s="230"/>
      <c r="CO67" s="250" t="str">
        <f t="shared" si="36"/>
        <v>--</v>
      </c>
      <c r="CP67" s="231"/>
      <c r="CQ67" s="230"/>
      <c r="CR67" s="232"/>
      <c r="CS67" s="250" t="str">
        <f t="shared" si="25"/>
        <v>--</v>
      </c>
      <c r="CT67" s="231"/>
      <c r="CU67" s="230"/>
      <c r="CV67" s="232"/>
      <c r="CW67" s="283" t="str">
        <f t="shared" si="26"/>
        <v>--</v>
      </c>
      <c r="CX67" s="231"/>
      <c r="CY67" s="230"/>
      <c r="CZ67" s="232"/>
      <c r="DA67" s="250" t="str">
        <f t="shared" si="75"/>
        <v>--</v>
      </c>
      <c r="DB67" s="231"/>
      <c r="DC67" s="230"/>
      <c r="DD67" s="232"/>
      <c r="DE67" s="247" t="str">
        <f t="shared" si="32"/>
        <v>--</v>
      </c>
      <c r="DF67" s="231"/>
      <c r="DG67" s="230"/>
      <c r="DH67" s="232"/>
      <c r="DI67" s="250" t="str">
        <f>CONCATENATE(DF67,"-",DG67,"-",DH67)</f>
        <v>--</v>
      </c>
      <c r="DJ67" s="231"/>
      <c r="DK67" s="230"/>
      <c r="DL67" s="232"/>
      <c r="DM67" s="250" t="str">
        <f t="shared" si="79"/>
        <v>--</v>
      </c>
      <c r="DN67" s="231"/>
      <c r="DO67" s="230"/>
      <c r="DP67" s="232"/>
      <c r="DQ67" s="247" t="str">
        <f t="shared" si="70"/>
        <v>--</v>
      </c>
      <c r="DR67" s="231"/>
      <c r="DS67" s="230"/>
      <c r="DT67" s="232"/>
      <c r="DU67" s="283" t="str">
        <f t="shared" si="28"/>
        <v>--</v>
      </c>
      <c r="DV67" s="231"/>
      <c r="DW67" s="230"/>
      <c r="DX67" s="232"/>
      <c r="DY67" s="247" t="str">
        <f>CONCATENATE(DV67,"-",DW67,"-",DX67)</f>
        <v>--</v>
      </c>
      <c r="DZ67" s="231"/>
      <c r="EA67" s="230"/>
      <c r="EB67" s="232"/>
      <c r="EC67" s="250" t="str">
        <f t="shared" si="76"/>
        <v>--</v>
      </c>
      <c r="ED67" s="231"/>
      <c r="EE67" s="230"/>
      <c r="EF67" s="232"/>
      <c r="EG67" s="250" t="str">
        <f t="shared" si="69"/>
        <v>--</v>
      </c>
      <c r="EH67" s="231"/>
      <c r="EI67" s="230"/>
      <c r="EJ67" s="232"/>
      <c r="EK67" s="250" t="str">
        <f>CONCATENATE(EH67,"-",EI67,"-",EJ67)</f>
        <v>--</v>
      </c>
      <c r="EL67" s="231"/>
      <c r="EM67" s="230"/>
      <c r="EN67" s="232"/>
      <c r="EO67" s="250" t="str">
        <f>CONCATENATE(EL67,"-",EM67,"-",EN67)</f>
        <v>--</v>
      </c>
    </row>
    <row r="68" spans="3:145" ht="15" x14ac:dyDescent="0.25">
      <c r="U68" s="237">
        <v>66</v>
      </c>
      <c r="V68" s="231"/>
      <c r="W68" s="230"/>
      <c r="X68" s="232"/>
      <c r="Y68" s="247" t="str">
        <f>CONCATENATE(V68,"-",W68,"-",X68)</f>
        <v>--</v>
      </c>
      <c r="Z68" s="231"/>
      <c r="AA68" s="230"/>
      <c r="AB68" s="270"/>
      <c r="AC68" s="272" t="str">
        <f t="shared" si="77"/>
        <v>--</v>
      </c>
      <c r="AD68" s="417"/>
      <c r="AE68" s="418"/>
      <c r="AF68" s="418"/>
      <c r="AG68" s="250" t="str">
        <f>CONCATENATE(AD68,"-",AE68,"-",AF68)</f>
        <v>--</v>
      </c>
      <c r="AH68" s="244"/>
      <c r="AI68" s="243"/>
      <c r="AJ68" s="232"/>
      <c r="AK68" s="233" t="str">
        <f>CONCATENATE(AH68,"-",AI68,"-",AJ68)</f>
        <v>--</v>
      </c>
      <c r="AL68" s="231"/>
      <c r="AM68" s="230"/>
      <c r="AN68" s="232"/>
      <c r="AO68" s="233" t="str">
        <f t="shared" si="71"/>
        <v>--</v>
      </c>
      <c r="AP68" s="231"/>
      <c r="AQ68" s="230"/>
      <c r="AR68" s="232"/>
      <c r="AS68" s="250" t="str">
        <f>CONCATENATE(AP68,"-",AQ68,"-",AR68)</f>
        <v>--</v>
      </c>
      <c r="AT68" s="231"/>
      <c r="AU68" s="230"/>
      <c r="AV68" s="232"/>
      <c r="AW68" s="247" t="str">
        <f>CONCATENATE(AT68,"-",AU68,"-",AV68)</f>
        <v>--</v>
      </c>
      <c r="AX68" s="397"/>
      <c r="AY68" s="396"/>
      <c r="AZ68" s="396"/>
      <c r="BA68" s="233" t="str">
        <f>CONCATENATE(AX68,"-",AY68,"-",AZ68)</f>
        <v>--</v>
      </c>
      <c r="BB68" s="238"/>
      <c r="BC68" s="226"/>
      <c r="BD68" s="234"/>
      <c r="BE68" s="233" t="str">
        <f t="shared" si="78"/>
        <v>--</v>
      </c>
      <c r="BF68" s="238"/>
      <c r="BG68" s="226"/>
      <c r="BH68" s="234"/>
      <c r="BI68" s="233" t="str">
        <f>CONCATENATE(BF68,"-",BG68,"-",BH68)</f>
        <v>--</v>
      </c>
      <c r="BJ68" s="238"/>
      <c r="BK68" s="226"/>
      <c r="BL68" s="232"/>
      <c r="BM68" s="247" t="str">
        <f t="shared" si="80"/>
        <v>--</v>
      </c>
      <c r="BN68" s="231"/>
      <c r="BO68" s="230"/>
      <c r="BP68" s="232"/>
      <c r="BQ68" s="247" t="str">
        <f>CONCATENATE(BN68,"-",BO68,"-",BP68)</f>
        <v>--</v>
      </c>
      <c r="BR68" s="231"/>
      <c r="BS68" s="230"/>
      <c r="BT68" s="232"/>
      <c r="BU68" s="283" t="str">
        <f>CONCATENATE(BR68,"-",BS68,"-",BT68)</f>
        <v>--</v>
      </c>
      <c r="BV68" s="231"/>
      <c r="BW68" s="230"/>
      <c r="BX68" s="232"/>
      <c r="BY68" s="233" t="str">
        <f t="shared" si="66"/>
        <v>--</v>
      </c>
      <c r="BZ68" s="231"/>
      <c r="CA68" s="230"/>
      <c r="CB68" s="232"/>
      <c r="CC68" s="233" t="str">
        <f>CONCATENATE(BZ68,"-",CA68,"-",CB68)</f>
        <v>--</v>
      </c>
      <c r="CD68" s="231"/>
      <c r="CE68" s="230"/>
      <c r="CF68" s="232"/>
      <c r="CG68" s="233" t="str">
        <f>CONCATENATE(CD68,"-",CE68,"-",CF68)</f>
        <v>--</v>
      </c>
      <c r="CH68" s="231"/>
      <c r="CI68" s="230"/>
      <c r="CJ68" s="232"/>
      <c r="CK68" s="290" t="str">
        <f>CONCATENATE(CH68,"-",CI68,"-",CJ68)</f>
        <v>--</v>
      </c>
      <c r="CL68" s="231"/>
      <c r="CM68" s="230"/>
      <c r="CN68" s="230"/>
      <c r="CO68" s="250" t="str">
        <f>CONCATENATE(CL68,"-",CM68,"-",CN68)</f>
        <v>--</v>
      </c>
      <c r="CP68" s="231"/>
      <c r="CQ68" s="230"/>
      <c r="CR68" s="232"/>
      <c r="CS68" s="250" t="str">
        <f>CONCATENATE(CP68,"-",CQ68,"-",CR68)</f>
        <v>--</v>
      </c>
      <c r="CT68" s="231"/>
      <c r="CU68" s="230"/>
      <c r="CV68" s="232"/>
      <c r="CW68" s="283" t="str">
        <f>CONCATENATE(CT68,"-",CU68,"-",CV68)</f>
        <v>--</v>
      </c>
      <c r="CX68" s="231"/>
      <c r="CY68" s="230"/>
      <c r="CZ68" s="232"/>
      <c r="DA68" s="250" t="str">
        <f>CONCATENATE(CX68,"-",CY68,"-",CZ68)</f>
        <v>--</v>
      </c>
      <c r="DB68" s="231"/>
      <c r="DC68" s="230"/>
      <c r="DD68" s="232"/>
      <c r="DE68" s="247" t="str">
        <f>CONCATENATE(DB68,"-",DC68,"-",DD68)</f>
        <v>--</v>
      </c>
      <c r="DF68" s="231"/>
      <c r="DG68" s="230"/>
      <c r="DH68" s="232"/>
      <c r="DI68" s="250" t="str">
        <f>CONCATENATE(DF68,"-",DG68,"-",DH68)</f>
        <v>--</v>
      </c>
      <c r="DJ68" s="231"/>
      <c r="DK68" s="230"/>
      <c r="DL68" s="232"/>
      <c r="DM68" s="250" t="str">
        <f t="shared" si="79"/>
        <v>--</v>
      </c>
      <c r="DN68" s="231"/>
      <c r="DO68" s="230"/>
      <c r="DP68" s="232"/>
      <c r="DQ68" s="247" t="str">
        <f>CONCATENATE(DN68,"-",DO68,"-",DP68)</f>
        <v>--</v>
      </c>
      <c r="DR68" s="231"/>
      <c r="DS68" s="230"/>
      <c r="DT68" s="232"/>
      <c r="DU68" s="283" t="str">
        <f>CONCATENATE(DR68,"-",DS68,"-",DT68)</f>
        <v>--</v>
      </c>
      <c r="DV68" s="231"/>
      <c r="DW68" s="230"/>
      <c r="DX68" s="232"/>
      <c r="DY68" s="247" t="str">
        <f>CONCATENATE(DV68,"-",DW68,"-",DX68)</f>
        <v>--</v>
      </c>
      <c r="DZ68" s="231"/>
      <c r="EA68" s="230"/>
      <c r="EB68" s="232"/>
      <c r="EC68" s="250" t="str">
        <f>CONCATENATE(DZ68,"-",EA68,"-",EB68)</f>
        <v>--</v>
      </c>
      <c r="ED68" s="231"/>
      <c r="EE68" s="230"/>
      <c r="EF68" s="232"/>
      <c r="EG68" s="250" t="str">
        <f>CONCATENATE(ED68,"-",EE68,"-",EF68)</f>
        <v>--</v>
      </c>
      <c r="EH68" s="231"/>
      <c r="EI68" s="230"/>
      <c r="EJ68" s="232"/>
      <c r="EK68" s="250" t="str">
        <f>CONCATENATE(EH68,"-",EI68,"-",EJ68)</f>
        <v>--</v>
      </c>
      <c r="EL68" s="231"/>
      <c r="EM68" s="230"/>
      <c r="EN68" s="232"/>
      <c r="EO68" s="250" t="str">
        <f>CONCATENATE(EL68,"-",EM68,"-",EN68)</f>
        <v>--</v>
      </c>
    </row>
    <row r="69" spans="3:145" ht="15.75" thickBot="1" x14ac:dyDescent="0.3">
      <c r="U69" s="237">
        <v>67</v>
      </c>
      <c r="V69" s="231"/>
      <c r="W69" s="230"/>
      <c r="X69" s="232"/>
      <c r="Y69" s="247" t="str">
        <f>CONCATENATE(V69,"-",W69,"-",X69)</f>
        <v>--</v>
      </c>
      <c r="Z69" s="231"/>
      <c r="AA69" s="230"/>
      <c r="AB69" s="270"/>
      <c r="AC69" s="272" t="str">
        <f t="shared" si="77"/>
        <v>--</v>
      </c>
      <c r="AD69" s="434"/>
      <c r="AE69" s="435"/>
      <c r="AF69" s="435"/>
      <c r="AG69" s="428" t="str">
        <f>CONCATENATE(AD69,"-",AE69,"-",AF69)</f>
        <v>--</v>
      </c>
      <c r="AH69" s="244"/>
      <c r="AI69" s="243"/>
      <c r="AJ69" s="232"/>
      <c r="AK69" s="233" t="str">
        <f>CONCATENATE(AH69,"-",AI69,"-",AJ69)</f>
        <v>--</v>
      </c>
      <c r="AL69" s="231"/>
      <c r="AM69" s="230"/>
      <c r="AN69" s="232"/>
      <c r="AO69" s="233" t="str">
        <f t="shared" ref="AO69:AO74" si="81">CONCATENATE(AL69,"-",AM69,"-",AN69)</f>
        <v>--</v>
      </c>
      <c r="AP69" s="231"/>
      <c r="AQ69" s="230"/>
      <c r="AR69" s="232"/>
      <c r="AS69" s="250" t="str">
        <f>CONCATENATE(AP69,"-",AQ69,"-",AR69)</f>
        <v>--</v>
      </c>
      <c r="AT69" s="231"/>
      <c r="AU69" s="230"/>
      <c r="AV69" s="232"/>
      <c r="AW69" s="247" t="str">
        <f>CONCATENATE(AT69,"-",AU69,"-",AV69)</f>
        <v>--</v>
      </c>
      <c r="AX69" s="397"/>
      <c r="AY69" s="396"/>
      <c r="AZ69" s="396"/>
      <c r="BA69" s="233" t="str">
        <f>CONCATENATE(AX69,"-",AY69,"-",AZ69)</f>
        <v>--</v>
      </c>
      <c r="BB69" s="238"/>
      <c r="BC69" s="226"/>
      <c r="BD69" s="234"/>
      <c r="BE69" s="233" t="str">
        <f t="shared" si="78"/>
        <v>--</v>
      </c>
      <c r="BF69" s="238"/>
      <c r="BG69" s="226"/>
      <c r="BH69" s="234"/>
      <c r="BI69" s="233" t="str">
        <f>CONCATENATE(BF69,"-",BG69,"-",BH69)</f>
        <v>--</v>
      </c>
      <c r="BJ69" s="238"/>
      <c r="BK69" s="226"/>
      <c r="BL69" s="232"/>
      <c r="BM69" s="247" t="str">
        <f t="shared" si="80"/>
        <v>--</v>
      </c>
      <c r="BN69" s="231"/>
      <c r="BO69" s="230"/>
      <c r="BP69" s="232"/>
      <c r="BQ69" s="247" t="str">
        <f>CONCATENATE(BN69,"-",BO69,"-",BP69)</f>
        <v>--</v>
      </c>
      <c r="BR69" s="231"/>
      <c r="BS69" s="230"/>
      <c r="BT69" s="232"/>
      <c r="BU69" s="283" t="str">
        <f>CONCATENATE(BR69,"-",BS69,"-",BT69)</f>
        <v>--</v>
      </c>
      <c r="BV69" s="231"/>
      <c r="BW69" s="230"/>
      <c r="BX69" s="232"/>
      <c r="BY69" s="233" t="str">
        <f>CONCATENATE(BV69,"-",BW69,"-",BX69)</f>
        <v>--</v>
      </c>
      <c r="BZ69" s="231"/>
      <c r="CA69" s="230"/>
      <c r="CB69" s="232"/>
      <c r="CC69" s="233" t="str">
        <f>CONCATENATE(BZ69,"-",CA69,"-",CB69)</f>
        <v>--</v>
      </c>
      <c r="CD69" s="231"/>
      <c r="CE69" s="230"/>
      <c r="CF69" s="232"/>
      <c r="CG69" s="233" t="str">
        <f>CONCATENATE(CD69,"-",CE69,"-",CF69)</f>
        <v>--</v>
      </c>
      <c r="CH69" s="231"/>
      <c r="CI69" s="230"/>
      <c r="CJ69" s="232"/>
      <c r="CK69" s="290" t="str">
        <f>CONCATENATE(CH69,"-",CI69,"-",CJ69)</f>
        <v>--</v>
      </c>
      <c r="CL69" s="231"/>
      <c r="CM69" s="230"/>
      <c r="CN69" s="230"/>
      <c r="CO69" s="250" t="str">
        <f>CONCATENATE(CL69,"-",CM69,"-",CN69)</f>
        <v>--</v>
      </c>
      <c r="CP69" s="231"/>
      <c r="CQ69" s="230"/>
      <c r="CR69" s="232"/>
      <c r="CS69" s="250" t="str">
        <f>CONCATENATE(CP69,"-",CQ69,"-",CR69)</f>
        <v>--</v>
      </c>
      <c r="CT69" s="231"/>
      <c r="CU69" s="230"/>
      <c r="CV69" s="232"/>
      <c r="CW69" s="283" t="str">
        <f>CONCATENATE(CT69,"-",CU69,"-",CV69)</f>
        <v>--</v>
      </c>
      <c r="CX69" s="231"/>
      <c r="CY69" s="230"/>
      <c r="CZ69" s="232"/>
      <c r="DA69" s="250" t="str">
        <f>CONCATENATE(CX69,"-",CY69,"-",CZ69)</f>
        <v>--</v>
      </c>
      <c r="DB69" s="231"/>
      <c r="DC69" s="230"/>
      <c r="DD69" s="232"/>
      <c r="DE69" s="247" t="str">
        <f>CONCATENATE(DB69,"-",DC69,"-",DD69)</f>
        <v>--</v>
      </c>
      <c r="DF69" s="231"/>
      <c r="DG69" s="230"/>
      <c r="DH69" s="232"/>
      <c r="DI69" s="250" t="str">
        <f>CONCATENATE(DF69,"-",DG69,"-",DH69)</f>
        <v>--</v>
      </c>
      <c r="DJ69" s="231"/>
      <c r="DK69" s="230"/>
      <c r="DL69" s="232"/>
      <c r="DM69" s="250" t="str">
        <f t="shared" si="79"/>
        <v>--</v>
      </c>
      <c r="DN69" s="231"/>
      <c r="DO69" s="230"/>
      <c r="DP69" s="232"/>
      <c r="DQ69" s="247" t="str">
        <f>CONCATENATE(DN69,"-",DO69,"-",DP69)</f>
        <v>--</v>
      </c>
      <c r="DR69" s="231"/>
      <c r="DS69" s="230"/>
      <c r="DT69" s="232"/>
      <c r="DU69" s="283" t="str">
        <f>CONCATENATE(DR69,"-",DS69,"-",DT69)</f>
        <v>--</v>
      </c>
      <c r="DV69" s="231"/>
      <c r="DW69" s="230"/>
      <c r="DX69" s="232"/>
      <c r="DY69" s="247" t="str">
        <f>CONCATENATE(DV69,"-",DW69,"-",DX69)</f>
        <v>--</v>
      </c>
      <c r="DZ69" s="231"/>
      <c r="EA69" s="230"/>
      <c r="EB69" s="232"/>
      <c r="EC69" s="250" t="str">
        <f>CONCATENATE(DZ69,"-",EA69,"-",EB69)</f>
        <v>--</v>
      </c>
      <c r="ED69" s="231"/>
      <c r="EE69" s="230"/>
      <c r="EF69" s="232"/>
      <c r="EG69" s="250" t="str">
        <f>CONCATENATE(ED69,"-",EE69,"-",EF69)</f>
        <v>--</v>
      </c>
      <c r="EH69" s="231"/>
      <c r="EI69" s="230"/>
      <c r="EJ69" s="232"/>
      <c r="EK69" s="250" t="str">
        <f>CONCATENATE(EH69,"-",EI69,"-",EJ69)</f>
        <v>--</v>
      </c>
      <c r="EL69" s="231"/>
      <c r="EM69" s="230"/>
      <c r="EN69" s="232"/>
      <c r="EO69" s="250" t="str">
        <f>CONCATENATE(EL69,"-",EM69,"-",EN69)</f>
        <v>--</v>
      </c>
    </row>
    <row r="70" spans="3:145" ht="15.75" thickBot="1" x14ac:dyDescent="0.3">
      <c r="U70" s="237">
        <v>68</v>
      </c>
      <c r="V70" s="231"/>
      <c r="W70" s="230"/>
      <c r="X70" s="232"/>
      <c r="Y70" s="247" t="str">
        <f>CONCATENATE(V70,"-",W70,"-",X70)</f>
        <v>--</v>
      </c>
      <c r="Z70" s="231"/>
      <c r="AA70" s="230"/>
      <c r="AB70" s="270"/>
      <c r="AC70" s="272" t="str">
        <f t="shared" si="77"/>
        <v>--</v>
      </c>
      <c r="AD70" s="279">
        <f>COUNTIF(AD4:AD69,"&gt;=0")</f>
        <v>52</v>
      </c>
      <c r="AE70" s="279"/>
      <c r="AF70" s="279"/>
      <c r="AG70" s="279"/>
      <c r="AH70" s="244"/>
      <c r="AI70" s="243"/>
      <c r="AJ70" s="232"/>
      <c r="AK70" s="233" t="str">
        <f>CONCATENATE(AH70,"-",AI70,"-",AJ70)</f>
        <v>--</v>
      </c>
      <c r="AL70" s="231"/>
      <c r="AM70" s="230"/>
      <c r="AN70" s="232"/>
      <c r="AO70" s="233" t="str">
        <f t="shared" si="81"/>
        <v>--</v>
      </c>
      <c r="AP70" s="231"/>
      <c r="AQ70" s="230"/>
      <c r="AR70" s="232"/>
      <c r="AS70" s="250" t="str">
        <f>CONCATENATE(AP70,"-",AQ70,"-",AR70)</f>
        <v>--</v>
      </c>
      <c r="AT70" s="231"/>
      <c r="AU70" s="230"/>
      <c r="AV70" s="232"/>
      <c r="AW70" s="247" t="str">
        <f>CONCATENATE(AT70,"-",AU70,"-",AV70)</f>
        <v>--</v>
      </c>
      <c r="AX70" s="397"/>
      <c r="AY70" s="396"/>
      <c r="AZ70" s="396"/>
      <c r="BA70" s="233" t="str">
        <f>CONCATENATE(AX70,"-",AY70,"-",AZ70)</f>
        <v>--</v>
      </c>
      <c r="BB70" s="238"/>
      <c r="BC70" s="226"/>
      <c r="BD70" s="234"/>
      <c r="BE70" s="233" t="str">
        <f t="shared" si="78"/>
        <v>--</v>
      </c>
      <c r="BF70" s="238"/>
      <c r="BG70" s="226"/>
      <c r="BH70" s="234"/>
      <c r="BI70" s="233" t="str">
        <f>CONCATENATE(BF70,"-",BG70,"-",BH70)</f>
        <v>--</v>
      </c>
      <c r="BJ70" s="238"/>
      <c r="BK70" s="226"/>
      <c r="BL70" s="232"/>
      <c r="BM70" s="247" t="str">
        <f t="shared" si="80"/>
        <v>--</v>
      </c>
      <c r="BN70" s="231"/>
      <c r="BO70" s="230"/>
      <c r="BP70" s="232"/>
      <c r="BQ70" s="247" t="str">
        <f>CONCATENATE(BN70,"-",BO70,"-",BP70)</f>
        <v>--</v>
      </c>
      <c r="BR70" s="231"/>
      <c r="BS70" s="230"/>
      <c r="BT70" s="232"/>
      <c r="BU70" s="283" t="str">
        <f>CONCATENATE(BR70,"-",BS70,"-",BT70)</f>
        <v>--</v>
      </c>
      <c r="BV70" s="231"/>
      <c r="BW70" s="230"/>
      <c r="BX70" s="232"/>
      <c r="BY70" s="233" t="str">
        <f>CONCATENATE(BV70,"-",BW70,"-",BX70)</f>
        <v>--</v>
      </c>
      <c r="BZ70" s="231"/>
      <c r="CA70" s="230"/>
      <c r="CB70" s="232"/>
      <c r="CC70" s="233" t="str">
        <f>CONCATENATE(BZ70,"-",CA70,"-",CB70)</f>
        <v>--</v>
      </c>
      <c r="CD70" s="231"/>
      <c r="CE70" s="230"/>
      <c r="CF70" s="232"/>
      <c r="CG70" s="233" t="str">
        <f>CONCATENATE(CD70,"-",CE70,"-",CF70)</f>
        <v>--</v>
      </c>
      <c r="CH70" s="231"/>
      <c r="CI70" s="230"/>
      <c r="CJ70" s="232"/>
      <c r="CK70" s="290" t="str">
        <f>CONCATENATE(CH70,"-",CI70,"-",CJ70)</f>
        <v>--</v>
      </c>
      <c r="CL70" s="231"/>
      <c r="CM70" s="230"/>
      <c r="CN70" s="230"/>
      <c r="CO70" s="250" t="str">
        <f>CONCATENATE(CL70,"-",CM70,"-",CN70)</f>
        <v>--</v>
      </c>
      <c r="CP70" s="231"/>
      <c r="CQ70" s="230"/>
      <c r="CR70" s="232"/>
      <c r="CS70" s="250" t="str">
        <f>CONCATENATE(CP70,"-",CQ70,"-",CR70)</f>
        <v>--</v>
      </c>
      <c r="CT70" s="231"/>
      <c r="CU70" s="230"/>
      <c r="CV70" s="232"/>
      <c r="CW70" s="283" t="str">
        <f>CONCATENATE(CT70,"-",CU70,"-",CV70)</f>
        <v>--</v>
      </c>
      <c r="CX70" s="231"/>
      <c r="CY70" s="230"/>
      <c r="CZ70" s="232"/>
      <c r="DA70" s="250" t="str">
        <f>CONCATENATE(CX70,"-",CY70,"-",CZ70)</f>
        <v>--</v>
      </c>
      <c r="DB70" s="231"/>
      <c r="DC70" s="230"/>
      <c r="DD70" s="232"/>
      <c r="DE70" s="247" t="str">
        <f>CONCATENATE(DB70,"-",DC70,"-",DD70)</f>
        <v>--</v>
      </c>
      <c r="DF70" s="231"/>
      <c r="DG70" s="230"/>
      <c r="DH70" s="232"/>
      <c r="DI70" s="250" t="str">
        <f>CONCATENATE(DF70,"-",DG70,"-",DH70)</f>
        <v>--</v>
      </c>
      <c r="DJ70" s="231"/>
      <c r="DK70" s="230"/>
      <c r="DL70" s="232"/>
      <c r="DM70" s="250" t="str">
        <f t="shared" si="79"/>
        <v>--</v>
      </c>
      <c r="DN70" s="231"/>
      <c r="DO70" s="230"/>
      <c r="DP70" s="232"/>
      <c r="DQ70" s="247" t="str">
        <f>CONCATENATE(DN70,"-",DO70,"-",DP70)</f>
        <v>--</v>
      </c>
      <c r="DR70" s="231"/>
      <c r="DS70" s="230"/>
      <c r="DT70" s="232"/>
      <c r="DU70" s="283" t="str">
        <f>CONCATENATE(DR70,"-",DS70,"-",DT70)</f>
        <v>--</v>
      </c>
      <c r="DV70" s="425"/>
      <c r="DW70" s="426"/>
      <c r="DX70" s="427"/>
      <c r="DY70" s="431" t="str">
        <f>CONCATENATE(DV70,"-",DW70,"-",DX70)</f>
        <v>--</v>
      </c>
      <c r="DZ70" s="231"/>
      <c r="EA70" s="230"/>
      <c r="EB70" s="232"/>
      <c r="EC70" s="250" t="str">
        <f>CONCATENATE(DZ70,"-",EA70,"-",EB70)</f>
        <v>--</v>
      </c>
      <c r="ED70" s="231"/>
      <c r="EE70" s="230"/>
      <c r="EF70" s="232"/>
      <c r="EG70" s="250" t="str">
        <f>CONCATENATE(ED70,"-",EE70,"-",EF70)</f>
        <v>--</v>
      </c>
      <c r="EH70" s="231"/>
      <c r="EI70" s="230"/>
      <c r="EJ70" s="232"/>
      <c r="EK70" s="250" t="str">
        <f>CONCATENATE(EH70,"-",EI70,"-",EJ70)</f>
        <v>--</v>
      </c>
      <c r="EL70" s="231"/>
      <c r="EM70" s="230"/>
      <c r="EN70" s="232"/>
      <c r="EO70" s="250" t="str">
        <f>CONCATENATE(EL70,"-",EM70,"-",EN70)</f>
        <v>--</v>
      </c>
    </row>
    <row r="71" spans="3:145" ht="15.75" thickBot="1" x14ac:dyDescent="0.3">
      <c r="I71" s="42"/>
      <c r="Q71" s="482"/>
      <c r="R71" s="482"/>
      <c r="S71" s="482"/>
      <c r="U71" s="430">
        <v>69</v>
      </c>
      <c r="V71" s="425"/>
      <c r="W71" s="426"/>
      <c r="X71" s="427"/>
      <c r="Y71" s="431" t="str">
        <f>CONCATENATE(V71,"-",W71,"-",X71)</f>
        <v>--</v>
      </c>
      <c r="Z71" s="425"/>
      <c r="AA71" s="426"/>
      <c r="AB71" s="432"/>
      <c r="AC71" s="433" t="str">
        <f t="shared" si="77"/>
        <v>--</v>
      </c>
      <c r="AD71" s="444"/>
      <c r="AE71" s="444"/>
      <c r="AF71" s="444"/>
      <c r="AG71" s="253"/>
      <c r="AH71" s="436"/>
      <c r="AI71" s="437"/>
      <c r="AJ71" s="427"/>
      <c r="AK71" s="429" t="str">
        <f>CONCATENATE(AH71,"-",AI71,"-",AJ71)</f>
        <v>--</v>
      </c>
      <c r="AL71" s="231"/>
      <c r="AM71" s="230"/>
      <c r="AN71" s="232"/>
      <c r="AO71" s="233" t="str">
        <f t="shared" si="81"/>
        <v>--</v>
      </c>
      <c r="AP71" s="425"/>
      <c r="AQ71" s="426"/>
      <c r="AR71" s="427"/>
      <c r="AS71" s="428" t="str">
        <f>CONCATENATE(AP71,"-",AQ71,"-",AR71)</f>
        <v>--</v>
      </c>
      <c r="AT71" s="425"/>
      <c r="AU71" s="426"/>
      <c r="AV71" s="427"/>
      <c r="AW71" s="431" t="str">
        <f>CONCATENATE(AT71,"-",AU71,"-",AV71)</f>
        <v>--</v>
      </c>
      <c r="AX71" s="439"/>
      <c r="AY71" s="440"/>
      <c r="AZ71" s="441"/>
      <c r="BA71" s="429" t="str">
        <f>CONCATENATE(AX71,"-",AY71,"-",AZ71)</f>
        <v>--</v>
      </c>
      <c r="BB71" s="238"/>
      <c r="BC71" s="226"/>
      <c r="BD71" s="234"/>
      <c r="BE71" s="233" t="str">
        <f t="shared" si="78"/>
        <v>--</v>
      </c>
      <c r="BF71" s="436"/>
      <c r="BG71" s="437"/>
      <c r="BH71" s="442"/>
      <c r="BI71" s="429" t="str">
        <f>CONCATENATE(BF71,"-",BG71,"-",BH71)</f>
        <v>--</v>
      </c>
      <c r="BJ71" s="238"/>
      <c r="BK71" s="226"/>
      <c r="BL71" s="232"/>
      <c r="BM71" s="247" t="str">
        <f t="shared" si="80"/>
        <v>--</v>
      </c>
      <c r="BN71" s="425"/>
      <c r="BO71" s="426"/>
      <c r="BP71" s="427"/>
      <c r="BQ71" s="431" t="str">
        <f>CONCATENATE(BN71,"-",BO71,"-",BP71)</f>
        <v>--</v>
      </c>
      <c r="BR71" s="425"/>
      <c r="BS71" s="426"/>
      <c r="BT71" s="427"/>
      <c r="BU71" s="438" t="str">
        <f>CONCATENATE(BR71,"-",BS71,"-",BT71)</f>
        <v>--</v>
      </c>
      <c r="BV71" s="231"/>
      <c r="BW71" s="230"/>
      <c r="BX71" s="232"/>
      <c r="BY71" s="233" t="str">
        <f>CONCATENATE(BV71,"-",BW71,"-",BX71)</f>
        <v>--</v>
      </c>
      <c r="BZ71" s="425"/>
      <c r="CA71" s="426"/>
      <c r="CB71" s="427"/>
      <c r="CC71" s="429" t="str">
        <f>CONCATENATE(BZ71,"-",CA71,"-",CB71)</f>
        <v>--</v>
      </c>
      <c r="CD71" s="425"/>
      <c r="CE71" s="426"/>
      <c r="CF71" s="427"/>
      <c r="CG71" s="429" t="str">
        <f>CONCATENATE(CD71,"-",CE71,"-",CF71)</f>
        <v>--</v>
      </c>
      <c r="CH71" s="425"/>
      <c r="CI71" s="426"/>
      <c r="CJ71" s="427"/>
      <c r="CK71" s="443" t="str">
        <f>CONCATENATE(CH71,"-",CI71,"-",CJ71)</f>
        <v>--</v>
      </c>
      <c r="CL71" s="425"/>
      <c r="CM71" s="426"/>
      <c r="CN71" s="426"/>
      <c r="CO71" s="428" t="str">
        <f>CONCATENATE(CL71,"-",CM71,"-",CN71)</f>
        <v>--</v>
      </c>
      <c r="CP71" s="425"/>
      <c r="CQ71" s="426"/>
      <c r="CR71" s="427"/>
      <c r="CS71" s="428" t="str">
        <f>CONCATENATE(CP71,"-",CQ71,"-",CR71)</f>
        <v>--</v>
      </c>
      <c r="CT71" s="425"/>
      <c r="CU71" s="426"/>
      <c r="CV71" s="427"/>
      <c r="CW71" s="438" t="str">
        <f>CONCATENATE(CT71,"-",CU71,"-",CV71)</f>
        <v>--</v>
      </c>
      <c r="CX71" s="425"/>
      <c r="CY71" s="426"/>
      <c r="CZ71" s="427"/>
      <c r="DA71" s="428" t="str">
        <f>CONCATENATE(CX71,"-",CY71,"-",CZ71)</f>
        <v>--</v>
      </c>
      <c r="DB71" s="425"/>
      <c r="DC71" s="426"/>
      <c r="DD71" s="427"/>
      <c r="DE71" s="431" t="str">
        <f>CONCATENATE(DB71,"-",DC71,"-",DD71)</f>
        <v>--</v>
      </c>
      <c r="DF71" s="425"/>
      <c r="DG71" s="426"/>
      <c r="DH71" s="427"/>
      <c r="DI71" s="428" t="str">
        <f>CONCATENATE(DF71,"-",DG71,"-",DH71)</f>
        <v>--</v>
      </c>
      <c r="DJ71" s="425"/>
      <c r="DK71" s="426"/>
      <c r="DL71" s="427"/>
      <c r="DM71" s="428" t="str">
        <f t="shared" si="79"/>
        <v>--</v>
      </c>
      <c r="DN71" s="425"/>
      <c r="DO71" s="426"/>
      <c r="DP71" s="427"/>
      <c r="DQ71" s="431" t="str">
        <f>CONCATENATE(DN71,"-",DO71,"-",DP71)</f>
        <v>--</v>
      </c>
      <c r="DR71" s="425"/>
      <c r="DS71" s="426"/>
      <c r="DT71" s="427"/>
      <c r="DU71" s="438" t="str">
        <f>CONCATENATE(DR71,"-",DS71,"-",DT71)</f>
        <v>--</v>
      </c>
      <c r="DV71" s="279">
        <f>COUNTIF(DV4:DV70,"&gt;=0")</f>
        <v>17</v>
      </c>
      <c r="DW71" s="279"/>
      <c r="DX71" s="279"/>
      <c r="DY71" s="279"/>
      <c r="DZ71" s="425"/>
      <c r="EA71" s="426"/>
      <c r="EB71" s="427"/>
      <c r="EC71" s="428" t="str">
        <f>CONCATENATE(DZ71,"-",EA71,"-",EB71)</f>
        <v>--</v>
      </c>
      <c r="ED71" s="425"/>
      <c r="EE71" s="426"/>
      <c r="EF71" s="427"/>
      <c r="EG71" s="428" t="str">
        <f>CONCATENATE(ED71,"-",EE71,"-",EF71)</f>
        <v>--</v>
      </c>
      <c r="EH71" s="425"/>
      <c r="EI71" s="426"/>
      <c r="EJ71" s="427"/>
      <c r="EK71" s="428" t="str">
        <f>CONCATENATE(EH71,"-",EI71,"-",EJ71)</f>
        <v>--</v>
      </c>
      <c r="EL71" s="425"/>
      <c r="EM71" s="426"/>
      <c r="EN71" s="427"/>
      <c r="EO71" s="428" t="str">
        <f>CONCATENATE(EL71,"-",EM71,"-",EN71)</f>
        <v>--</v>
      </c>
    </row>
    <row r="72" spans="3:145" s="42" customFormat="1" ht="15.75" thickBot="1" x14ac:dyDescent="0.3">
      <c r="C72" s="63"/>
      <c r="I72" s="22"/>
      <c r="M72" s="482"/>
      <c r="N72" s="482"/>
      <c r="O72" s="482"/>
      <c r="P72" s="482"/>
      <c r="Q72" s="23"/>
      <c r="R72" s="23"/>
      <c r="S72" s="23"/>
      <c r="T72" s="482"/>
      <c r="U72" s="279"/>
      <c r="V72" s="279">
        <f>COUNTIF(V4:V71,"&gt;=0")</f>
        <v>12</v>
      </c>
      <c r="W72" s="279"/>
      <c r="X72" s="279"/>
      <c r="Y72" s="279"/>
      <c r="Z72" s="279">
        <f>COUNTIF(Z4:Z71,"&gt;=0")</f>
        <v>10</v>
      </c>
      <c r="AA72" s="279"/>
      <c r="AB72" s="279"/>
      <c r="AC72" s="279"/>
      <c r="AD72" s="298"/>
      <c r="AE72" s="298"/>
      <c r="AF72" s="399"/>
      <c r="AG72" s="253"/>
      <c r="AH72" s="279">
        <f>COUNTIF(AH4:AH71,"&gt;=0")</f>
        <v>5</v>
      </c>
      <c r="AI72" s="279"/>
      <c r="AJ72" s="279"/>
      <c r="AK72" s="279"/>
      <c r="AL72" s="231"/>
      <c r="AM72" s="230"/>
      <c r="AN72" s="232"/>
      <c r="AO72" s="233" t="str">
        <f t="shared" si="81"/>
        <v>--</v>
      </c>
      <c r="AP72" s="279">
        <f>COUNTIF(AP4:AP71,"&gt;=0")</f>
        <v>13</v>
      </c>
      <c r="AQ72" s="279"/>
      <c r="AR72" s="279"/>
      <c r="AS72" s="279"/>
      <c r="AT72" s="279">
        <f>COUNTIF(AT4:AT71,"&gt;=0")</f>
        <v>0</v>
      </c>
      <c r="AU72" s="279"/>
      <c r="AV72" s="279"/>
      <c r="AW72" s="279"/>
      <c r="AX72" s="279">
        <f>COUNTIF(AX4:AX71,"&gt;=0")</f>
        <v>18</v>
      </c>
      <c r="AY72" s="279"/>
      <c r="AZ72" s="279"/>
      <c r="BA72" s="279"/>
      <c r="BB72" s="436"/>
      <c r="BC72" s="437"/>
      <c r="BD72" s="442"/>
      <c r="BE72" s="429" t="str">
        <f t="shared" si="78"/>
        <v>--</v>
      </c>
      <c r="BF72" s="279">
        <f>COUNTIF(BF4:BF71,"&gt;=0")</f>
        <v>35</v>
      </c>
      <c r="BG72" s="279"/>
      <c r="BH72" s="279"/>
      <c r="BI72" s="279"/>
      <c r="BJ72" s="436"/>
      <c r="BK72" s="437"/>
      <c r="BL72" s="427"/>
      <c r="BM72" s="431" t="str">
        <f t="shared" si="80"/>
        <v>--</v>
      </c>
      <c r="BN72" s="279">
        <f>COUNTIF(BN4:BN71,"&gt;=0")</f>
        <v>12</v>
      </c>
      <c r="BO72" s="279"/>
      <c r="BP72" s="279"/>
      <c r="BQ72" s="279"/>
      <c r="BR72" s="279">
        <f>COUNTIF(BR4:BR71,"&gt;=0")</f>
        <v>6</v>
      </c>
      <c r="BS72" s="279"/>
      <c r="BT72" s="279"/>
      <c r="BU72" s="279"/>
      <c r="BV72" s="425"/>
      <c r="BW72" s="426"/>
      <c r="BX72" s="427"/>
      <c r="BY72" s="429" t="str">
        <f>CONCATENATE(BV72,"-",BW72,"-",BX72)</f>
        <v>--</v>
      </c>
      <c r="BZ72" s="279">
        <f>COUNTIF(BZ4:BZ71,"&gt;=0")</f>
        <v>0</v>
      </c>
      <c r="CA72" s="279"/>
      <c r="CB72" s="279"/>
      <c r="CC72" s="279"/>
      <c r="CD72" s="279">
        <f>COUNTIF(CD4:CD71,"&gt;=0")</f>
        <v>19</v>
      </c>
      <c r="CE72" s="279"/>
      <c r="CF72" s="279"/>
      <c r="CG72" s="279"/>
      <c r="CH72" s="279">
        <f>COUNTIF(CH4:CH71,"&gt;=0")</f>
        <v>0</v>
      </c>
      <c r="CI72" s="279"/>
      <c r="CJ72" s="279"/>
      <c r="CK72" s="279"/>
      <c r="CL72" s="279">
        <f>COUNTIF(CL4:CL71,"&gt;=0")</f>
        <v>10</v>
      </c>
      <c r="CM72" s="279"/>
      <c r="CN72" s="279"/>
      <c r="CO72" s="279"/>
      <c r="CP72" s="279">
        <f>COUNTIF(CP4:CP71,"&gt;=0")</f>
        <v>1</v>
      </c>
      <c r="CQ72" s="279"/>
      <c r="CR72" s="279"/>
      <c r="CS72" s="279"/>
      <c r="CT72" s="279">
        <f>COUNTIF(CT4:CT71,"&gt;=0")</f>
        <v>1</v>
      </c>
      <c r="CU72" s="279"/>
      <c r="CV72" s="279"/>
      <c r="CW72" s="279"/>
      <c r="CX72" s="279">
        <f>COUNTIF(CX4:CX71,"&gt;=0")</f>
        <v>22</v>
      </c>
      <c r="CY72" s="279"/>
      <c r="CZ72" s="279"/>
      <c r="DA72" s="279"/>
      <c r="DB72" s="279">
        <f>COUNTIF(DB4:DB71,"&gt;=0")</f>
        <v>7</v>
      </c>
      <c r="DC72" s="279"/>
      <c r="DD72" s="279"/>
      <c r="DE72" s="279"/>
      <c r="DF72" s="279">
        <f>COUNTIF(DF4:DF71,"&gt;=0")</f>
        <v>0</v>
      </c>
      <c r="DG72" s="279"/>
      <c r="DH72" s="279"/>
      <c r="DI72" s="279"/>
      <c r="DJ72" s="279">
        <f>COUNTIF(DJ4:DJ71,"&gt;=0")</f>
        <v>23</v>
      </c>
      <c r="DK72" s="279"/>
      <c r="DL72" s="279"/>
      <c r="DM72" s="279"/>
      <c r="DN72" s="279">
        <f>COUNTIF(DN4:DN71,"&gt;=0")</f>
        <v>31</v>
      </c>
      <c r="DO72" s="279"/>
      <c r="DP72" s="279"/>
      <c r="DQ72" s="279"/>
      <c r="DR72" s="279">
        <f>COUNTIF(DR4:DR71,"&gt;=0")</f>
        <v>1</v>
      </c>
      <c r="DS72" s="279"/>
      <c r="DT72" s="279"/>
      <c r="DU72" s="279"/>
      <c r="DV72" s="298"/>
      <c r="DW72" s="298"/>
      <c r="DX72" s="299"/>
      <c r="DY72" s="299"/>
      <c r="DZ72" s="279">
        <f>COUNTIF(DZ4:DZ71,"&gt;=0")</f>
        <v>35</v>
      </c>
      <c r="EA72" s="279"/>
      <c r="EB72" s="279"/>
      <c r="EC72" s="279"/>
      <c r="ED72" s="279">
        <f>COUNTIF(ED4:ED71,"&gt;=0")</f>
        <v>32</v>
      </c>
      <c r="EE72" s="279"/>
      <c r="EF72" s="279"/>
      <c r="EG72" s="279"/>
      <c r="EH72" s="279">
        <f>COUNTIF(EH4:EH71,"&gt;=0")</f>
        <v>0</v>
      </c>
      <c r="EI72" s="279"/>
      <c r="EJ72" s="279"/>
      <c r="EK72" s="279"/>
      <c r="EL72" s="279">
        <f>COUNTIF(EL4:EL71,"&gt;=0")</f>
        <v>0</v>
      </c>
      <c r="EM72" s="279"/>
      <c r="EN72" s="279"/>
      <c r="EO72" s="279"/>
    </row>
    <row r="73" spans="3:145" ht="15" x14ac:dyDescent="0.25">
      <c r="U73" s="298"/>
      <c r="V73" s="298"/>
      <c r="W73" s="298"/>
      <c r="X73" s="299"/>
      <c r="Y73" s="299"/>
      <c r="Z73" s="298"/>
      <c r="AA73" s="298"/>
      <c r="AB73" s="399"/>
      <c r="AC73" s="399"/>
      <c r="AD73" s="298"/>
      <c r="AE73" s="298"/>
      <c r="AF73" s="399"/>
      <c r="AG73" s="399"/>
      <c r="AH73" s="445"/>
      <c r="AI73" s="445"/>
      <c r="AJ73" s="299"/>
      <c r="AK73" s="400"/>
      <c r="AL73" s="231"/>
      <c r="AM73" s="230"/>
      <c r="AN73" s="232"/>
      <c r="AO73" s="233" t="str">
        <f t="shared" si="81"/>
        <v>--</v>
      </c>
      <c r="AP73" s="298"/>
      <c r="AQ73" s="298"/>
      <c r="AR73" s="299"/>
      <c r="AS73" s="253"/>
      <c r="AT73" s="298"/>
      <c r="AU73" s="298"/>
      <c r="AV73" s="299"/>
      <c r="AW73" s="299"/>
      <c r="AX73" s="403"/>
      <c r="AY73" s="446"/>
      <c r="AZ73" s="447"/>
      <c r="BA73" s="400"/>
      <c r="BB73" s="279">
        <f>COUNTIF(BB4:BB72,"&gt;=0")</f>
        <v>26</v>
      </c>
      <c r="BC73" s="279"/>
      <c r="BD73" s="279"/>
      <c r="BE73" s="279"/>
      <c r="BF73" s="401"/>
      <c r="BG73" s="401"/>
      <c r="BH73" s="400"/>
      <c r="BI73" s="400"/>
      <c r="BJ73" s="279">
        <f>COUNTIF(BJ4:BJ72,"&gt;=0")</f>
        <v>18</v>
      </c>
      <c r="BK73" s="279"/>
      <c r="BL73" s="279"/>
      <c r="BM73" s="279"/>
      <c r="BN73" s="298"/>
      <c r="BO73" s="298"/>
      <c r="BP73" s="299"/>
      <c r="BQ73" s="299"/>
      <c r="BR73" s="298"/>
      <c r="BS73" s="298"/>
      <c r="BT73" s="299"/>
      <c r="BU73" s="299"/>
      <c r="BV73" s="279">
        <f>COUNTIF(BV4:BV72,"&gt;=0")</f>
        <v>25</v>
      </c>
      <c r="BW73" s="279"/>
      <c r="BX73" s="279"/>
      <c r="BY73" s="279"/>
      <c r="BZ73" s="298"/>
      <c r="CA73" s="298"/>
      <c r="CB73" s="299"/>
      <c r="CC73" s="400"/>
      <c r="CD73" s="298"/>
      <c r="CE73" s="298"/>
      <c r="CF73" s="299"/>
      <c r="CG73" s="400"/>
      <c r="CH73" s="298"/>
      <c r="CI73" s="298"/>
      <c r="CJ73" s="299"/>
      <c r="CK73" s="400"/>
      <c r="CL73" s="298"/>
      <c r="CM73" s="298"/>
      <c r="CN73" s="298"/>
      <c r="CO73" s="253"/>
      <c r="CP73" s="298"/>
      <c r="CQ73" s="298"/>
      <c r="CR73" s="299"/>
      <c r="CS73" s="253"/>
      <c r="CT73" s="298"/>
      <c r="CU73" s="298"/>
      <c r="CV73" s="299"/>
      <c r="CW73" s="299"/>
      <c r="CX73" s="298"/>
      <c r="CY73" s="298"/>
      <c r="CZ73" s="299"/>
      <c r="DA73" s="253"/>
      <c r="DB73" s="298"/>
      <c r="DC73" s="298"/>
      <c r="DD73" s="299"/>
      <c r="DE73" s="299"/>
      <c r="DF73" s="298"/>
      <c r="DG73" s="298"/>
      <c r="DH73" s="299"/>
      <c r="DI73" s="253"/>
      <c r="DJ73" s="298"/>
      <c r="DK73" s="298"/>
      <c r="DL73" s="299"/>
      <c r="DM73" s="253"/>
      <c r="DN73" s="298"/>
      <c r="DO73" s="298"/>
      <c r="DP73" s="299"/>
      <c r="DQ73" s="299"/>
      <c r="DR73" s="298"/>
      <c r="DS73" s="298"/>
      <c r="DT73" s="299"/>
      <c r="DU73" s="299"/>
      <c r="DV73" s="298"/>
      <c r="DW73" s="298"/>
      <c r="DX73" s="299"/>
      <c r="DY73" s="299"/>
      <c r="DZ73" s="298"/>
      <c r="EA73" s="298"/>
      <c r="EB73" s="299"/>
      <c r="EC73" s="253"/>
      <c r="ED73" s="298"/>
      <c r="EE73" s="298"/>
      <c r="EF73" s="299"/>
      <c r="EG73" s="253"/>
      <c r="EH73" s="298"/>
      <c r="EI73" s="298"/>
      <c r="EJ73" s="299"/>
      <c r="EK73" s="253"/>
      <c r="EL73" s="298"/>
      <c r="EM73" s="298"/>
      <c r="EN73" s="299"/>
      <c r="EO73" s="253"/>
    </row>
    <row r="74" spans="3:145" ht="15.75" thickBot="1" x14ac:dyDescent="0.3">
      <c r="U74" s="298"/>
      <c r="V74" s="298"/>
      <c r="W74" s="298"/>
      <c r="X74" s="299"/>
      <c r="Y74" s="299"/>
      <c r="Z74" s="298"/>
      <c r="AA74" s="298"/>
      <c r="AB74" s="399"/>
      <c r="AC74" s="399"/>
      <c r="AD74" s="298"/>
      <c r="AE74" s="298"/>
      <c r="AF74" s="399"/>
      <c r="AG74" s="399"/>
      <c r="AH74" s="445"/>
      <c r="AI74" s="445"/>
      <c r="AJ74" s="299"/>
      <c r="AK74" s="400"/>
      <c r="AL74" s="425"/>
      <c r="AM74" s="426"/>
      <c r="AN74" s="427"/>
      <c r="AO74" s="429" t="str">
        <f t="shared" si="81"/>
        <v>--</v>
      </c>
      <c r="AP74" s="298"/>
      <c r="AQ74" s="298"/>
      <c r="AR74" s="299"/>
      <c r="AS74" s="253"/>
      <c r="AT74" s="298"/>
      <c r="AU74" s="298"/>
      <c r="AV74" s="299"/>
      <c r="AW74" s="299"/>
      <c r="AX74" s="403"/>
      <c r="AY74" s="403"/>
      <c r="AZ74" s="405"/>
      <c r="BA74" s="400"/>
      <c r="BB74" s="401"/>
      <c r="BC74" s="401"/>
      <c r="BD74" s="400"/>
      <c r="BE74" s="400"/>
      <c r="BF74" s="401"/>
      <c r="BG74" s="401"/>
      <c r="BH74" s="400"/>
      <c r="BI74" s="400"/>
      <c r="BJ74" s="401"/>
      <c r="BK74" s="401"/>
      <c r="BL74" s="299"/>
      <c r="BM74" s="299"/>
      <c r="BN74" s="298"/>
      <c r="BO74" s="298"/>
      <c r="BP74" s="299"/>
      <c r="BQ74" s="299"/>
      <c r="BR74" s="298"/>
      <c r="BS74" s="298"/>
      <c r="BT74" s="299"/>
      <c r="BU74" s="299"/>
      <c r="BV74" s="298"/>
      <c r="BW74" s="298"/>
      <c r="BX74" s="299"/>
      <c r="BY74" s="400"/>
      <c r="BZ74" s="298"/>
      <c r="CA74" s="298"/>
      <c r="CB74" s="299"/>
      <c r="CC74" s="400"/>
      <c r="CD74" s="298"/>
      <c r="CE74" s="298"/>
      <c r="CF74" s="299"/>
      <c r="CG74" s="400"/>
      <c r="CH74" s="298"/>
      <c r="CI74" s="298"/>
      <c r="CJ74" s="299"/>
      <c r="CK74" s="400"/>
      <c r="CL74" s="298"/>
      <c r="CM74" s="298"/>
      <c r="CN74" s="298"/>
      <c r="CO74" s="253"/>
      <c r="CP74" s="298"/>
      <c r="CQ74" s="298"/>
      <c r="CR74" s="299"/>
      <c r="CS74" s="253"/>
      <c r="CT74" s="298"/>
      <c r="CU74" s="298"/>
      <c r="CV74" s="299"/>
      <c r="CW74" s="299"/>
      <c r="CX74" s="298"/>
      <c r="CY74" s="298"/>
      <c r="CZ74" s="299"/>
      <c r="DA74" s="253"/>
      <c r="DB74" s="298"/>
      <c r="DC74" s="298"/>
      <c r="DD74" s="299"/>
      <c r="DE74" s="299"/>
      <c r="DF74" s="298"/>
      <c r="DG74" s="298"/>
      <c r="DH74" s="299"/>
      <c r="DI74" s="253"/>
      <c r="DJ74" s="298"/>
      <c r="DK74" s="298"/>
      <c r="DL74" s="299"/>
      <c r="DM74" s="253"/>
      <c r="DN74" s="298"/>
      <c r="DO74" s="298"/>
      <c r="DP74" s="299"/>
      <c r="DQ74" s="299"/>
      <c r="DR74" s="298"/>
      <c r="DS74" s="298"/>
      <c r="DT74" s="299"/>
      <c r="DU74" s="299"/>
      <c r="DV74" s="298"/>
      <c r="DW74" s="298"/>
      <c r="DX74" s="299"/>
      <c r="DY74" s="299"/>
      <c r="DZ74" s="298"/>
      <c r="EA74" s="298"/>
      <c r="EB74" s="299"/>
      <c r="EC74" s="253"/>
      <c r="ED74" s="298"/>
      <c r="EE74" s="298"/>
      <c r="EF74" s="299"/>
      <c r="EG74" s="253"/>
      <c r="EH74" s="298"/>
      <c r="EI74" s="298"/>
      <c r="EJ74" s="299"/>
      <c r="EK74" s="253"/>
      <c r="EL74" s="298"/>
      <c r="EM74" s="298"/>
      <c r="EN74" s="299"/>
      <c r="EO74" s="253"/>
    </row>
    <row r="75" spans="3:145" ht="15" x14ac:dyDescent="0.25">
      <c r="U75" s="298"/>
      <c r="V75" s="298"/>
      <c r="W75" s="298"/>
      <c r="X75" s="299"/>
      <c r="Y75" s="299"/>
      <c r="Z75" s="298"/>
      <c r="AA75" s="298"/>
      <c r="AB75" s="399"/>
      <c r="AC75" s="399"/>
      <c r="AD75" s="298"/>
      <c r="AE75" s="298"/>
      <c r="AF75" s="399"/>
      <c r="AG75" s="399"/>
      <c r="AH75" s="445"/>
      <c r="AI75" s="445"/>
      <c r="AJ75" s="299"/>
      <c r="AK75" s="400"/>
      <c r="AL75" s="279">
        <f>COUNTIF(AL4:AL74,"&gt;=0")</f>
        <v>35</v>
      </c>
      <c r="AM75" s="279"/>
      <c r="AN75" s="279"/>
      <c r="AO75" s="279"/>
      <c r="AP75" s="298"/>
      <c r="AQ75" s="298"/>
      <c r="AR75" s="299"/>
      <c r="AS75" s="253"/>
      <c r="AT75" s="298"/>
      <c r="AU75" s="298"/>
      <c r="AV75" s="299"/>
      <c r="AW75" s="299"/>
      <c r="AX75" s="305"/>
      <c r="AY75" s="305"/>
      <c r="AZ75" s="305"/>
      <c r="BA75" s="400"/>
      <c r="BB75" s="401"/>
      <c r="BC75" s="401"/>
      <c r="BD75" s="400"/>
      <c r="BE75" s="400"/>
      <c r="BF75" s="401"/>
      <c r="BG75" s="401"/>
      <c r="BH75" s="400"/>
      <c r="BI75" s="400"/>
      <c r="BJ75" s="401"/>
      <c r="BK75" s="401"/>
      <c r="BL75" s="299"/>
      <c r="BM75" s="299"/>
      <c r="BN75" s="298"/>
      <c r="BO75" s="298"/>
      <c r="BP75" s="299"/>
      <c r="BQ75" s="299"/>
      <c r="BR75" s="298"/>
      <c r="BS75" s="298"/>
      <c r="BT75" s="299"/>
      <c r="BU75" s="299"/>
      <c r="BV75" s="298"/>
      <c r="BW75" s="298"/>
      <c r="BX75" s="299"/>
      <c r="BY75" s="400"/>
      <c r="BZ75" s="298"/>
      <c r="CA75" s="298"/>
      <c r="CB75" s="299"/>
      <c r="CC75" s="400"/>
      <c r="CD75" s="298"/>
      <c r="CE75" s="298"/>
      <c r="CF75" s="299"/>
      <c r="CG75" s="400"/>
      <c r="CH75" s="298"/>
      <c r="CI75" s="298"/>
      <c r="CJ75" s="299"/>
      <c r="CK75" s="400"/>
      <c r="CL75" s="298"/>
      <c r="CM75" s="298"/>
      <c r="CN75" s="298"/>
      <c r="CO75" s="253"/>
      <c r="CP75" s="298"/>
      <c r="CQ75" s="298"/>
      <c r="CR75" s="299"/>
      <c r="CS75" s="253"/>
      <c r="CT75" s="298"/>
      <c r="CU75" s="298"/>
      <c r="CV75" s="299"/>
      <c r="CW75" s="299"/>
      <c r="CX75" s="298"/>
      <c r="CY75" s="298"/>
      <c r="CZ75" s="299"/>
      <c r="DA75" s="253"/>
      <c r="DB75" s="298"/>
      <c r="DC75" s="298"/>
      <c r="DD75" s="299"/>
      <c r="DE75" s="299"/>
      <c r="DF75" s="298"/>
      <c r="DG75" s="298"/>
      <c r="DH75" s="299"/>
      <c r="DI75" s="253"/>
      <c r="DJ75" s="298"/>
      <c r="DK75" s="298"/>
      <c r="DL75" s="299"/>
      <c r="DM75" s="253"/>
      <c r="DN75" s="298"/>
      <c r="DO75" s="298"/>
      <c r="DP75" s="299"/>
      <c r="DQ75" s="299"/>
      <c r="DR75" s="298"/>
      <c r="DS75" s="298"/>
      <c r="DT75" s="299"/>
      <c r="DU75" s="299"/>
      <c r="DV75" s="298"/>
      <c r="DW75" s="298"/>
      <c r="DX75" s="299"/>
      <c r="DY75" s="299"/>
      <c r="DZ75" s="298"/>
      <c r="EA75" s="298"/>
      <c r="EB75" s="299"/>
      <c r="EC75" s="253"/>
      <c r="ED75" s="298"/>
      <c r="EE75" s="298"/>
      <c r="EF75" s="299"/>
      <c r="EG75" s="253"/>
      <c r="EH75" s="298"/>
      <c r="EI75" s="298"/>
      <c r="EJ75" s="299"/>
      <c r="EK75" s="253"/>
      <c r="EL75" s="298"/>
      <c r="EM75" s="298"/>
      <c r="EN75" s="299"/>
      <c r="EO75" s="253"/>
    </row>
    <row r="76" spans="3:145" ht="15" x14ac:dyDescent="0.25">
      <c r="U76" s="298"/>
      <c r="V76" s="298"/>
      <c r="W76" s="298"/>
      <c r="X76" s="299"/>
      <c r="Y76" s="299"/>
      <c r="Z76" s="298"/>
      <c r="AA76" s="298"/>
      <c r="AB76" s="399"/>
      <c r="AC76" s="399"/>
      <c r="AD76" s="298"/>
      <c r="AE76" s="298"/>
      <c r="AF76" s="399"/>
      <c r="AG76" s="399"/>
      <c r="AH76" s="445"/>
      <c r="AI76" s="445"/>
      <c r="AJ76" s="299"/>
      <c r="AK76" s="400"/>
      <c r="AL76" s="298"/>
      <c r="AM76" s="298"/>
      <c r="AN76" s="299"/>
      <c r="AO76" s="400"/>
      <c r="AP76" s="298"/>
      <c r="AQ76" s="298"/>
      <c r="AR76" s="299"/>
      <c r="AS76" s="253"/>
      <c r="AT76" s="298"/>
      <c r="AU76" s="298"/>
      <c r="AV76" s="299"/>
      <c r="AW76" s="299"/>
      <c r="AX76" s="305"/>
      <c r="AY76" s="305"/>
      <c r="AZ76" s="305"/>
      <c r="BA76" s="400"/>
      <c r="BB76" s="298"/>
      <c r="BC76" s="298"/>
      <c r="BD76" s="400"/>
      <c r="BE76" s="400"/>
      <c r="BF76" s="401"/>
      <c r="BG76" s="401"/>
      <c r="BH76" s="400"/>
      <c r="BI76" s="400"/>
      <c r="BJ76" s="401"/>
      <c r="BK76" s="401"/>
      <c r="BL76" s="299"/>
      <c r="BM76" s="299"/>
      <c r="BN76" s="298"/>
      <c r="BO76" s="298"/>
      <c r="BP76" s="299"/>
      <c r="BQ76" s="299"/>
      <c r="BR76" s="298"/>
      <c r="BS76" s="298"/>
      <c r="BT76" s="299"/>
      <c r="BU76" s="299"/>
      <c r="BV76" s="298"/>
      <c r="BW76" s="298"/>
      <c r="BX76" s="299"/>
      <c r="BY76" s="400"/>
      <c r="BZ76" s="298"/>
      <c r="CA76" s="298"/>
      <c r="CB76" s="299"/>
      <c r="CC76" s="400"/>
      <c r="CD76" s="298"/>
      <c r="CE76" s="298"/>
      <c r="CF76" s="299"/>
      <c r="CG76" s="400"/>
      <c r="CH76" s="298"/>
      <c r="CI76" s="298"/>
      <c r="CJ76" s="299"/>
      <c r="CK76" s="400"/>
      <c r="CL76" s="298"/>
      <c r="CM76" s="298"/>
      <c r="CN76" s="298"/>
      <c r="CO76" s="253"/>
      <c r="CP76" s="298"/>
      <c r="CQ76" s="298"/>
      <c r="CR76" s="299"/>
      <c r="CS76" s="253"/>
      <c r="CT76" s="298"/>
      <c r="CU76" s="298"/>
      <c r="CV76" s="299"/>
      <c r="CW76" s="299"/>
      <c r="CX76" s="298"/>
      <c r="CY76" s="298"/>
      <c r="CZ76" s="299"/>
      <c r="DA76" s="253"/>
      <c r="DB76" s="298"/>
      <c r="DC76" s="298"/>
      <c r="DD76" s="299"/>
      <c r="DE76" s="299"/>
      <c r="DF76" s="298"/>
      <c r="DG76" s="298"/>
      <c r="DH76" s="299"/>
      <c r="DI76" s="253"/>
      <c r="DJ76" s="298"/>
      <c r="DK76" s="298"/>
      <c r="DL76" s="299"/>
      <c r="DM76" s="253"/>
      <c r="DN76" s="298"/>
      <c r="DO76" s="298"/>
      <c r="DP76" s="299"/>
      <c r="DQ76" s="299"/>
      <c r="DR76" s="298"/>
      <c r="DS76" s="298"/>
      <c r="DT76" s="299"/>
      <c r="DU76" s="299"/>
      <c r="DV76" s="298"/>
      <c r="DW76" s="298"/>
      <c r="DX76" s="299"/>
      <c r="DY76" s="299"/>
      <c r="DZ76" s="298"/>
      <c r="EA76" s="298"/>
      <c r="EB76" s="299"/>
      <c r="EC76" s="253"/>
      <c r="ED76" s="298"/>
      <c r="EE76" s="298"/>
      <c r="EF76" s="299"/>
      <c r="EG76" s="253"/>
      <c r="EH76" s="298"/>
      <c r="EI76" s="298"/>
      <c r="EJ76" s="299"/>
      <c r="EK76" s="253"/>
      <c r="EL76" s="298"/>
      <c r="EM76" s="298"/>
      <c r="EN76" s="299"/>
      <c r="EO76" s="253"/>
    </row>
    <row r="77" spans="3:145" ht="15" x14ac:dyDescent="0.25">
      <c r="U77" s="298"/>
      <c r="V77" s="298"/>
      <c r="W77" s="298"/>
      <c r="X77" s="299"/>
      <c r="Y77" s="299"/>
      <c r="Z77" s="298"/>
      <c r="AA77" s="298"/>
      <c r="AB77" s="399"/>
      <c r="AC77" s="399"/>
      <c r="AD77" s="298"/>
      <c r="AE77" s="298"/>
      <c r="AF77" s="399"/>
      <c r="AG77" s="399"/>
      <c r="AH77" s="445"/>
      <c r="AI77" s="445"/>
      <c r="AJ77" s="299"/>
      <c r="AK77" s="400"/>
      <c r="AL77" s="298"/>
      <c r="AM77" s="298"/>
      <c r="AN77" s="299"/>
      <c r="AO77" s="400"/>
      <c r="AP77" s="298"/>
      <c r="AQ77" s="298"/>
      <c r="AR77" s="299"/>
      <c r="AS77" s="253"/>
      <c r="AT77" s="298"/>
      <c r="AU77" s="298"/>
      <c r="AV77" s="299"/>
      <c r="AW77" s="299"/>
      <c r="AX77" s="305"/>
      <c r="AY77" s="305"/>
      <c r="AZ77" s="305"/>
      <c r="BA77" s="400"/>
      <c r="BB77" s="298"/>
      <c r="BC77" s="298"/>
      <c r="BD77" s="400"/>
      <c r="BE77" s="400"/>
      <c r="BF77" s="401"/>
      <c r="BG77" s="401"/>
      <c r="BH77" s="400"/>
      <c r="BI77" s="400"/>
      <c r="BJ77" s="401"/>
      <c r="BK77" s="401"/>
      <c r="BL77" s="299"/>
      <c r="BM77" s="299"/>
      <c r="BN77" s="298"/>
      <c r="BO77" s="298"/>
      <c r="BP77" s="299"/>
      <c r="BQ77" s="299"/>
      <c r="BR77" s="298"/>
      <c r="BS77" s="298"/>
      <c r="BT77" s="299"/>
      <c r="BU77" s="299"/>
      <c r="BV77" s="298"/>
      <c r="BW77" s="298"/>
      <c r="BX77" s="299"/>
      <c r="BY77" s="400"/>
      <c r="BZ77" s="298"/>
      <c r="CA77" s="298"/>
      <c r="CB77" s="299"/>
      <c r="CC77" s="400"/>
      <c r="CD77" s="298"/>
      <c r="CE77" s="298"/>
      <c r="CF77" s="299"/>
      <c r="CG77" s="400"/>
      <c r="CH77" s="298"/>
      <c r="CI77" s="298"/>
      <c r="CJ77" s="299"/>
      <c r="CK77" s="400"/>
      <c r="CL77" s="298"/>
      <c r="CM77" s="298"/>
      <c r="CN77" s="298"/>
      <c r="CO77" s="253"/>
      <c r="CP77" s="298"/>
      <c r="CQ77" s="298"/>
      <c r="CR77" s="299"/>
      <c r="CS77" s="253"/>
      <c r="CT77" s="298"/>
      <c r="CU77" s="298"/>
      <c r="CV77" s="299"/>
      <c r="CW77" s="299"/>
      <c r="CX77" s="298"/>
      <c r="CY77" s="298"/>
      <c r="CZ77" s="299"/>
      <c r="DA77" s="253"/>
      <c r="DB77" s="298"/>
      <c r="DC77" s="298"/>
      <c r="DD77" s="299"/>
      <c r="DE77" s="299"/>
      <c r="DF77" s="298"/>
      <c r="DG77" s="298"/>
      <c r="DH77" s="299"/>
      <c r="DI77" s="253"/>
      <c r="DJ77" s="298"/>
      <c r="DK77" s="298"/>
      <c r="DL77" s="299"/>
      <c r="DM77" s="253"/>
      <c r="DN77" s="298"/>
      <c r="DO77" s="298"/>
      <c r="DP77" s="299"/>
      <c r="DQ77" s="299"/>
      <c r="DR77" s="298"/>
      <c r="DS77" s="298"/>
      <c r="DT77" s="299"/>
      <c r="DU77" s="299"/>
      <c r="DV77" s="298"/>
      <c r="DW77" s="298"/>
      <c r="DX77" s="299"/>
      <c r="DY77" s="299"/>
      <c r="DZ77" s="298"/>
      <c r="EA77" s="298"/>
      <c r="EB77" s="299"/>
      <c r="EC77" s="253"/>
      <c r="ED77" s="298"/>
      <c r="EE77" s="298"/>
      <c r="EF77" s="299"/>
      <c r="EG77" s="253"/>
      <c r="EH77" s="298"/>
      <c r="EI77" s="298"/>
      <c r="EJ77" s="299"/>
      <c r="EK77" s="253"/>
      <c r="EL77" s="298"/>
      <c r="EM77" s="298"/>
      <c r="EN77" s="299"/>
      <c r="EO77" s="253"/>
    </row>
    <row r="78" spans="3:145" ht="15" x14ac:dyDescent="0.25">
      <c r="U78" s="298"/>
      <c r="V78" s="298"/>
      <c r="W78" s="298"/>
      <c r="X78" s="299"/>
      <c r="Y78" s="299"/>
      <c r="Z78" s="298"/>
      <c r="AA78" s="298"/>
      <c r="AB78" s="399"/>
      <c r="AC78" s="399"/>
      <c r="AD78" s="298"/>
      <c r="AE78" s="298"/>
      <c r="AF78" s="399"/>
      <c r="AG78" s="399"/>
      <c r="AH78" s="298"/>
      <c r="AI78" s="298"/>
      <c r="AJ78" s="299"/>
      <c r="AK78" s="400"/>
      <c r="AL78" s="298"/>
      <c r="AM78" s="298"/>
      <c r="AN78" s="299"/>
      <c r="AO78" s="400"/>
      <c r="AP78" s="298"/>
      <c r="AQ78" s="298"/>
      <c r="AR78" s="299"/>
      <c r="AS78" s="253"/>
      <c r="AT78" s="298"/>
      <c r="AU78" s="298"/>
      <c r="AV78" s="299"/>
      <c r="AW78" s="299"/>
      <c r="AX78" s="305"/>
      <c r="AY78" s="305"/>
      <c r="AZ78" s="305"/>
      <c r="BA78" s="400"/>
      <c r="BB78" s="298"/>
      <c r="BC78" s="298"/>
      <c r="BD78" s="400"/>
      <c r="BE78" s="400"/>
      <c r="BF78" s="298"/>
      <c r="BG78" s="298"/>
      <c r="BH78" s="299"/>
      <c r="BI78" s="400"/>
      <c r="BJ78" s="401"/>
      <c r="BK78" s="401"/>
      <c r="BL78" s="299"/>
      <c r="BM78" s="299"/>
      <c r="BN78" s="298"/>
      <c r="BO78" s="298"/>
      <c r="BP78" s="299"/>
      <c r="BQ78" s="299"/>
      <c r="BR78" s="298"/>
      <c r="BS78" s="298"/>
      <c r="BT78" s="299"/>
      <c r="BU78" s="299"/>
      <c r="BV78" s="298"/>
      <c r="BW78" s="298"/>
      <c r="BX78" s="299"/>
      <c r="BY78" s="400"/>
      <c r="BZ78" s="298"/>
      <c r="CA78" s="298"/>
      <c r="CB78" s="299"/>
      <c r="CC78" s="400"/>
      <c r="CD78" s="298"/>
      <c r="CE78" s="298"/>
      <c r="CF78" s="299"/>
      <c r="CG78" s="400"/>
      <c r="CH78" s="298"/>
      <c r="CI78" s="298"/>
      <c r="CJ78" s="299"/>
      <c r="CK78" s="400"/>
      <c r="CL78" s="298"/>
      <c r="CM78" s="298"/>
      <c r="CN78" s="298"/>
      <c r="CO78" s="253"/>
      <c r="CP78" s="298"/>
      <c r="CQ78" s="298"/>
      <c r="CR78" s="299"/>
      <c r="CS78" s="253"/>
      <c r="CT78" s="298"/>
      <c r="CU78" s="298"/>
      <c r="CV78" s="299"/>
      <c r="CW78" s="299"/>
      <c r="CX78" s="298"/>
      <c r="CY78" s="298"/>
      <c r="CZ78" s="299"/>
      <c r="DA78" s="253"/>
      <c r="DB78" s="298"/>
      <c r="DC78" s="298"/>
      <c r="DD78" s="299"/>
      <c r="DE78" s="299"/>
      <c r="DF78" s="298"/>
      <c r="DG78" s="298"/>
      <c r="DH78" s="299"/>
      <c r="DI78" s="253"/>
      <c r="DJ78" s="298"/>
      <c r="DK78" s="298"/>
      <c r="DL78" s="299"/>
      <c r="DM78" s="253"/>
      <c r="DN78" s="298"/>
      <c r="DO78" s="298"/>
      <c r="DP78" s="299"/>
      <c r="DQ78" s="299"/>
      <c r="DR78" s="298"/>
      <c r="DS78" s="298"/>
      <c r="DT78" s="299"/>
      <c r="DU78" s="299"/>
      <c r="DV78" s="298"/>
      <c r="DW78" s="298"/>
      <c r="DX78" s="299"/>
      <c r="DY78" s="299"/>
      <c r="DZ78" s="298"/>
      <c r="EA78" s="298"/>
      <c r="EB78" s="299"/>
      <c r="EC78" s="253"/>
      <c r="ED78" s="298"/>
      <c r="EE78" s="298"/>
      <c r="EF78" s="299"/>
      <c r="EG78" s="253"/>
      <c r="EH78" s="298"/>
      <c r="EI78" s="298"/>
      <c r="EJ78" s="299"/>
      <c r="EK78" s="253"/>
      <c r="EL78" s="298"/>
      <c r="EM78" s="298"/>
      <c r="EN78" s="299"/>
      <c r="EO78" s="253"/>
    </row>
    <row r="79" spans="3:145" ht="15" x14ac:dyDescent="0.25">
      <c r="U79" s="298"/>
      <c r="V79" s="298"/>
      <c r="W79" s="298"/>
      <c r="X79" s="299"/>
      <c r="Y79" s="299"/>
      <c r="Z79" s="298"/>
      <c r="AA79" s="298"/>
      <c r="AB79" s="399"/>
      <c r="AC79" s="399"/>
      <c r="AD79" s="298"/>
      <c r="AE79" s="298"/>
      <c r="AF79" s="299"/>
      <c r="AG79" s="253"/>
      <c r="AH79" s="445"/>
      <c r="AI79" s="445"/>
      <c r="AJ79" s="299"/>
      <c r="AK79" s="400"/>
      <c r="AL79" s="298"/>
      <c r="AM79" s="298"/>
      <c r="AN79" s="299"/>
      <c r="AO79" s="400"/>
      <c r="AP79" s="298"/>
      <c r="AQ79" s="298"/>
      <c r="AR79" s="299"/>
      <c r="AS79" s="253"/>
      <c r="AT79" s="298"/>
      <c r="AU79" s="298"/>
      <c r="AV79" s="299"/>
      <c r="AW79" s="299"/>
      <c r="AX79" s="402"/>
      <c r="AY79" s="403"/>
      <c r="AZ79" s="404"/>
      <c r="BA79" s="400"/>
      <c r="BB79" s="298"/>
      <c r="BC79" s="298"/>
      <c r="BD79" s="299"/>
      <c r="BE79" s="400"/>
      <c r="BF79" s="298"/>
      <c r="BG79" s="298"/>
      <c r="BH79" s="299"/>
      <c r="BI79" s="400"/>
      <c r="BJ79" s="298"/>
      <c r="BK79" s="298"/>
      <c r="BL79" s="299"/>
      <c r="BM79" s="299"/>
      <c r="BN79" s="298"/>
      <c r="BO79" s="298"/>
      <c r="BP79" s="299"/>
      <c r="BQ79" s="299"/>
      <c r="BR79" s="298"/>
      <c r="BS79" s="298"/>
      <c r="BT79" s="299"/>
      <c r="BU79" s="299"/>
      <c r="BV79" s="298"/>
      <c r="BW79" s="298"/>
      <c r="BX79" s="299"/>
      <c r="BY79" s="400"/>
      <c r="BZ79" s="298"/>
      <c r="CA79" s="298"/>
      <c r="CB79" s="299"/>
      <c r="CC79" s="400"/>
      <c r="CD79" s="298"/>
      <c r="CE79" s="298"/>
      <c r="CF79" s="299"/>
      <c r="CG79" s="400"/>
      <c r="CH79" s="298"/>
      <c r="CI79" s="298"/>
      <c r="CJ79" s="299"/>
      <c r="CK79" s="400"/>
      <c r="CL79" s="298"/>
      <c r="CM79" s="298"/>
      <c r="CN79" s="298"/>
      <c r="CO79" s="253"/>
      <c r="CP79" s="298"/>
      <c r="CQ79" s="298"/>
      <c r="CR79" s="299"/>
      <c r="CS79" s="253"/>
      <c r="CT79" s="298"/>
      <c r="CU79" s="298"/>
      <c r="CV79" s="299"/>
      <c r="CW79" s="299"/>
      <c r="CX79" s="298"/>
      <c r="CY79" s="298"/>
      <c r="CZ79" s="299"/>
      <c r="DA79" s="253"/>
      <c r="DB79" s="298"/>
      <c r="DC79" s="298"/>
      <c r="DD79" s="299"/>
      <c r="DE79" s="299"/>
      <c r="DF79" s="298"/>
      <c r="DG79" s="298"/>
      <c r="DH79" s="299"/>
      <c r="DI79" s="253"/>
      <c r="DJ79" s="298"/>
      <c r="DK79" s="298"/>
      <c r="DL79" s="299"/>
      <c r="DM79" s="253"/>
      <c r="DN79" s="298"/>
      <c r="DO79" s="298"/>
      <c r="DP79" s="299"/>
      <c r="DQ79" s="299"/>
      <c r="DR79" s="298"/>
      <c r="DS79" s="298"/>
      <c r="DT79" s="299"/>
      <c r="DU79" s="299"/>
      <c r="DV79" s="298"/>
      <c r="DW79" s="298"/>
      <c r="DX79" s="299"/>
      <c r="DY79" s="299"/>
      <c r="DZ79" s="298"/>
      <c r="EA79" s="298"/>
      <c r="EB79" s="299"/>
      <c r="EC79" s="253"/>
      <c r="ED79" s="298"/>
      <c r="EE79" s="298"/>
      <c r="EF79" s="299"/>
      <c r="EG79" s="253"/>
      <c r="EH79" s="298"/>
      <c r="EI79" s="298"/>
      <c r="EJ79" s="299"/>
      <c r="EK79" s="253"/>
      <c r="EL79" s="298"/>
      <c r="EM79" s="298"/>
      <c r="EN79" s="299"/>
      <c r="EO79" s="253"/>
    </row>
    <row r="80" spans="3:145" ht="15" x14ac:dyDescent="0.25">
      <c r="U80" s="298"/>
      <c r="V80" s="298"/>
      <c r="W80" s="298"/>
      <c r="X80" s="299"/>
      <c r="Y80" s="299"/>
      <c r="Z80" s="298"/>
      <c r="AA80" s="298"/>
      <c r="AB80" s="399"/>
      <c r="AC80" s="399"/>
      <c r="AD80" s="298"/>
      <c r="AE80" s="298"/>
      <c r="AF80" s="299"/>
      <c r="AG80" s="253"/>
      <c r="AH80" s="298"/>
      <c r="AI80" s="298"/>
      <c r="AJ80" s="299"/>
      <c r="AK80" s="400"/>
      <c r="AL80" s="298"/>
      <c r="AM80" s="298"/>
      <c r="AN80" s="299"/>
      <c r="AO80" s="400"/>
      <c r="AP80" s="298"/>
      <c r="AQ80" s="298"/>
      <c r="AR80" s="299"/>
      <c r="AS80" s="253"/>
      <c r="AT80" s="298"/>
      <c r="AU80" s="298"/>
      <c r="AV80" s="299"/>
      <c r="AW80" s="299"/>
      <c r="AX80" s="305"/>
      <c r="AY80" s="305"/>
      <c r="AZ80" s="305"/>
      <c r="BA80" s="400"/>
      <c r="BB80" s="298"/>
      <c r="BC80" s="298"/>
      <c r="BD80" s="299"/>
      <c r="BE80" s="400"/>
      <c r="BF80" s="298"/>
      <c r="BG80" s="298"/>
      <c r="BH80" s="299"/>
      <c r="BI80" s="400"/>
      <c r="BJ80" s="298"/>
      <c r="BK80" s="298"/>
      <c r="BL80" s="299"/>
      <c r="BM80" s="299"/>
      <c r="BN80" s="298"/>
      <c r="BO80" s="298"/>
      <c r="BP80" s="299"/>
      <c r="BQ80" s="299"/>
      <c r="BR80" s="298"/>
      <c r="BS80" s="298"/>
      <c r="BT80" s="299"/>
      <c r="BU80" s="299"/>
      <c r="BV80" s="298"/>
      <c r="BW80" s="298"/>
      <c r="BX80" s="299"/>
      <c r="BY80" s="400"/>
      <c r="BZ80" s="298"/>
      <c r="CA80" s="298"/>
      <c r="CB80" s="299"/>
      <c r="CC80" s="400"/>
      <c r="CD80" s="298"/>
      <c r="CE80" s="298"/>
      <c r="CF80" s="299"/>
      <c r="CG80" s="400"/>
      <c r="CH80" s="298"/>
      <c r="CI80" s="298"/>
      <c r="CJ80" s="299"/>
      <c r="CK80" s="400"/>
      <c r="CL80" s="298"/>
      <c r="CM80" s="298"/>
      <c r="CN80" s="298"/>
      <c r="CO80" s="253"/>
      <c r="CP80" s="298"/>
      <c r="CQ80" s="298"/>
      <c r="CR80" s="299"/>
      <c r="CS80" s="253"/>
      <c r="CT80" s="298"/>
      <c r="CU80" s="298"/>
      <c r="CV80" s="299"/>
      <c r="CW80" s="299"/>
      <c r="CX80" s="298"/>
      <c r="CY80" s="298"/>
      <c r="CZ80" s="299"/>
      <c r="DA80" s="253"/>
      <c r="DB80" s="298"/>
      <c r="DC80" s="298"/>
      <c r="DD80" s="299"/>
      <c r="DE80" s="299"/>
      <c r="DF80" s="298"/>
      <c r="DG80" s="298"/>
      <c r="DH80" s="299"/>
      <c r="DI80" s="253"/>
      <c r="DJ80" s="298"/>
      <c r="DK80" s="298"/>
      <c r="DL80" s="299"/>
      <c r="DM80" s="253"/>
      <c r="DN80" s="298"/>
      <c r="DO80" s="298"/>
      <c r="DP80" s="299"/>
      <c r="DQ80" s="299"/>
      <c r="DR80" s="298"/>
      <c r="DS80" s="298"/>
      <c r="DT80" s="299"/>
      <c r="DU80" s="299"/>
      <c r="DV80" s="298"/>
      <c r="DW80" s="298"/>
      <c r="DX80" s="299"/>
      <c r="DY80" s="299"/>
      <c r="DZ80" s="298"/>
      <c r="EA80" s="298"/>
      <c r="EB80" s="299"/>
      <c r="EC80" s="253"/>
      <c r="ED80" s="298"/>
      <c r="EE80" s="298"/>
      <c r="EF80" s="299"/>
      <c r="EG80" s="253"/>
      <c r="EH80" s="298"/>
      <c r="EI80" s="298"/>
      <c r="EJ80" s="299"/>
      <c r="EK80" s="253"/>
      <c r="EL80" s="298"/>
      <c r="EM80" s="298"/>
      <c r="EN80" s="299"/>
      <c r="EO80" s="253"/>
    </row>
    <row r="81" spans="21:145" ht="15" x14ac:dyDescent="0.25">
      <c r="U81" s="298"/>
      <c r="V81" s="298"/>
      <c r="W81" s="298"/>
      <c r="X81" s="299"/>
      <c r="Y81" s="299"/>
      <c r="Z81" s="298"/>
      <c r="AA81" s="298"/>
      <c r="AB81" s="399"/>
      <c r="AC81" s="399"/>
      <c r="AD81" s="298"/>
      <c r="AE81" s="298"/>
      <c r="AF81" s="299"/>
      <c r="AG81" s="253"/>
      <c r="AH81" s="298"/>
      <c r="AI81" s="298"/>
      <c r="AJ81" s="299"/>
      <c r="AK81" s="400"/>
      <c r="AL81" s="298"/>
      <c r="AM81" s="298"/>
      <c r="AN81" s="299"/>
      <c r="AO81" s="400"/>
      <c r="AP81" s="298"/>
      <c r="AQ81" s="298"/>
      <c r="AR81" s="299"/>
      <c r="AS81" s="253"/>
      <c r="AT81" s="298"/>
      <c r="AU81" s="298"/>
      <c r="AV81" s="299"/>
      <c r="AW81" s="299"/>
      <c r="AX81" s="403"/>
      <c r="AY81" s="446"/>
      <c r="AZ81" s="447"/>
      <c r="BA81" s="400"/>
      <c r="BB81" s="298"/>
      <c r="BC81" s="298"/>
      <c r="BD81" s="299"/>
      <c r="BE81" s="400"/>
      <c r="BF81" s="298"/>
      <c r="BG81" s="298"/>
      <c r="BH81" s="299"/>
      <c r="BI81" s="400"/>
      <c r="BJ81" s="298"/>
      <c r="BK81" s="298"/>
      <c r="BL81" s="299"/>
      <c r="BM81" s="299"/>
      <c r="BN81" s="298"/>
      <c r="BO81" s="298"/>
      <c r="BP81" s="299"/>
      <c r="BQ81" s="299"/>
      <c r="BR81" s="298"/>
      <c r="BS81" s="298"/>
      <c r="BT81" s="299"/>
      <c r="BU81" s="299"/>
      <c r="BV81" s="298"/>
      <c r="BW81" s="298"/>
      <c r="BX81" s="299"/>
      <c r="BY81" s="400"/>
      <c r="BZ81" s="298"/>
      <c r="CA81" s="298"/>
      <c r="CB81" s="299"/>
      <c r="CC81" s="400"/>
      <c r="CD81" s="298"/>
      <c r="CE81" s="298"/>
      <c r="CF81" s="299"/>
      <c r="CG81" s="400"/>
      <c r="CH81" s="298"/>
      <c r="CI81" s="298"/>
      <c r="CJ81" s="299"/>
      <c r="CK81" s="400"/>
      <c r="CL81" s="298"/>
      <c r="CM81" s="298"/>
      <c r="CN81" s="298"/>
      <c r="CO81" s="253"/>
      <c r="CP81" s="298"/>
      <c r="CQ81" s="298"/>
      <c r="CR81" s="299"/>
      <c r="CS81" s="253"/>
      <c r="CT81" s="298"/>
      <c r="CU81" s="298"/>
      <c r="CV81" s="299"/>
      <c r="CW81" s="299"/>
      <c r="CX81" s="298"/>
      <c r="CY81" s="298"/>
      <c r="CZ81" s="299"/>
      <c r="DA81" s="253"/>
      <c r="DB81" s="298"/>
      <c r="DC81" s="298"/>
      <c r="DD81" s="299"/>
      <c r="DE81" s="299"/>
      <c r="DF81" s="298"/>
      <c r="DG81" s="298"/>
      <c r="DH81" s="299"/>
      <c r="DI81" s="253"/>
      <c r="DJ81" s="298"/>
      <c r="DK81" s="298"/>
      <c r="DL81" s="299"/>
      <c r="DM81" s="253"/>
      <c r="DN81" s="298"/>
      <c r="DO81" s="298"/>
      <c r="DP81" s="299"/>
      <c r="DQ81" s="299"/>
      <c r="DR81" s="298"/>
      <c r="DS81" s="298"/>
      <c r="DT81" s="299"/>
      <c r="DU81" s="299"/>
      <c r="DV81" s="298"/>
      <c r="DW81" s="298"/>
      <c r="DX81" s="299"/>
      <c r="DY81" s="299"/>
      <c r="DZ81" s="298"/>
      <c r="EA81" s="298"/>
      <c r="EB81" s="299"/>
      <c r="EC81" s="253"/>
      <c r="ED81" s="298"/>
      <c r="EE81" s="298"/>
      <c r="EF81" s="299"/>
      <c r="EG81" s="253"/>
      <c r="EH81" s="298"/>
      <c r="EI81" s="298"/>
      <c r="EJ81" s="299"/>
      <c r="EK81" s="253"/>
      <c r="EL81" s="298"/>
      <c r="EM81" s="298"/>
      <c r="EN81" s="299"/>
      <c r="EO81" s="253"/>
    </row>
    <row r="82" spans="21:145" ht="15" x14ac:dyDescent="0.25">
      <c r="U82" s="298"/>
      <c r="V82" s="298"/>
      <c r="W82" s="298"/>
      <c r="X82" s="299"/>
      <c r="Y82" s="299"/>
      <c r="Z82" s="298"/>
      <c r="AA82" s="298"/>
      <c r="AB82" s="399"/>
      <c r="AC82" s="399"/>
      <c r="AD82" s="298"/>
      <c r="AE82" s="298"/>
      <c r="AF82" s="299"/>
      <c r="AG82" s="253"/>
      <c r="AH82" s="298"/>
      <c r="AI82" s="298"/>
      <c r="AJ82" s="299"/>
      <c r="AK82" s="400"/>
      <c r="AL82" s="298"/>
      <c r="AM82" s="298"/>
      <c r="AN82" s="299"/>
      <c r="AO82" s="400"/>
      <c r="AP82" s="298"/>
      <c r="AQ82" s="298"/>
      <c r="AR82" s="299"/>
      <c r="AS82" s="253"/>
      <c r="AT82" s="298"/>
      <c r="AU82" s="298"/>
      <c r="AV82" s="299"/>
      <c r="AW82" s="299"/>
      <c r="AX82" s="305"/>
      <c r="AY82" s="305"/>
      <c r="AZ82" s="305"/>
      <c r="BA82" s="400"/>
      <c r="BB82" s="298"/>
      <c r="BC82" s="298"/>
      <c r="BD82" s="299"/>
      <c r="BE82" s="400"/>
      <c r="BF82" s="298"/>
      <c r="BG82" s="298"/>
      <c r="BH82" s="299"/>
      <c r="BI82" s="400"/>
      <c r="BJ82" s="298"/>
      <c r="BK82" s="298"/>
      <c r="BL82" s="299"/>
      <c r="BM82" s="299"/>
      <c r="BN82" s="298"/>
      <c r="BO82" s="298"/>
      <c r="BP82" s="299"/>
      <c r="BQ82" s="299"/>
      <c r="BR82" s="298"/>
      <c r="BS82" s="298"/>
      <c r="BT82" s="299"/>
      <c r="BU82" s="299"/>
      <c r="BV82" s="298"/>
      <c r="BW82" s="298"/>
      <c r="BX82" s="299"/>
      <c r="BY82" s="400"/>
      <c r="BZ82" s="298"/>
      <c r="CA82" s="298"/>
      <c r="CB82" s="299"/>
      <c r="CC82" s="400"/>
      <c r="CD82" s="298"/>
      <c r="CE82" s="298"/>
      <c r="CF82" s="299"/>
      <c r="CG82" s="400"/>
      <c r="CH82" s="298"/>
      <c r="CI82" s="298"/>
      <c r="CJ82" s="299"/>
      <c r="CK82" s="400"/>
      <c r="CL82" s="298"/>
      <c r="CM82" s="298"/>
      <c r="CN82" s="298"/>
      <c r="CO82" s="253"/>
      <c r="CP82" s="298"/>
      <c r="CQ82" s="298"/>
      <c r="CR82" s="299"/>
      <c r="CS82" s="253"/>
      <c r="CT82" s="298"/>
      <c r="CU82" s="298"/>
      <c r="CV82" s="299"/>
      <c r="CW82" s="299"/>
      <c r="CX82" s="298"/>
      <c r="CY82" s="298"/>
      <c r="CZ82" s="299"/>
      <c r="DA82" s="253"/>
      <c r="DB82" s="298"/>
      <c r="DC82" s="298"/>
      <c r="DD82" s="299"/>
      <c r="DE82" s="299"/>
      <c r="DF82" s="298"/>
      <c r="DG82" s="298"/>
      <c r="DH82" s="299"/>
      <c r="DI82" s="253"/>
      <c r="DJ82" s="298"/>
      <c r="DK82" s="298"/>
      <c r="DL82" s="299"/>
      <c r="DM82" s="253"/>
      <c r="DN82" s="298"/>
      <c r="DO82" s="298"/>
      <c r="DP82" s="299"/>
      <c r="DQ82" s="299"/>
      <c r="DR82" s="298"/>
      <c r="DS82" s="298"/>
      <c r="DT82" s="299"/>
      <c r="DU82" s="299"/>
      <c r="DV82" s="298"/>
      <c r="DW82" s="298"/>
      <c r="DX82" s="299"/>
      <c r="DY82" s="299"/>
      <c r="DZ82" s="298"/>
      <c r="EA82" s="298"/>
      <c r="EB82" s="299"/>
      <c r="EC82" s="253"/>
      <c r="ED82" s="298"/>
      <c r="EE82" s="298"/>
      <c r="EF82" s="299"/>
      <c r="EG82" s="253"/>
      <c r="EH82" s="298"/>
      <c r="EI82" s="298"/>
      <c r="EJ82" s="299"/>
      <c r="EK82" s="253"/>
      <c r="EL82" s="298"/>
      <c r="EM82" s="298"/>
      <c r="EN82" s="299"/>
      <c r="EO82" s="253"/>
    </row>
    <row r="83" spans="21:145" ht="15" x14ac:dyDescent="0.25">
      <c r="U83" s="298"/>
      <c r="V83" s="298"/>
      <c r="W83" s="298"/>
      <c r="X83" s="299"/>
      <c r="Y83" s="299"/>
      <c r="Z83" s="298"/>
      <c r="AA83" s="298"/>
      <c r="AB83" s="399"/>
      <c r="AC83" s="399"/>
      <c r="AD83" s="298"/>
      <c r="AE83" s="298"/>
      <c r="AF83" s="299"/>
      <c r="AG83" s="253"/>
      <c r="AH83" s="298"/>
      <c r="AI83" s="298"/>
      <c r="AJ83" s="299"/>
      <c r="AK83" s="400"/>
      <c r="AL83" s="298"/>
      <c r="AM83" s="298"/>
      <c r="AN83" s="299"/>
      <c r="AO83" s="400"/>
      <c r="AP83" s="298"/>
      <c r="AQ83" s="298"/>
      <c r="AR83" s="299"/>
      <c r="AS83" s="253"/>
      <c r="AT83" s="298"/>
      <c r="AU83" s="298"/>
      <c r="AV83" s="299"/>
      <c r="AW83" s="299"/>
      <c r="AX83" s="305"/>
      <c r="AY83" s="305"/>
      <c r="AZ83" s="305"/>
      <c r="BA83" s="400"/>
      <c r="BB83" s="401"/>
      <c r="BC83" s="401"/>
      <c r="BD83" s="299"/>
      <c r="BE83" s="400"/>
      <c r="BF83" s="298"/>
      <c r="BG83" s="298"/>
      <c r="BH83" s="299"/>
      <c r="BI83" s="400"/>
      <c r="BJ83" s="298"/>
      <c r="BK83" s="298"/>
      <c r="BL83" s="299"/>
      <c r="BM83" s="299"/>
      <c r="BN83" s="298"/>
      <c r="BO83" s="298"/>
      <c r="BP83" s="299"/>
      <c r="BQ83" s="299"/>
      <c r="BR83" s="298"/>
      <c r="BS83" s="298"/>
      <c r="BT83" s="299"/>
      <c r="BU83" s="299"/>
      <c r="BV83" s="298"/>
      <c r="BW83" s="298"/>
      <c r="BX83" s="299"/>
      <c r="BY83" s="400"/>
      <c r="BZ83" s="298"/>
      <c r="CA83" s="298"/>
      <c r="CB83" s="299"/>
      <c r="CC83" s="400"/>
      <c r="CD83" s="298"/>
      <c r="CE83" s="298"/>
      <c r="CF83" s="299"/>
      <c r="CG83" s="400"/>
      <c r="CH83" s="298"/>
      <c r="CI83" s="298"/>
      <c r="CJ83" s="299"/>
      <c r="CK83" s="400"/>
      <c r="CL83" s="298"/>
      <c r="CM83" s="298"/>
      <c r="CN83" s="298"/>
      <c r="CO83" s="253"/>
      <c r="CP83" s="298"/>
      <c r="CQ83" s="298"/>
      <c r="CR83" s="299"/>
      <c r="CS83" s="253"/>
      <c r="CT83" s="298"/>
      <c r="CU83" s="298"/>
      <c r="CV83" s="299"/>
      <c r="CW83" s="299"/>
      <c r="CX83" s="298"/>
      <c r="CY83" s="298"/>
      <c r="CZ83" s="299"/>
      <c r="DA83" s="253"/>
      <c r="DB83" s="298"/>
      <c r="DC83" s="298"/>
      <c r="DD83" s="299"/>
      <c r="DE83" s="299"/>
      <c r="DF83" s="298"/>
      <c r="DG83" s="298"/>
      <c r="DH83" s="299"/>
      <c r="DI83" s="253"/>
      <c r="DJ83" s="298"/>
      <c r="DK83" s="298"/>
      <c r="DL83" s="299"/>
      <c r="DM83" s="253"/>
      <c r="DN83" s="298"/>
      <c r="DO83" s="298"/>
      <c r="DP83" s="299"/>
      <c r="DQ83" s="299"/>
      <c r="DR83" s="298"/>
      <c r="DS83" s="298"/>
      <c r="DT83" s="299"/>
      <c r="DU83" s="299"/>
      <c r="DV83" s="298"/>
      <c r="DW83" s="298"/>
      <c r="DX83" s="299"/>
      <c r="DY83" s="299"/>
      <c r="DZ83" s="298"/>
      <c r="EA83" s="298"/>
      <c r="EB83" s="299"/>
      <c r="EC83" s="253"/>
      <c r="ED83" s="298"/>
      <c r="EE83" s="298"/>
      <c r="EF83" s="299"/>
      <c r="EG83" s="253"/>
      <c r="EH83" s="298"/>
      <c r="EI83" s="298"/>
      <c r="EJ83" s="299"/>
      <c r="EK83" s="253"/>
      <c r="EL83" s="298"/>
      <c r="EM83" s="298"/>
      <c r="EN83" s="299"/>
      <c r="EO83" s="253"/>
    </row>
    <row r="84" spans="21:145" ht="15" x14ac:dyDescent="0.25">
      <c r="U84" s="298"/>
      <c r="V84" s="298"/>
      <c r="W84" s="298"/>
      <c r="X84" s="299"/>
      <c r="Y84" s="299"/>
      <c r="Z84" s="298"/>
      <c r="AA84" s="298"/>
      <c r="AB84" s="399"/>
      <c r="AC84" s="399"/>
      <c r="AD84" s="298"/>
      <c r="AE84" s="298"/>
      <c r="AF84" s="299"/>
      <c r="AG84" s="253"/>
      <c r="AH84" s="298"/>
      <c r="AI84" s="298"/>
      <c r="AJ84" s="299"/>
      <c r="AK84" s="400"/>
      <c r="AL84" s="298"/>
      <c r="AM84" s="298"/>
      <c r="AN84" s="299"/>
      <c r="AO84" s="400"/>
      <c r="AP84" s="298"/>
      <c r="AQ84" s="298"/>
      <c r="AR84" s="299"/>
      <c r="AS84" s="253"/>
      <c r="AT84" s="298"/>
      <c r="AU84" s="298"/>
      <c r="AV84" s="299"/>
      <c r="AW84" s="299"/>
      <c r="AX84" s="305"/>
      <c r="AY84" s="305"/>
      <c r="AZ84" s="305"/>
      <c r="BA84" s="400"/>
      <c r="BB84" s="298"/>
      <c r="BC84" s="298"/>
      <c r="BD84" s="299"/>
      <c r="BE84" s="400"/>
      <c r="BF84" s="298"/>
      <c r="BG84" s="298"/>
      <c r="BH84" s="299"/>
      <c r="BI84" s="400"/>
      <c r="BJ84" s="298"/>
      <c r="BK84" s="298"/>
      <c r="BL84" s="299"/>
      <c r="BM84" s="299"/>
      <c r="BN84" s="298"/>
      <c r="BO84" s="298"/>
      <c r="BP84" s="299"/>
      <c r="BQ84" s="299"/>
      <c r="BR84" s="298"/>
      <c r="BS84" s="298"/>
      <c r="BT84" s="299"/>
      <c r="BU84" s="299"/>
      <c r="BV84" s="298"/>
      <c r="BW84" s="298"/>
      <c r="BX84" s="299"/>
      <c r="BY84" s="400"/>
      <c r="BZ84" s="298"/>
      <c r="CA84" s="298"/>
      <c r="CB84" s="299"/>
      <c r="CC84" s="400"/>
      <c r="CD84" s="298"/>
      <c r="CE84" s="298"/>
      <c r="CF84" s="299"/>
      <c r="CG84" s="400"/>
      <c r="CH84" s="298"/>
      <c r="CI84" s="298"/>
      <c r="CJ84" s="299"/>
      <c r="CK84" s="400"/>
      <c r="CL84" s="298"/>
      <c r="CM84" s="298"/>
      <c r="CN84" s="298"/>
      <c r="CO84" s="253"/>
      <c r="CP84" s="298"/>
      <c r="CQ84" s="298"/>
      <c r="CR84" s="299"/>
      <c r="CS84" s="253"/>
      <c r="CT84" s="298"/>
      <c r="CU84" s="298"/>
      <c r="CV84" s="299"/>
      <c r="CW84" s="299"/>
      <c r="CX84" s="298"/>
      <c r="CY84" s="298"/>
      <c r="CZ84" s="299"/>
      <c r="DA84" s="253"/>
      <c r="DB84" s="298"/>
      <c r="DC84" s="298"/>
      <c r="DD84" s="299"/>
      <c r="DE84" s="299"/>
      <c r="DF84" s="298"/>
      <c r="DG84" s="298"/>
      <c r="DH84" s="299"/>
      <c r="DI84" s="253"/>
      <c r="DJ84" s="298"/>
      <c r="DK84" s="298"/>
      <c r="DL84" s="299"/>
      <c r="DM84" s="253"/>
      <c r="DN84" s="298"/>
      <c r="DO84" s="298"/>
      <c r="DP84" s="299"/>
      <c r="DQ84" s="299"/>
      <c r="DR84" s="298"/>
      <c r="DS84" s="298"/>
      <c r="DT84" s="299"/>
      <c r="DU84" s="299"/>
      <c r="DV84" s="298"/>
      <c r="DW84" s="298"/>
      <c r="DX84" s="299"/>
      <c r="DY84" s="299"/>
      <c r="DZ84" s="298"/>
      <c r="EA84" s="298"/>
      <c r="EB84" s="299"/>
      <c r="EC84" s="253"/>
      <c r="ED84" s="298"/>
      <c r="EE84" s="298"/>
      <c r="EF84" s="299"/>
      <c r="EG84" s="253"/>
      <c r="EH84" s="298"/>
      <c r="EI84" s="298"/>
      <c r="EJ84" s="299"/>
      <c r="EK84" s="253"/>
      <c r="EL84" s="298"/>
      <c r="EM84" s="298"/>
      <c r="EN84" s="299"/>
      <c r="EO84" s="253"/>
    </row>
    <row r="85" spans="21:145" ht="15" x14ac:dyDescent="0.25">
      <c r="U85" s="298"/>
      <c r="V85" s="298"/>
      <c r="W85" s="298"/>
      <c r="X85" s="299"/>
      <c r="Y85" s="299"/>
      <c r="Z85" s="298"/>
      <c r="AA85" s="298"/>
      <c r="AB85" s="399"/>
      <c r="AC85" s="399"/>
      <c r="AD85" s="298"/>
      <c r="AE85" s="298"/>
      <c r="AF85" s="299"/>
      <c r="AG85" s="253"/>
      <c r="AH85" s="298"/>
      <c r="AI85" s="298"/>
      <c r="AJ85" s="299"/>
      <c r="AK85" s="400"/>
      <c r="AL85" s="298"/>
      <c r="AM85" s="298"/>
      <c r="AN85" s="299"/>
      <c r="AO85" s="400"/>
      <c r="AP85" s="298"/>
      <c r="AQ85" s="298"/>
      <c r="AR85" s="299"/>
      <c r="AS85" s="253"/>
      <c r="AT85" s="298"/>
      <c r="AU85" s="298"/>
      <c r="AV85" s="299"/>
      <c r="AW85" s="299"/>
      <c r="AX85" s="305"/>
      <c r="AY85" s="305"/>
      <c r="AZ85" s="305"/>
      <c r="BA85" s="400"/>
      <c r="BB85" s="298"/>
      <c r="BC85" s="298"/>
      <c r="BD85" s="299"/>
      <c r="BE85" s="400"/>
      <c r="BF85" s="401"/>
      <c r="BG85" s="401"/>
      <c r="BH85" s="400"/>
      <c r="BI85" s="400"/>
      <c r="BJ85" s="298"/>
      <c r="BK85" s="298"/>
      <c r="BL85" s="299"/>
      <c r="BM85" s="299"/>
      <c r="BN85" s="298"/>
      <c r="BO85" s="298"/>
      <c r="BP85" s="299"/>
      <c r="BQ85" s="299"/>
      <c r="BR85" s="298"/>
      <c r="BS85" s="298"/>
      <c r="BT85" s="299"/>
      <c r="BU85" s="299"/>
      <c r="BV85" s="298"/>
      <c r="BW85" s="298"/>
      <c r="BX85" s="299"/>
      <c r="BY85" s="400"/>
      <c r="BZ85" s="298"/>
      <c r="CA85" s="298"/>
      <c r="CB85" s="299"/>
      <c r="CC85" s="400"/>
      <c r="CD85" s="298"/>
      <c r="CE85" s="298"/>
      <c r="CF85" s="299"/>
      <c r="CG85" s="400"/>
      <c r="CH85" s="298"/>
      <c r="CI85" s="298"/>
      <c r="CJ85" s="299"/>
      <c r="CK85" s="400"/>
      <c r="CL85" s="298"/>
      <c r="CM85" s="298"/>
      <c r="CN85" s="298"/>
      <c r="CO85" s="253"/>
      <c r="CP85" s="298"/>
      <c r="CQ85" s="298"/>
      <c r="CR85" s="299"/>
      <c r="CS85" s="253"/>
      <c r="CT85" s="298"/>
      <c r="CU85" s="298"/>
      <c r="CV85" s="299"/>
      <c r="CW85" s="299"/>
      <c r="CX85" s="298"/>
      <c r="CY85" s="298"/>
      <c r="CZ85" s="299"/>
      <c r="DA85" s="253"/>
      <c r="DB85" s="298"/>
      <c r="DC85" s="298"/>
      <c r="DD85" s="299"/>
      <c r="DE85" s="299"/>
      <c r="DF85" s="298"/>
      <c r="DG85" s="298"/>
      <c r="DH85" s="299"/>
      <c r="DI85" s="253"/>
      <c r="DJ85" s="298"/>
      <c r="DK85" s="298"/>
      <c r="DL85" s="299"/>
      <c r="DM85" s="253"/>
      <c r="DN85" s="298"/>
      <c r="DO85" s="298"/>
      <c r="DP85" s="299"/>
      <c r="DQ85" s="299"/>
      <c r="DR85" s="298"/>
      <c r="DS85" s="298"/>
      <c r="DT85" s="299"/>
      <c r="DU85" s="299"/>
      <c r="DV85" s="298"/>
      <c r="DW85" s="298"/>
      <c r="DX85" s="299"/>
      <c r="DY85" s="299"/>
      <c r="DZ85" s="298"/>
      <c r="EA85" s="298"/>
      <c r="EB85" s="299"/>
      <c r="EC85" s="253"/>
      <c r="ED85" s="298"/>
      <c r="EE85" s="298"/>
      <c r="EF85" s="299"/>
      <c r="EG85" s="253"/>
      <c r="EH85" s="298"/>
      <c r="EI85" s="298"/>
      <c r="EJ85" s="299"/>
      <c r="EK85" s="253"/>
      <c r="EL85" s="298"/>
      <c r="EM85" s="298"/>
      <c r="EN85" s="299"/>
      <c r="EO85" s="253"/>
    </row>
    <row r="86" spans="21:145" ht="15" x14ac:dyDescent="0.25">
      <c r="U86" s="298"/>
      <c r="V86" s="298"/>
      <c r="W86" s="298"/>
      <c r="X86" s="299"/>
      <c r="Y86" s="299"/>
      <c r="Z86" s="298"/>
      <c r="AA86" s="298"/>
      <c r="AB86" s="399"/>
      <c r="AC86" s="399"/>
      <c r="AD86" s="298"/>
      <c r="AE86" s="298"/>
      <c r="AF86" s="299"/>
      <c r="AG86" s="253"/>
      <c r="AH86" s="298"/>
      <c r="AI86" s="298"/>
      <c r="AJ86" s="299"/>
      <c r="AK86" s="400"/>
      <c r="AL86" s="298"/>
      <c r="AM86" s="298"/>
      <c r="AN86" s="299"/>
      <c r="AO86" s="400"/>
      <c r="AP86" s="298"/>
      <c r="AQ86" s="298"/>
      <c r="AR86" s="299"/>
      <c r="AS86" s="253"/>
      <c r="AT86" s="298"/>
      <c r="AU86" s="298"/>
      <c r="AV86" s="299"/>
      <c r="AW86" s="299"/>
      <c r="AX86" s="305"/>
      <c r="AY86" s="305"/>
      <c r="AZ86" s="305"/>
      <c r="BA86" s="400"/>
      <c r="BB86" s="298"/>
      <c r="BC86" s="298"/>
      <c r="BD86" s="400"/>
      <c r="BE86" s="400"/>
      <c r="BF86" s="298"/>
      <c r="BG86" s="298"/>
      <c r="BH86" s="299"/>
      <c r="BI86" s="400"/>
      <c r="BJ86" s="401"/>
      <c r="BK86" s="401"/>
      <c r="BL86" s="299"/>
      <c r="BM86" s="299"/>
      <c r="BN86" s="298"/>
      <c r="BO86" s="298"/>
      <c r="BP86" s="299"/>
      <c r="BQ86" s="299"/>
      <c r="BR86" s="298"/>
      <c r="BS86" s="298"/>
      <c r="BT86" s="299"/>
      <c r="BU86" s="299"/>
      <c r="BV86" s="298"/>
      <c r="BW86" s="298"/>
      <c r="BX86" s="299"/>
      <c r="BY86" s="400"/>
      <c r="BZ86" s="298"/>
      <c r="CA86" s="298"/>
      <c r="CB86" s="299"/>
      <c r="CC86" s="400"/>
      <c r="CD86" s="298"/>
      <c r="CE86" s="298"/>
      <c r="CF86" s="299"/>
      <c r="CG86" s="400"/>
      <c r="CH86" s="298"/>
      <c r="CI86" s="298"/>
      <c r="CJ86" s="299"/>
      <c r="CK86" s="400"/>
      <c r="CL86" s="298"/>
      <c r="CM86" s="298"/>
      <c r="CN86" s="298"/>
      <c r="CO86" s="253"/>
      <c r="CP86" s="298"/>
      <c r="CQ86" s="298"/>
      <c r="CR86" s="299"/>
      <c r="CS86" s="253"/>
      <c r="CT86" s="298"/>
      <c r="CU86" s="298"/>
      <c r="CV86" s="299"/>
      <c r="CW86" s="299"/>
      <c r="CX86" s="298"/>
      <c r="CY86" s="298"/>
      <c r="CZ86" s="299"/>
      <c r="DA86" s="253"/>
      <c r="DB86" s="298"/>
      <c r="DC86" s="298"/>
      <c r="DD86" s="299"/>
      <c r="DE86" s="299"/>
      <c r="DF86" s="298"/>
      <c r="DG86" s="298"/>
      <c r="DH86" s="299"/>
      <c r="DI86" s="253"/>
      <c r="DJ86" s="298"/>
      <c r="DK86" s="298"/>
      <c r="DL86" s="299"/>
      <c r="DM86" s="253"/>
      <c r="DN86" s="298"/>
      <c r="DO86" s="298"/>
      <c r="DP86" s="299"/>
      <c r="DQ86" s="299"/>
      <c r="DR86" s="298"/>
      <c r="DS86" s="298"/>
      <c r="DT86" s="299"/>
      <c r="DU86" s="299"/>
      <c r="DV86" s="298"/>
      <c r="DW86" s="298"/>
      <c r="DX86" s="299"/>
      <c r="DY86" s="299"/>
      <c r="DZ86" s="298"/>
      <c r="EA86" s="298"/>
      <c r="EB86" s="299"/>
      <c r="EC86" s="253"/>
      <c r="ED86" s="298"/>
      <c r="EE86" s="298"/>
      <c r="EF86" s="299"/>
      <c r="EG86" s="253"/>
      <c r="EH86" s="298"/>
      <c r="EI86" s="298"/>
      <c r="EJ86" s="299"/>
      <c r="EK86" s="253"/>
      <c r="EL86" s="298"/>
      <c r="EM86" s="298"/>
      <c r="EN86" s="299"/>
      <c r="EO86" s="253"/>
    </row>
    <row r="87" spans="21:145" ht="15" x14ac:dyDescent="0.25">
      <c r="U87" s="298"/>
      <c r="V87" s="298"/>
      <c r="W87" s="298"/>
      <c r="X87" s="299"/>
      <c r="Y87" s="299"/>
      <c r="Z87" s="298"/>
      <c r="AA87" s="298"/>
      <c r="AB87" s="399"/>
      <c r="AC87" s="399"/>
      <c r="AD87" s="298"/>
      <c r="AE87" s="298"/>
      <c r="AF87" s="299"/>
      <c r="AG87" s="253"/>
      <c r="AH87" s="298"/>
      <c r="AI87" s="298"/>
      <c r="AJ87" s="299"/>
      <c r="AK87" s="400"/>
      <c r="AL87" s="298"/>
      <c r="AM87" s="298"/>
      <c r="AN87" s="299"/>
      <c r="AO87" s="400"/>
      <c r="AP87" s="298"/>
      <c r="AQ87" s="298"/>
      <c r="AR87" s="299"/>
      <c r="AS87" s="253"/>
      <c r="AT87" s="298"/>
      <c r="AU87" s="298"/>
      <c r="AV87" s="299"/>
      <c r="AW87" s="299"/>
      <c r="AX87" s="305"/>
      <c r="AY87" s="305"/>
      <c r="AZ87" s="305"/>
      <c r="BA87" s="400"/>
      <c r="BB87" s="298"/>
      <c r="BC87" s="298"/>
      <c r="BD87" s="299"/>
      <c r="BE87" s="400"/>
      <c r="BF87" s="298"/>
      <c r="BG87" s="298"/>
      <c r="BH87" s="299"/>
      <c r="BI87" s="400"/>
      <c r="BJ87" s="298"/>
      <c r="BK87" s="298"/>
      <c r="BL87" s="299"/>
      <c r="BM87" s="299"/>
      <c r="BN87" s="298"/>
      <c r="BO87" s="298"/>
      <c r="BP87" s="299"/>
      <c r="BQ87" s="299"/>
      <c r="BR87" s="298"/>
      <c r="BS87" s="298"/>
      <c r="BT87" s="299"/>
      <c r="BU87" s="299"/>
      <c r="BV87" s="298"/>
      <c r="BW87" s="298"/>
      <c r="BX87" s="299"/>
      <c r="BY87" s="400"/>
      <c r="BZ87" s="298"/>
      <c r="CA87" s="298"/>
      <c r="CB87" s="299"/>
      <c r="CC87" s="400"/>
      <c r="CD87" s="298"/>
      <c r="CE87" s="298"/>
      <c r="CF87" s="299"/>
      <c r="CG87" s="400"/>
      <c r="CH87" s="298"/>
      <c r="CI87" s="298"/>
      <c r="CJ87" s="299"/>
      <c r="CK87" s="400"/>
      <c r="CL87" s="298"/>
      <c r="CM87" s="298"/>
      <c r="CN87" s="298"/>
      <c r="CO87" s="253"/>
      <c r="CP87" s="298"/>
      <c r="CQ87" s="298"/>
      <c r="CR87" s="299"/>
      <c r="CS87" s="253"/>
      <c r="CT87" s="298"/>
      <c r="CU87" s="298"/>
      <c r="CV87" s="299"/>
      <c r="CW87" s="299"/>
      <c r="CX87" s="298"/>
      <c r="CY87" s="298"/>
      <c r="CZ87" s="299"/>
      <c r="DA87" s="253"/>
      <c r="DB87" s="298"/>
      <c r="DC87" s="298"/>
      <c r="DD87" s="299"/>
      <c r="DE87" s="299"/>
      <c r="DF87" s="298"/>
      <c r="DG87" s="298"/>
      <c r="DH87" s="299"/>
      <c r="DI87" s="253"/>
      <c r="DJ87" s="298"/>
      <c r="DK87" s="298"/>
      <c r="DL87" s="299"/>
      <c r="DM87" s="253"/>
      <c r="DN87" s="298"/>
      <c r="DO87" s="298"/>
      <c r="DP87" s="299"/>
      <c r="DQ87" s="299"/>
      <c r="DR87" s="298"/>
      <c r="DS87" s="298"/>
      <c r="DT87" s="299"/>
      <c r="DU87" s="299"/>
      <c r="DV87" s="298"/>
      <c r="DW87" s="298"/>
      <c r="DX87" s="299"/>
      <c r="DY87" s="299"/>
      <c r="DZ87" s="298"/>
      <c r="EA87" s="298"/>
      <c r="EB87" s="299"/>
      <c r="EC87" s="253"/>
      <c r="ED87" s="298"/>
      <c r="EE87" s="298"/>
      <c r="EF87" s="299"/>
      <c r="EG87" s="253"/>
      <c r="EH87" s="298"/>
      <c r="EI87" s="298"/>
      <c r="EJ87" s="299"/>
      <c r="EK87" s="253"/>
      <c r="EL87" s="298"/>
      <c r="EM87" s="298"/>
      <c r="EN87" s="299"/>
      <c r="EO87" s="253"/>
    </row>
    <row r="88" spans="21:145" ht="15" x14ac:dyDescent="0.25">
      <c r="U88" s="298"/>
      <c r="V88" s="298"/>
      <c r="W88" s="298"/>
      <c r="X88" s="299"/>
      <c r="Y88" s="299"/>
      <c r="Z88" s="298"/>
      <c r="AA88" s="298"/>
      <c r="AB88" s="399"/>
      <c r="AC88" s="399"/>
      <c r="AD88" s="298"/>
      <c r="AE88" s="298"/>
      <c r="AF88" s="299"/>
      <c r="AG88" s="253"/>
      <c r="AH88" s="298"/>
      <c r="AI88" s="298"/>
      <c r="AJ88" s="299"/>
      <c r="AK88" s="400"/>
      <c r="AL88" s="298"/>
      <c r="AM88" s="298"/>
      <c r="AN88" s="299"/>
      <c r="AO88" s="400"/>
      <c r="AP88" s="298"/>
      <c r="AQ88" s="298"/>
      <c r="AR88" s="299"/>
      <c r="AS88" s="253"/>
      <c r="AT88" s="298"/>
      <c r="AU88" s="298"/>
      <c r="AV88" s="299"/>
      <c r="AW88" s="299"/>
      <c r="AX88" s="402"/>
      <c r="AY88" s="403"/>
      <c r="AZ88" s="404"/>
      <c r="BA88" s="400"/>
      <c r="BB88" s="298"/>
      <c r="BC88" s="298"/>
      <c r="BD88" s="299"/>
      <c r="BE88" s="400"/>
      <c r="BF88" s="298"/>
      <c r="BG88" s="298"/>
      <c r="BH88" s="299"/>
      <c r="BI88" s="400"/>
      <c r="BJ88" s="298"/>
      <c r="BK88" s="298"/>
      <c r="BL88" s="299"/>
      <c r="BM88" s="299"/>
      <c r="BN88" s="298"/>
      <c r="BO88" s="298"/>
      <c r="BP88" s="299"/>
      <c r="BQ88" s="299"/>
      <c r="BR88" s="298"/>
      <c r="BS88" s="298"/>
      <c r="BT88" s="299"/>
      <c r="BU88" s="299"/>
      <c r="BV88" s="298"/>
      <c r="BW88" s="298"/>
      <c r="BX88" s="299"/>
      <c r="BY88" s="400"/>
      <c r="BZ88" s="298"/>
      <c r="CA88" s="298"/>
      <c r="CB88" s="299"/>
      <c r="CC88" s="400"/>
      <c r="CD88" s="298"/>
      <c r="CE88" s="298"/>
      <c r="CF88" s="299"/>
      <c r="CG88" s="400"/>
      <c r="CH88" s="298"/>
      <c r="CI88" s="298"/>
      <c r="CJ88" s="299"/>
      <c r="CK88" s="400"/>
      <c r="CL88" s="298"/>
      <c r="CM88" s="298"/>
      <c r="CN88" s="298"/>
      <c r="CO88" s="253"/>
      <c r="CP88" s="298"/>
      <c r="CQ88" s="298"/>
      <c r="CR88" s="299"/>
      <c r="CS88" s="253"/>
      <c r="CT88" s="298"/>
      <c r="CU88" s="298"/>
      <c r="CV88" s="299"/>
      <c r="CW88" s="299"/>
      <c r="CX88" s="298"/>
      <c r="CY88" s="298"/>
      <c r="CZ88" s="299"/>
      <c r="DA88" s="253"/>
      <c r="DB88" s="298"/>
      <c r="DC88" s="298"/>
      <c r="DD88" s="299"/>
      <c r="DE88" s="299"/>
      <c r="DF88" s="298"/>
      <c r="DG88" s="298"/>
      <c r="DH88" s="299"/>
      <c r="DI88" s="253"/>
      <c r="DJ88" s="298"/>
      <c r="DK88" s="298"/>
      <c r="DL88" s="299"/>
      <c r="DM88" s="253"/>
      <c r="DN88" s="298"/>
      <c r="DO88" s="298"/>
      <c r="DP88" s="299"/>
      <c r="DQ88" s="299"/>
      <c r="DR88" s="298"/>
      <c r="DS88" s="298"/>
      <c r="DT88" s="299"/>
      <c r="DU88" s="299"/>
      <c r="DV88" s="298"/>
      <c r="DW88" s="298"/>
      <c r="DX88" s="299"/>
      <c r="DY88" s="299"/>
      <c r="DZ88" s="298"/>
      <c r="EA88" s="298"/>
      <c r="EB88" s="299"/>
      <c r="EC88" s="253"/>
      <c r="ED88" s="298"/>
      <c r="EE88" s="298"/>
      <c r="EF88" s="299"/>
      <c r="EG88" s="253"/>
      <c r="EH88" s="298"/>
      <c r="EI88" s="298"/>
      <c r="EJ88" s="299"/>
      <c r="EK88" s="253"/>
      <c r="EL88" s="298"/>
      <c r="EM88" s="298"/>
      <c r="EN88" s="299"/>
      <c r="EO88" s="253"/>
    </row>
    <row r="89" spans="21:145" ht="15" x14ac:dyDescent="0.25">
      <c r="U89" s="298"/>
      <c r="V89" s="298"/>
      <c r="W89" s="298"/>
      <c r="X89" s="299"/>
      <c r="Y89" s="299"/>
      <c r="Z89" s="298"/>
      <c r="AA89" s="298"/>
      <c r="AB89" s="399"/>
      <c r="AC89" s="399"/>
      <c r="AD89" s="298"/>
      <c r="AE89" s="298"/>
      <c r="AF89" s="299"/>
      <c r="AG89" s="253"/>
      <c r="AH89" s="298"/>
      <c r="AI89" s="298"/>
      <c r="AJ89" s="299"/>
      <c r="AK89" s="400"/>
      <c r="AL89" s="298"/>
      <c r="AM89" s="298"/>
      <c r="AN89" s="299"/>
      <c r="AO89" s="400"/>
      <c r="AP89" s="298"/>
      <c r="AQ89" s="298"/>
      <c r="AR89" s="299"/>
      <c r="AS89" s="253"/>
      <c r="AT89" s="298"/>
      <c r="AU89" s="298"/>
      <c r="AV89" s="299"/>
      <c r="AW89" s="299"/>
      <c r="AX89" s="403"/>
      <c r="AY89" s="403"/>
      <c r="AZ89" s="405"/>
      <c r="BA89" s="400"/>
      <c r="BB89" s="298"/>
      <c r="BC89" s="298"/>
      <c r="BD89" s="299"/>
      <c r="BE89" s="400"/>
      <c r="BF89" s="298"/>
      <c r="BG89" s="298"/>
      <c r="BH89" s="299"/>
      <c r="BI89" s="400"/>
      <c r="BJ89" s="298"/>
      <c r="BK89" s="298"/>
      <c r="BL89" s="299"/>
      <c r="BM89" s="299"/>
      <c r="BN89" s="298"/>
      <c r="BO89" s="298"/>
      <c r="BP89" s="299"/>
      <c r="BQ89" s="299"/>
      <c r="BR89" s="298"/>
      <c r="BS89" s="298"/>
      <c r="BT89" s="299"/>
      <c r="BU89" s="299"/>
      <c r="BV89" s="298"/>
      <c r="BW89" s="298"/>
      <c r="BX89" s="299"/>
      <c r="BY89" s="400"/>
      <c r="BZ89" s="298"/>
      <c r="CA89" s="298"/>
      <c r="CB89" s="299"/>
      <c r="CC89" s="400"/>
      <c r="CD89" s="298"/>
      <c r="CE89" s="298"/>
      <c r="CF89" s="299"/>
      <c r="CG89" s="400"/>
      <c r="CH89" s="298"/>
      <c r="CI89" s="298"/>
      <c r="CJ89" s="299"/>
      <c r="CK89" s="400"/>
      <c r="CL89" s="298"/>
      <c r="CM89" s="298"/>
      <c r="CN89" s="298"/>
      <c r="CO89" s="253"/>
      <c r="CP89" s="298"/>
      <c r="CQ89" s="298"/>
      <c r="CR89" s="299"/>
      <c r="CS89" s="253"/>
      <c r="CT89" s="298"/>
      <c r="CU89" s="298"/>
      <c r="CV89" s="299"/>
      <c r="CW89" s="299"/>
      <c r="CX89" s="298"/>
      <c r="CY89" s="298"/>
      <c r="CZ89" s="299"/>
      <c r="DA89" s="253"/>
      <c r="DB89" s="298"/>
      <c r="DC89" s="298"/>
      <c r="DD89" s="299"/>
      <c r="DE89" s="299"/>
      <c r="DF89" s="298"/>
      <c r="DG89" s="298"/>
      <c r="DH89" s="299"/>
      <c r="DI89" s="253"/>
      <c r="DJ89" s="298"/>
      <c r="DK89" s="298"/>
      <c r="DL89" s="299"/>
      <c r="DM89" s="253"/>
      <c r="DN89" s="298"/>
      <c r="DO89" s="298"/>
      <c r="DP89" s="299"/>
      <c r="DQ89" s="299"/>
      <c r="DR89" s="298"/>
      <c r="DS89" s="298"/>
      <c r="DT89" s="299"/>
      <c r="DU89" s="299"/>
      <c r="DV89" s="298"/>
      <c r="DW89" s="298"/>
      <c r="DX89" s="299"/>
      <c r="DY89" s="299"/>
      <c r="DZ89" s="298"/>
      <c r="EA89" s="298"/>
      <c r="EB89" s="299"/>
      <c r="EC89" s="253"/>
      <c r="ED89" s="298"/>
      <c r="EE89" s="298"/>
      <c r="EF89" s="299"/>
      <c r="EG89" s="253"/>
      <c r="EH89" s="298"/>
      <c r="EI89" s="298"/>
      <c r="EJ89" s="299"/>
      <c r="EK89" s="253"/>
      <c r="EL89" s="298"/>
      <c r="EM89" s="298"/>
      <c r="EN89" s="299"/>
      <c r="EO89" s="253"/>
    </row>
    <row r="90" spans="21:145" ht="15" x14ac:dyDescent="0.25">
      <c r="U90" s="298"/>
      <c r="V90" s="298"/>
      <c r="W90" s="298"/>
      <c r="X90" s="299"/>
      <c r="Y90" s="299"/>
      <c r="Z90" s="298"/>
      <c r="AA90" s="298"/>
      <c r="AB90" s="399"/>
      <c r="AC90" s="399"/>
      <c r="AD90" s="298"/>
      <c r="AE90" s="298"/>
      <c r="AF90" s="299"/>
      <c r="AG90" s="253"/>
      <c r="AH90" s="298"/>
      <c r="AI90" s="298"/>
      <c r="AJ90" s="299"/>
      <c r="AK90" s="400"/>
      <c r="AL90" s="298"/>
      <c r="AM90" s="298"/>
      <c r="AN90" s="299"/>
      <c r="AO90" s="400"/>
      <c r="AP90" s="298"/>
      <c r="AQ90" s="298"/>
      <c r="AR90" s="299"/>
      <c r="AS90" s="253"/>
      <c r="AT90" s="298"/>
      <c r="AU90" s="298"/>
      <c r="AV90" s="299"/>
      <c r="AW90" s="299"/>
      <c r="AX90" s="305"/>
      <c r="AY90" s="305"/>
      <c r="AZ90" s="305"/>
      <c r="BA90" s="400"/>
      <c r="BB90" s="298"/>
      <c r="BC90" s="298"/>
      <c r="BD90" s="299"/>
      <c r="BE90" s="400"/>
      <c r="BF90" s="298"/>
      <c r="BG90" s="298"/>
      <c r="BH90" s="299"/>
      <c r="BI90" s="400"/>
      <c r="BJ90" s="298"/>
      <c r="BK90" s="298"/>
      <c r="BL90" s="299"/>
      <c r="BM90" s="299"/>
      <c r="BN90" s="298"/>
      <c r="BO90" s="298"/>
      <c r="BP90" s="299"/>
      <c r="BQ90" s="299"/>
      <c r="BR90" s="298"/>
      <c r="BS90" s="298"/>
      <c r="BT90" s="299"/>
      <c r="BU90" s="299"/>
      <c r="BV90" s="298"/>
      <c r="BW90" s="298"/>
      <c r="BX90" s="299"/>
      <c r="BY90" s="400"/>
      <c r="BZ90" s="298"/>
      <c r="CA90" s="298"/>
      <c r="CB90" s="299"/>
      <c r="CC90" s="400"/>
      <c r="CD90" s="298"/>
      <c r="CE90" s="298"/>
      <c r="CF90" s="299"/>
      <c r="CG90" s="400"/>
      <c r="CH90" s="298"/>
      <c r="CI90" s="298"/>
      <c r="CJ90" s="299"/>
      <c r="CK90" s="400"/>
      <c r="CL90" s="298"/>
      <c r="CM90" s="298"/>
      <c r="CN90" s="298"/>
      <c r="CO90" s="253"/>
      <c r="CP90" s="298"/>
      <c r="CQ90" s="298"/>
      <c r="CR90" s="299"/>
      <c r="CS90" s="253"/>
      <c r="CT90" s="298"/>
      <c r="CU90" s="298"/>
      <c r="CV90" s="299"/>
      <c r="CW90" s="299"/>
      <c r="CX90" s="298"/>
      <c r="CY90" s="298"/>
      <c r="CZ90" s="299"/>
      <c r="DA90" s="253"/>
      <c r="DB90" s="298"/>
      <c r="DC90" s="298"/>
      <c r="DD90" s="299"/>
      <c r="DE90" s="299"/>
      <c r="DF90" s="298"/>
      <c r="DG90" s="298"/>
      <c r="DH90" s="299"/>
      <c r="DI90" s="253"/>
      <c r="DJ90" s="298"/>
      <c r="DK90" s="298"/>
      <c r="DL90" s="299"/>
      <c r="DM90" s="253"/>
      <c r="DN90" s="298"/>
      <c r="DO90" s="298"/>
      <c r="DP90" s="299"/>
      <c r="DQ90" s="299"/>
      <c r="DR90" s="298"/>
      <c r="DS90" s="298"/>
      <c r="DT90" s="299"/>
      <c r="DU90" s="299"/>
      <c r="DV90" s="298"/>
      <c r="DW90" s="298"/>
      <c r="DX90" s="299"/>
      <c r="DY90" s="299"/>
      <c r="DZ90" s="298"/>
      <c r="EA90" s="298"/>
      <c r="EB90" s="299"/>
      <c r="EC90" s="253"/>
      <c r="ED90" s="298"/>
      <c r="EE90" s="298"/>
      <c r="EF90" s="299"/>
      <c r="EG90" s="253"/>
      <c r="EH90" s="298"/>
      <c r="EI90" s="298"/>
      <c r="EJ90" s="299"/>
      <c r="EK90" s="253"/>
      <c r="EL90" s="298"/>
      <c r="EM90" s="298"/>
      <c r="EN90" s="299"/>
      <c r="EO90" s="253"/>
    </row>
    <row r="91" spans="21:145" ht="15" x14ac:dyDescent="0.25">
      <c r="U91" s="298"/>
      <c r="V91" s="298"/>
      <c r="W91" s="298"/>
      <c r="X91" s="299"/>
      <c r="Y91" s="299"/>
      <c r="Z91" s="298"/>
      <c r="AA91" s="298"/>
      <c r="AB91" s="399"/>
      <c r="AC91" s="399"/>
      <c r="AD91" s="298"/>
      <c r="AE91" s="298"/>
      <c r="AF91" s="299"/>
      <c r="AG91" s="253"/>
      <c r="AH91" s="298"/>
      <c r="AI91" s="298"/>
      <c r="AJ91" s="299"/>
      <c r="AK91" s="400"/>
      <c r="AL91" s="298"/>
      <c r="AM91" s="298"/>
      <c r="AN91" s="299"/>
      <c r="AO91" s="400"/>
      <c r="AP91" s="298"/>
      <c r="AQ91" s="298"/>
      <c r="AR91" s="299"/>
      <c r="AS91" s="253"/>
      <c r="AT91" s="298"/>
      <c r="AU91" s="298"/>
      <c r="AV91" s="299"/>
      <c r="AW91" s="299"/>
      <c r="AX91" s="298"/>
      <c r="AY91" s="298"/>
      <c r="AZ91" s="299"/>
      <c r="BA91" s="400"/>
      <c r="BB91" s="298"/>
      <c r="BC91" s="298"/>
      <c r="BD91" s="299"/>
      <c r="BE91" s="400"/>
      <c r="BF91" s="298"/>
      <c r="BG91" s="298"/>
      <c r="BH91" s="299"/>
      <c r="BI91" s="400"/>
      <c r="BJ91" s="298"/>
      <c r="BK91" s="298"/>
      <c r="BL91" s="299"/>
      <c r="BM91" s="299"/>
      <c r="BN91" s="298"/>
      <c r="BO91" s="298"/>
      <c r="BP91" s="299"/>
      <c r="BQ91" s="299"/>
      <c r="BR91" s="298"/>
      <c r="BS91" s="298"/>
      <c r="BT91" s="299"/>
      <c r="BU91" s="299"/>
      <c r="BV91" s="298"/>
      <c r="BW91" s="298"/>
      <c r="BX91" s="299"/>
      <c r="BY91" s="400"/>
      <c r="BZ91" s="298"/>
      <c r="CA91" s="298"/>
      <c r="CB91" s="299"/>
      <c r="CC91" s="400"/>
      <c r="CD91" s="298"/>
      <c r="CE91" s="298"/>
      <c r="CF91" s="299"/>
      <c r="CG91" s="400"/>
      <c r="CH91" s="298"/>
      <c r="CI91" s="298"/>
      <c r="CJ91" s="299"/>
      <c r="CK91" s="400"/>
      <c r="CL91" s="298"/>
      <c r="CM91" s="298"/>
      <c r="CN91" s="298"/>
      <c r="CO91" s="253"/>
      <c r="CP91" s="298"/>
      <c r="CQ91" s="298"/>
      <c r="CR91" s="299"/>
      <c r="CS91" s="253"/>
      <c r="CT91" s="298"/>
      <c r="CU91" s="298"/>
      <c r="CV91" s="299"/>
      <c r="CW91" s="299"/>
      <c r="CX91" s="298"/>
      <c r="CY91" s="298"/>
      <c r="CZ91" s="299"/>
      <c r="DA91" s="253"/>
      <c r="DB91" s="298"/>
      <c r="DC91" s="298"/>
      <c r="DD91" s="299"/>
      <c r="DE91" s="299"/>
      <c r="DF91" s="298"/>
      <c r="DG91" s="298"/>
      <c r="DH91" s="299"/>
      <c r="DI91" s="253"/>
      <c r="DJ91" s="298"/>
      <c r="DK91" s="298"/>
      <c r="DL91" s="299"/>
      <c r="DM91" s="253"/>
      <c r="DN91" s="298"/>
      <c r="DO91" s="298"/>
      <c r="DP91" s="299"/>
      <c r="DQ91" s="299"/>
      <c r="DR91" s="298"/>
      <c r="DS91" s="298"/>
      <c r="DT91" s="299"/>
      <c r="DU91" s="299"/>
      <c r="DV91" s="298"/>
      <c r="DW91" s="298"/>
      <c r="DX91" s="299"/>
      <c r="DY91" s="299"/>
      <c r="DZ91" s="298"/>
      <c r="EA91" s="298"/>
      <c r="EB91" s="299"/>
      <c r="EC91" s="253"/>
      <c r="ED91" s="298"/>
      <c r="EE91" s="298"/>
      <c r="EF91" s="299"/>
      <c r="EG91" s="253"/>
      <c r="EH91" s="298"/>
      <c r="EI91" s="298"/>
      <c r="EJ91" s="299"/>
      <c r="EK91" s="253"/>
      <c r="EL91" s="298"/>
      <c r="EM91" s="298"/>
      <c r="EN91" s="299"/>
      <c r="EO91" s="253"/>
    </row>
    <row r="92" spans="21:145" ht="15" x14ac:dyDescent="0.25">
      <c r="U92" s="298"/>
      <c r="V92" s="298"/>
      <c r="W92" s="298"/>
      <c r="X92" s="299"/>
      <c r="Y92" s="299"/>
      <c r="Z92" s="298"/>
      <c r="AA92" s="298"/>
      <c r="AB92" s="399"/>
      <c r="AC92" s="399"/>
      <c r="AH92" s="298"/>
      <c r="AI92" s="298"/>
      <c r="AJ92" s="299"/>
      <c r="AK92" s="400"/>
      <c r="AL92" s="298"/>
      <c r="AM92" s="298"/>
      <c r="AN92" s="299"/>
      <c r="AO92" s="400"/>
      <c r="AP92" s="298"/>
      <c r="AQ92" s="298"/>
      <c r="AR92" s="299"/>
      <c r="AS92" s="253"/>
      <c r="AT92" s="298"/>
      <c r="AU92" s="298"/>
      <c r="AV92" s="299"/>
      <c r="AW92" s="299"/>
      <c r="AX92" s="298"/>
      <c r="AY92" s="298"/>
      <c r="AZ92" s="299"/>
      <c r="BA92" s="400"/>
      <c r="BB92" s="298"/>
      <c r="BC92" s="298"/>
      <c r="BD92" s="299"/>
      <c r="BE92" s="400"/>
      <c r="BF92" s="298"/>
      <c r="BG92" s="298"/>
      <c r="BH92" s="299"/>
      <c r="BI92" s="400"/>
      <c r="BJ92" s="298"/>
      <c r="BK92" s="298"/>
      <c r="BL92" s="299"/>
      <c r="BM92" s="299"/>
      <c r="BN92" s="298"/>
      <c r="BO92" s="298"/>
      <c r="BP92" s="299"/>
      <c r="BQ92" s="299"/>
      <c r="BR92" s="298"/>
      <c r="BS92" s="298"/>
      <c r="BT92" s="299"/>
      <c r="BU92" s="299"/>
      <c r="BV92" s="298"/>
      <c r="BW92" s="298"/>
      <c r="BX92" s="299"/>
      <c r="BY92" s="400"/>
      <c r="BZ92" s="298"/>
      <c r="CA92" s="298"/>
      <c r="CB92" s="299"/>
      <c r="CC92" s="400"/>
      <c r="CD92" s="298"/>
      <c r="CE92" s="298"/>
      <c r="CF92" s="299"/>
      <c r="CG92" s="400"/>
      <c r="CH92" s="298"/>
      <c r="CI92" s="298"/>
      <c r="CJ92" s="299"/>
      <c r="CK92" s="400"/>
      <c r="CL92" s="298"/>
      <c r="CM92" s="298"/>
      <c r="CN92" s="298"/>
      <c r="CO92" s="253"/>
      <c r="CP92" s="298"/>
      <c r="CQ92" s="298"/>
      <c r="CR92" s="299"/>
      <c r="CS92" s="253"/>
      <c r="CT92" s="298"/>
      <c r="CU92" s="298"/>
      <c r="CV92" s="299"/>
      <c r="CW92" s="299"/>
      <c r="CX92" s="298"/>
      <c r="CY92" s="298"/>
      <c r="CZ92" s="299"/>
      <c r="DA92" s="253"/>
      <c r="DB92" s="298"/>
      <c r="DC92" s="298"/>
      <c r="DD92" s="299"/>
      <c r="DE92" s="299"/>
      <c r="DF92" s="298"/>
      <c r="DG92" s="298"/>
      <c r="DH92" s="299"/>
      <c r="DI92" s="253"/>
      <c r="DJ92" s="298"/>
      <c r="DK92" s="298"/>
      <c r="DL92" s="299"/>
      <c r="DM92" s="253"/>
      <c r="DN92" s="298"/>
      <c r="DO92" s="298"/>
      <c r="DP92" s="299"/>
      <c r="DQ92" s="299"/>
      <c r="DR92" s="298"/>
      <c r="DS92" s="298"/>
      <c r="DT92" s="299"/>
      <c r="DU92" s="299"/>
      <c r="DZ92" s="298"/>
      <c r="EA92" s="298"/>
      <c r="EB92" s="299"/>
      <c r="EC92" s="253"/>
      <c r="ED92" s="298"/>
      <c r="EE92" s="298"/>
      <c r="EF92" s="299"/>
      <c r="EG92" s="253"/>
      <c r="EH92" s="298"/>
      <c r="EI92" s="298"/>
      <c r="EJ92" s="299"/>
      <c r="EK92" s="253"/>
      <c r="EL92" s="298"/>
      <c r="EM92" s="298"/>
      <c r="EN92" s="299"/>
      <c r="EO92" s="253"/>
    </row>
    <row r="93" spans="21:145" ht="15" x14ac:dyDescent="0.25">
      <c r="AL93" s="298"/>
      <c r="AM93" s="298"/>
      <c r="AN93" s="299"/>
      <c r="AO93" s="400"/>
      <c r="BB93" s="298"/>
      <c r="BC93" s="298"/>
      <c r="BD93" s="299"/>
      <c r="BE93" s="400"/>
      <c r="BJ93" s="298"/>
      <c r="BK93" s="298"/>
      <c r="BL93" s="299"/>
      <c r="BM93" s="299"/>
      <c r="BV93" s="298"/>
      <c r="BW93" s="298"/>
      <c r="BX93" s="299"/>
      <c r="BY93" s="400"/>
      <c r="CX93" s="298"/>
      <c r="CY93" s="298"/>
      <c r="CZ93" s="299"/>
      <c r="DA93" s="253"/>
      <c r="DJ93" s="298"/>
      <c r="DK93" s="298"/>
      <c r="DL93" s="299"/>
      <c r="DM93" s="253"/>
      <c r="DN93" s="298"/>
      <c r="DO93" s="298"/>
      <c r="DP93" s="299"/>
      <c r="DQ93" s="299"/>
    </row>
    <row r="94" spans="21:145" ht="15" x14ac:dyDescent="0.25">
      <c r="AL94" s="298"/>
      <c r="AM94" s="298"/>
      <c r="AN94" s="299"/>
      <c r="AO94" s="400"/>
      <c r="CX94" s="298"/>
      <c r="CY94" s="298"/>
      <c r="CZ94" s="299"/>
      <c r="DA94" s="253"/>
      <c r="DJ94" s="298"/>
      <c r="DK94" s="298"/>
      <c r="DL94" s="299"/>
      <c r="DM94" s="253"/>
      <c r="DN94" s="298"/>
      <c r="DO94" s="298"/>
      <c r="DP94" s="299"/>
      <c r="DQ94" s="299"/>
    </row>
    <row r="95" spans="21:145" ht="15" x14ac:dyDescent="0.25">
      <c r="AL95" s="298"/>
      <c r="AM95" s="298"/>
      <c r="AN95" s="299"/>
      <c r="AO95" s="400"/>
      <c r="DJ95" s="298"/>
      <c r="DK95" s="298"/>
      <c r="DL95" s="299"/>
      <c r="DM95" s="253"/>
      <c r="DN95" s="298"/>
      <c r="DO95" s="298"/>
      <c r="DP95" s="299"/>
      <c r="DQ95" s="299"/>
    </row>
    <row r="96" spans="21:145" ht="15" x14ac:dyDescent="0.25">
      <c r="DJ96" s="298"/>
      <c r="DK96" s="298"/>
      <c r="DL96" s="299"/>
      <c r="DM96" s="253"/>
      <c r="DN96" s="298"/>
      <c r="DO96" s="298"/>
      <c r="DP96" s="299"/>
      <c r="DQ96" s="299"/>
    </row>
    <row r="97" spans="114:121" ht="15" x14ac:dyDescent="0.25">
      <c r="DJ97" s="305"/>
      <c r="DK97" s="305"/>
      <c r="DL97" s="305"/>
      <c r="DM97" s="305"/>
      <c r="DN97" s="298"/>
      <c r="DO97" s="298"/>
      <c r="DP97" s="299"/>
      <c r="DQ97" s="299"/>
    </row>
    <row r="98" spans="114:121" x14ac:dyDescent="0.25">
      <c r="DJ98" s="305"/>
      <c r="DK98" s="305"/>
      <c r="DL98" s="305"/>
      <c r="DM98" s="305"/>
      <c r="DN98" s="305"/>
      <c r="DO98" s="305"/>
      <c r="DP98" s="305"/>
      <c r="DQ98" s="305"/>
    </row>
    <row r="99" spans="114:121" x14ac:dyDescent="0.25">
      <c r="DJ99" s="305"/>
      <c r="DK99" s="305"/>
      <c r="DL99" s="305"/>
      <c r="DM99" s="305"/>
      <c r="DN99" s="305"/>
      <c r="DO99" s="305"/>
      <c r="DP99" s="305"/>
      <c r="DQ99" s="305"/>
    </row>
  </sheetData>
  <sheetProtection algorithmName="SHA-512" hashValue="SPtdatxZdLoDLQatzrW7K/tRrerhSQcbF/4R0m6q8zyV5pk12LlFcHVH9sQ/sZB3jF8jlvVp5w16unLA5WxpcA==" saltValue="M23VhYy/M/Ffumy4UQOSgg==" spinCount="100000" sheet="1" formatCells="0" formatColumns="0" formatRows="0" insertColumns="0" insertRows="0" insertHyperlinks="0" deleteColumns="0" deleteRows="0" selectLockedCells="1" sort="0" autoFilter="0" pivotTables="0" selectUnlockedCells="1"/>
  <protectedRanges>
    <protectedRange sqref="C2:E3 F3:G3 U36:W37 G4:G32" name="restoDelWorksheet_1_1" securityDescriptor="O:WDG:WDD:(A;;CC;;;WD)"/>
  </protectedRanges>
  <autoFilter ref="AP3:AS3" xr:uid="{00000000-0009-0000-0000-000007000000}"/>
  <sortState ref="ED4:EG44">
    <sortCondition ref="ED4:ED44"/>
  </sortState>
  <customSheetViews>
    <customSheetView guid="{885128CB-C7E7-4F99-B059-3D33F9918444}" scale="80" showPageBreaks="1" printArea="1" showAutoFilter="1" hiddenColumns="1" view="pageBreakPreview">
      <selection activeCell="F5" sqref="F5"/>
      <colBreaks count="1" manualBreakCount="1">
        <brk id="15" max="279" man="1"/>
      </colBreaks>
      <pageMargins left="0.7" right="0.7" top="1.2749999999999999" bottom="0.75" header="0.3" footer="0.3"/>
      <pageSetup scale="52" orientation="landscape" r:id="rId1"/>
      <headerFooter>
        <oddHeader>&amp;L&amp;G
&amp;9Fecha 02/07/2012&amp;CADMINISTRACIÓN GENERAL DE COMUNICACIONES Y TECNOLOGÍAS 
DE LA INFORMACIÓN
&amp;"-,Bold"&amp;F
&amp;10Catálogos&amp;R&amp;G
&amp;9
Versión: 1.0</oddHeader>
      </headerFooter>
      <autoFilter ref="B1:I1" xr:uid="{00000000-0000-0000-0000-000000000000}"/>
    </customSheetView>
    <customSheetView guid="{41B348E9-DE08-4F64-948D-855D8EF9DC1D}" scale="75" showGridLines="0" hiddenRows="1" hiddenColumns="1">
      <selection activeCell="L19" sqref="L19"/>
      <colBreaks count="1" manualBreakCount="1">
        <brk id="23" max="279" man="1"/>
      </colBreaks>
      <pageMargins left="0.7" right="0.7" top="1.2749999999999999" bottom="0.75" header="0.3" footer="0.3"/>
      <pageSetup scale="52" orientation="landscape" r:id="rId2"/>
      <headerFooter>
        <oddHeader>&amp;L&amp;G
&amp;9Fecha 06/05/2013&amp;CADMINISTRACIÓN GENERAL DE COMUNICACIONES Y TECNOLOGÍAS 
DE LA INFORMACIÓN
&amp;F&amp;"-,Bold"
&amp;A&amp;R&amp;G
&amp;9
Versión: 3.1</oddHeader>
      </headerFooter>
    </customSheetView>
  </customSheetViews>
  <mergeCells count="42">
    <mergeCell ref="U2:U3"/>
    <mergeCell ref="V2:Y2"/>
    <mergeCell ref="Z2:AC2"/>
    <mergeCell ref="AD2:AG2"/>
    <mergeCell ref="AH2:AK2"/>
    <mergeCell ref="A39:A42"/>
    <mergeCell ref="S14:S15"/>
    <mergeCell ref="C2:G2"/>
    <mergeCell ref="I13:J13"/>
    <mergeCell ref="N2:O2"/>
    <mergeCell ref="N12:O12"/>
    <mergeCell ref="Q2:S2"/>
    <mergeCell ref="S9:S10"/>
    <mergeCell ref="S4:S5"/>
    <mergeCell ref="I2:L2"/>
    <mergeCell ref="AL2:AO2"/>
    <mergeCell ref="AP2:AS2"/>
    <mergeCell ref="AT2:AW2"/>
    <mergeCell ref="AX2:BA2"/>
    <mergeCell ref="BB2:BE2"/>
    <mergeCell ref="BF2:BI2"/>
    <mergeCell ref="BJ2:BM2"/>
    <mergeCell ref="BN2:BQ2"/>
    <mergeCell ref="BR2:BU2"/>
    <mergeCell ref="BV2:BY2"/>
    <mergeCell ref="BZ2:CC2"/>
    <mergeCell ref="CD2:CG2"/>
    <mergeCell ref="CH2:CK2"/>
    <mergeCell ref="CL2:CO2"/>
    <mergeCell ref="CP2:CS2"/>
    <mergeCell ref="CT2:CW2"/>
    <mergeCell ref="CX2:DA2"/>
    <mergeCell ref="DB2:DE2"/>
    <mergeCell ref="DF2:DI2"/>
    <mergeCell ref="DJ2:DM2"/>
    <mergeCell ref="EH2:EK2"/>
    <mergeCell ref="EL2:EO2"/>
    <mergeCell ref="DN2:DQ2"/>
    <mergeCell ref="DR2:DU2"/>
    <mergeCell ref="DV2:DY2"/>
    <mergeCell ref="DZ2:EC2"/>
    <mergeCell ref="ED2:EG2"/>
  </mergeCells>
  <pageMargins left="0.7" right="0.7" top="1.2749999999999999" bottom="0.75" header="0.3" footer="0.3"/>
  <pageSetup scale="52" orientation="landscape" r:id="rId3"/>
  <headerFooter>
    <oddHeader>&amp;L&amp;G
&amp;9Fecha 06/05/2013&amp;CADMINISTRACIÓN GENERAL DE COMUNICACIONES Y TECNOLOGÍAS 
DE LA INFORMACIÓN
&amp;F&amp;"-,Bold"
&amp;A&amp;R&amp;G
&amp;9
Versión: 3.1</oddHeader>
  </headerFooter>
  <drawing r:id="rId4"/>
  <legacyDrawingHF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4D108CE498884148A4900638AB632DFA" ma:contentTypeVersion="0" ma:contentTypeDescription="Crear nuevo documento." ma:contentTypeScope="" ma:versionID="3703657b2d2a56cd08285515640a9be9">
  <xsd:schema xmlns:xsd="http://www.w3.org/2001/XMLSchema" xmlns:xs="http://www.w3.org/2001/XMLSchema" xmlns:p="http://schemas.microsoft.com/office/2006/metadata/properties" targetNamespace="http://schemas.microsoft.com/office/2006/metadata/properties" ma:root="true" ma:fieldsID="3f6edc329ff236629c56e3b879b320d0">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A8A90F0-BFD8-42D9-ACB7-4BDF35E60F54}">
  <ds:schemaRefs>
    <ds:schemaRef ds:uri="http://schemas.openxmlformats.org/package/2006/metadata/core-properties"/>
    <ds:schemaRef ds:uri="http://schemas.microsoft.com/office/2006/metadata/properties"/>
    <ds:schemaRef ds:uri="http://www.w3.org/XML/1998/namespace"/>
    <ds:schemaRef ds:uri="http://schemas.microsoft.com/office/infopath/2007/PartnerControls"/>
    <ds:schemaRef ds:uri="http://schemas.microsoft.com/office/2006/documentManagement/types"/>
    <ds:schemaRef ds:uri="http://purl.org/dc/elements/1.1/"/>
    <ds:schemaRef ds:uri="http://purl.org/dc/dcmitype/"/>
    <ds:schemaRef ds:uri="http://purl.org/dc/terms/"/>
  </ds:schemaRefs>
</ds:datastoreItem>
</file>

<file path=customXml/itemProps2.xml><?xml version="1.0" encoding="utf-8"?>
<ds:datastoreItem xmlns:ds="http://schemas.openxmlformats.org/officeDocument/2006/customXml" ds:itemID="{8C83E2A8-38CA-4FD5-8799-2D0D998F5DAA}">
  <ds:schemaRefs>
    <ds:schemaRef ds:uri="http://schemas.microsoft.com/sharepoint/v3/contenttype/forms"/>
  </ds:schemaRefs>
</ds:datastoreItem>
</file>

<file path=customXml/itemProps3.xml><?xml version="1.0" encoding="utf-8"?>
<ds:datastoreItem xmlns:ds="http://schemas.openxmlformats.org/officeDocument/2006/customXml" ds:itemID="{5557C2B6-58B4-4904-AC38-E8EF66E763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33</vt:i4>
      </vt:variant>
    </vt:vector>
  </HeadingPairs>
  <TitlesOfParts>
    <vt:vector size="41" baseType="lpstr">
      <vt:lpstr>Histórico</vt:lpstr>
      <vt:lpstr>Ayuda</vt:lpstr>
      <vt:lpstr>Hoja Captura</vt:lpstr>
      <vt:lpstr>Entregables Contractuales</vt:lpstr>
      <vt:lpstr>Nombrado Artefactos</vt:lpstr>
      <vt:lpstr>Nombrado Artefactos PC</vt:lpstr>
      <vt:lpstr>Artefactos AVL</vt:lpstr>
      <vt:lpstr>Catalogos</vt:lpstr>
      <vt:lpstr>_01_Administración_del_Riesgo</vt:lpstr>
      <vt:lpstr>_02_Recursos_y_Servicios</vt:lpstr>
      <vt:lpstr>_03_Cobranza</vt:lpstr>
      <vt:lpstr>_04_Control_de_Obligaciones</vt:lpstr>
      <vt:lpstr>_05_Cuenta_Tributaria</vt:lpstr>
      <vt:lpstr>_06_Declaraciones_y_Pagos__Documentos_Digitales</vt:lpstr>
      <vt:lpstr>_07_Devoluciones_y_Compensaciones</vt:lpstr>
      <vt:lpstr>_08_Fiscalización</vt:lpstr>
      <vt:lpstr>_09_Notificación_Verificación</vt:lpstr>
      <vt:lpstr>_10_Registro_Contable</vt:lpstr>
      <vt:lpstr>_11_Identificación_del_Contribuyente</vt:lpstr>
      <vt:lpstr>_12_Al_Contribuyente</vt:lpstr>
      <vt:lpstr>_13_Comercio_Exterior_Despacho</vt:lpstr>
      <vt:lpstr>_14_Planeación</vt:lpstr>
      <vt:lpstr>_15_Internos_de_Control</vt:lpstr>
      <vt:lpstr>_16_Jurídicos</vt:lpstr>
      <vt:lpstr>_17_Transversales_de_TI</vt:lpstr>
      <vt:lpstr>_19_e.Firma</vt:lpstr>
      <vt:lpstr>_20_Comercio_exterior_Pre_despacho</vt:lpstr>
      <vt:lpstr>_21_Factura_Electrónica</vt:lpstr>
      <vt:lpstr>_22_Medios_de_Autenticación</vt:lpstr>
      <vt:lpstr>_23_Portales_Móviles</vt:lpstr>
      <vt:lpstr>_24_Portales_Transaccionales</vt:lpstr>
      <vt:lpstr>_25_Comercio_Exterior_Soporte_a_la_Operación</vt:lpstr>
      <vt:lpstr>_26_MAT_Comercio_Exterior</vt:lpstr>
      <vt:lpstr>_27_Fiscalización_Específicos</vt:lpstr>
      <vt:lpstr>_28_Declaraciones_y_Pagos_Informativas_y_Pagos_Provisionales</vt:lpstr>
      <vt:lpstr>_29_Declaraciones_y_Pagos_Legados_y_Declaraciones_anuales</vt:lpstr>
      <vt:lpstr>_30_Contabilidad_Electrónica</vt:lpstr>
      <vt:lpstr>_31_Fiscalicación_Control</vt:lpstr>
      <vt:lpstr>_32_Mis_Cuentas</vt:lpstr>
      <vt:lpstr>CAM</vt:lpstr>
      <vt:lpstr>Servicios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3 de septiembre</dc:title>
  <dc:creator/>
  <dc:description/>
  <cp:lastModifiedBy/>
  <dcterms:created xsi:type="dcterms:W3CDTF">2017-09-27T00:19:45Z</dcterms:created>
  <dcterms:modified xsi:type="dcterms:W3CDTF">2018-10-10T16:59:05Z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0x0101004D108CE498884148A4900638AB632DFA</vt:lpwstr>
  </property>
</Properties>
</file>